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5" activeTab="8" autoFilterDateGrouping="1"/>
  </bookViews>
  <sheets>
    <sheet xmlns:r="http://schemas.openxmlformats.org/officeDocument/2006/relationships" name="Master Copy_Model_01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Model_01_Carbon_Imputated" sheetId="3" state="visible" r:id="rId3"/>
    <sheet xmlns:r="http://schemas.openxmlformats.org/officeDocument/2006/relationships" name="Model_01_D-Spacing_Imputated" sheetId="4" state="visible" r:id="rId4"/>
    <sheet xmlns:r="http://schemas.openxmlformats.org/officeDocument/2006/relationships" name="Model_01_La_Imputated" sheetId="5" state="visible" r:id="rId5"/>
    <sheet xmlns:r="http://schemas.openxmlformats.org/officeDocument/2006/relationships" name="Model_01_Lc_Imputated" sheetId="6" state="visible" r:id="rId6"/>
    <sheet xmlns:r="http://schemas.openxmlformats.org/officeDocument/2006/relationships" name="Model_01_Pore_Volume_Imputated" sheetId="7" state="visible" r:id="rId7"/>
    <sheet xmlns:r="http://schemas.openxmlformats.org/officeDocument/2006/relationships" name="Model_01_ID_IG_Imputated" sheetId="8" state="visible" r:id="rId8"/>
    <sheet xmlns:r="http://schemas.openxmlformats.org/officeDocument/2006/relationships" name="Model_01_Surface_Area_Imputated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_);[Red]\(0.00\)"/>
  </numFmts>
  <fonts count="21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color theme="1"/>
      <sz val="9"/>
      <scheme val="minor"/>
    </font>
    <font>
      <name val="Times New Roman"/>
      <charset val="134"/>
      <color theme="1"/>
      <sz val="9"/>
    </font>
    <font>
      <name val="Times New Roman"/>
      <charset val="134"/>
      <b val="1"/>
      <color theme="1"/>
      <sz val="9"/>
    </font>
    <font>
      <name val="Times New Roman"/>
      <charset val="134"/>
      <b val="1"/>
      <color theme="1"/>
      <sz val="8"/>
    </font>
    <font>
      <name val="Georgia"/>
      <charset val="134"/>
      <color rgb="FF1F1F1F"/>
      <sz val="8"/>
    </font>
    <font>
      <name val="Times New Roman"/>
      <charset val="134"/>
      <color theme="1"/>
      <sz val="11"/>
    </font>
    <font>
      <name val="Times New Roman"/>
      <charset val="134"/>
      <color theme="1"/>
      <sz val="9"/>
      <vertAlign val="subscript"/>
    </font>
    <font>
      <name val="Times New Roman"/>
      <family val="1"/>
      <color theme="1"/>
      <sz val="9"/>
    </font>
    <font>
      <name val="Times New Roman"/>
      <family val="1"/>
      <color rgb="FF1F1F1F"/>
      <sz val="9"/>
    </font>
    <font>
      <name val="Calibri"/>
      <charset val="134"/>
      <sz val="8"/>
      <scheme val="minor"/>
    </font>
    <font>
      <name val="Times New Roman"/>
      <family val="1"/>
      <color theme="1"/>
      <sz val="11"/>
    </font>
    <font>
      <name val="Times New Roman"/>
      <family val="1"/>
      <sz val="9"/>
    </font>
    <font>
      <name val="Calibri"/>
      <family val="2"/>
      <sz val="9"/>
      <scheme val="minor"/>
    </font>
    <font>
      <name val="Times New Roman"/>
      <family val="1"/>
      <sz val="8"/>
    </font>
    <font>
      <name val="Aptos"/>
      <family val="2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color theme="1"/>
      <sz val="11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13" fillId="0" borderId="1" applyAlignment="1" pivotButton="0" quotePrefix="0" xfId="0">
      <alignment horizontal="center" vertical="center"/>
    </xf>
    <xf numFmtId="0" fontId="2" fillId="0" borderId="0" pivotButton="0" quotePrefix="0" xfId="0"/>
    <xf numFmtId="2" fontId="14" fillId="2" borderId="1" applyAlignment="1" pivotButton="0" quotePrefix="0" xfId="0">
      <alignment horizontal="center"/>
    </xf>
    <xf numFmtId="0" fontId="1" fillId="0" borderId="0" pivotButton="0" quotePrefix="0" xfId="0"/>
    <xf numFmtId="0" fontId="17" fillId="0" borderId="0" applyAlignment="1" pivotButton="0" quotePrefix="0" xfId="0">
      <alignment horizontal="left" vertical="center" indent="5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1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2" fontId="14" fillId="0" borderId="1" applyAlignment="1" pivotButton="0" quotePrefix="0" xfId="0">
      <alignment horizontal="center" wrapText="1"/>
    </xf>
    <xf numFmtId="2" fontId="1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wrapText="1"/>
    </xf>
    <xf numFmtId="3" fontId="4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wrapText="1"/>
    </xf>
    <xf numFmtId="2" fontId="4" fillId="0" borderId="1" applyAlignment="1" pivotButton="0" quotePrefix="0" xfId="0">
      <alignment horizontal="center" wrapText="1"/>
    </xf>
    <xf numFmtId="2" fontId="14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2" fontId="1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/>
    </xf>
    <xf numFmtId="2" fontId="1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wrapText="1"/>
    </xf>
    <xf numFmtId="2" fontId="14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20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20" fillId="0" borderId="1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/>
    </xf>
    <xf numFmtId="165" fontId="0" fillId="0" borderId="0" applyAlignment="1" pivotButton="0" quotePrefix="1" xfId="0">
      <alignment horizontal="center"/>
    </xf>
    <xf numFmtId="165" fontId="0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8"/>
  <sheetViews>
    <sheetView topLeftCell="E1" zoomScale="120" zoomScaleNormal="80" workbookViewId="0">
      <selection activeCell="C6" sqref="C6"/>
    </sheetView>
  </sheetViews>
  <sheetFormatPr baseColWidth="8" defaultColWidth="9" defaultRowHeight="15" customHeight="1"/>
  <cols>
    <col width="22.77734375" customWidth="1" style="1" min="1" max="1"/>
    <col width="68.5546875" bestFit="1" customWidth="1" style="2" min="2" max="2"/>
    <col width="9.77734375" bestFit="1" customWidth="1" style="2" min="3" max="3"/>
    <col width="9.77734375" customWidth="1" style="2" min="4" max="6"/>
    <col width="7.77734375" bestFit="1" customWidth="1" style="1" min="7" max="7"/>
    <col width="7.5546875" bestFit="1" customWidth="1" style="1" min="8" max="8"/>
    <col width="10.5546875" bestFit="1" customWidth="1" style="1" min="9" max="9"/>
    <col width="4.33203125" bestFit="1" customWidth="1" style="1" min="10" max="10"/>
    <col width="9.5546875" customWidth="1" style="1" min="11" max="11"/>
    <col width="9.88671875" bestFit="1" customWidth="1" style="1" min="12" max="12"/>
    <col width="8.21875" bestFit="1" customWidth="1" style="1" min="13" max="13"/>
    <col width="17.6640625" bestFit="1" customWidth="1" style="1" min="14" max="14"/>
    <col width="4.33203125" bestFit="1" customWidth="1" style="1" min="15" max="15"/>
    <col width="6.44140625" bestFit="1" customWidth="1" style="1" min="16" max="16"/>
    <col width="9.88671875" bestFit="1" customWidth="1" style="1" min="17" max="17"/>
    <col width="8.44140625" bestFit="1" customWidth="1" style="3" min="18" max="18"/>
    <col width="7" bestFit="1" customWidth="1" style="3" min="19" max="19"/>
    <col width="9.88671875" bestFit="1" customWidth="1" style="13" min="20" max="20"/>
    <col width="5" bestFit="1" customWidth="1" style="3" min="21" max="22"/>
    <col width="6.6640625" bestFit="1" customWidth="1" style="3" min="23" max="23"/>
    <col width="5.21875" bestFit="1" customWidth="1" style="3" min="24" max="24"/>
    <col width="4.33203125" bestFit="1" customWidth="1" style="4" min="25" max="25"/>
  </cols>
  <sheetData>
    <row r="1" ht="15" customFormat="1" customHeight="1" s="6">
      <c r="A1" s="16" t="inlineStr">
        <is>
          <t>Biomass</t>
        </is>
      </c>
      <c r="B1" s="17" t="inlineStr">
        <is>
          <t xml:space="preserve">Pre treatment </t>
        </is>
      </c>
      <c r="C1" s="16" t="inlineStr">
        <is>
          <t>Prewash</t>
        </is>
      </c>
      <c r="D1" s="16" t="inlineStr">
        <is>
          <t>Conc</t>
        </is>
      </c>
      <c r="E1" s="16" t="inlineStr">
        <is>
          <t>Postwash</t>
        </is>
      </c>
      <c r="F1" s="16" t="inlineStr">
        <is>
          <t>Conc</t>
        </is>
      </c>
      <c r="G1" s="17" t="inlineStr">
        <is>
          <t xml:space="preserve">Type </t>
        </is>
      </c>
      <c r="H1" s="17" t="inlineStr">
        <is>
          <t xml:space="preserve">Method </t>
        </is>
      </c>
      <c r="I1" s="17" t="inlineStr">
        <is>
          <t xml:space="preserve">Activator </t>
        </is>
      </c>
      <c r="J1" s="17" t="inlineStr">
        <is>
          <t>Time</t>
        </is>
      </c>
      <c r="K1" s="17" t="inlineStr">
        <is>
          <t>Heating rate</t>
        </is>
      </c>
      <c r="L1" s="17" t="inlineStr">
        <is>
          <t>Temperature</t>
        </is>
      </c>
      <c r="M1" s="17" t="inlineStr">
        <is>
          <t>Method</t>
        </is>
      </c>
      <c r="N1" s="17" t="inlineStr">
        <is>
          <t>Activatior</t>
        </is>
      </c>
      <c r="O1" s="17" t="inlineStr">
        <is>
          <t>Time</t>
        </is>
      </c>
      <c r="P1" s="17" t="inlineStr">
        <is>
          <t>Heating Rate</t>
        </is>
      </c>
      <c r="Q1" s="17" t="inlineStr">
        <is>
          <t>Temperature</t>
        </is>
      </c>
      <c r="R1" s="18" t="inlineStr">
        <is>
          <t>Surface area</t>
        </is>
      </c>
      <c r="S1" s="18" t="inlineStr">
        <is>
          <t>D-Spacing</t>
        </is>
      </c>
      <c r="T1" s="19" t="inlineStr">
        <is>
          <t>IG/ID</t>
        </is>
      </c>
      <c r="U1" s="18" t="inlineStr">
        <is>
          <t>La</t>
        </is>
      </c>
      <c r="V1" s="18" t="inlineStr">
        <is>
          <t>Lc</t>
        </is>
      </c>
      <c r="W1" s="18" t="inlineStr">
        <is>
          <t>PV</t>
        </is>
      </c>
      <c r="X1" s="18" t="inlineStr">
        <is>
          <t>C</t>
        </is>
      </c>
      <c r="Y1" s="17" t="inlineStr">
        <is>
          <t>REF</t>
        </is>
      </c>
    </row>
    <row r="2" ht="15" customFormat="1" customHeight="1" s="6">
      <c r="A2" s="20" t="inlineStr">
        <is>
          <t>Shaddock peel</t>
        </is>
      </c>
      <c r="B2" s="21" t="inlineStr">
        <is>
          <t>Biomass (H2O) / Carbon (dilute HCl + H2O)</t>
        </is>
      </c>
      <c r="C2" s="21" t="inlineStr">
        <is>
          <t>Water wash</t>
        </is>
      </c>
      <c r="D2" s="21" t="inlineStr">
        <is>
          <t>No</t>
        </is>
      </c>
      <c r="E2" s="21" t="inlineStr">
        <is>
          <t>Acid wash</t>
        </is>
      </c>
      <c r="F2" s="21" t="inlineStr">
        <is>
          <t>Mild</t>
        </is>
      </c>
      <c r="G2" s="20" t="inlineStr">
        <is>
          <t>One step</t>
        </is>
      </c>
      <c r="H2" s="20" t="inlineStr">
        <is>
          <t xml:space="preserve">Pyrolysis </t>
        </is>
      </c>
      <c r="I2" s="20" t="inlineStr">
        <is>
          <t>No</t>
        </is>
      </c>
      <c r="J2" s="20" t="n">
        <v>120</v>
      </c>
      <c r="K2" s="20" t="n"/>
      <c r="L2" s="20" t="n">
        <v>1200</v>
      </c>
      <c r="M2" s="20" t="inlineStr">
        <is>
          <t>No</t>
        </is>
      </c>
      <c r="N2" s="20" t="inlineStr">
        <is>
          <t>No</t>
        </is>
      </c>
      <c r="O2" s="20" t="inlineStr">
        <is>
          <t>No</t>
        </is>
      </c>
      <c r="P2" s="20" t="inlineStr">
        <is>
          <t>No</t>
        </is>
      </c>
      <c r="Q2" s="20" t="inlineStr">
        <is>
          <t>No</t>
        </is>
      </c>
      <c r="R2" s="20" t="n">
        <v>82.8</v>
      </c>
      <c r="S2" s="20" t="n">
        <v>0.38</v>
      </c>
      <c r="T2" s="22" t="n"/>
      <c r="U2" s="20" t="n"/>
      <c r="V2" s="20" t="n"/>
      <c r="W2" s="20" t="n">
        <v>0.049</v>
      </c>
      <c r="X2" s="20" t="n">
        <v>96.98</v>
      </c>
      <c r="Y2" s="20" t="inlineStr">
        <is>
          <t>[1]</t>
        </is>
      </c>
      <c r="AA2" s="9" t="n"/>
    </row>
    <row r="3" ht="15" customHeight="1">
      <c r="A3" s="20" t="inlineStr">
        <is>
          <t>Shaddock peel</t>
        </is>
      </c>
      <c r="B3" s="21" t="inlineStr">
        <is>
          <t>Biomass (H2O) / Carbon (dilute HCl + H2O)</t>
        </is>
      </c>
      <c r="C3" s="21" t="inlineStr">
        <is>
          <t>Water wash</t>
        </is>
      </c>
      <c r="D3" s="21" t="inlineStr">
        <is>
          <t>No</t>
        </is>
      </c>
      <c r="E3" s="21" t="inlineStr">
        <is>
          <t>Acid wash</t>
        </is>
      </c>
      <c r="F3" s="21" t="inlineStr">
        <is>
          <t>Mild</t>
        </is>
      </c>
      <c r="G3" s="20" t="inlineStr">
        <is>
          <t>One step</t>
        </is>
      </c>
      <c r="H3" s="20" t="inlineStr">
        <is>
          <t xml:space="preserve">Pyrolysis </t>
        </is>
      </c>
      <c r="I3" s="20" t="inlineStr">
        <is>
          <t>No</t>
        </is>
      </c>
      <c r="J3" s="20" t="n">
        <v>120</v>
      </c>
      <c r="K3" s="20" t="n"/>
      <c r="L3" s="20" t="n">
        <v>800</v>
      </c>
      <c r="M3" s="20" t="inlineStr">
        <is>
          <t>No</t>
        </is>
      </c>
      <c r="N3" s="20" t="inlineStr">
        <is>
          <t>No</t>
        </is>
      </c>
      <c r="O3" s="20" t="inlineStr">
        <is>
          <t>No</t>
        </is>
      </c>
      <c r="P3" s="20" t="inlineStr">
        <is>
          <t>No</t>
        </is>
      </c>
      <c r="Q3" s="20" t="inlineStr">
        <is>
          <t>No</t>
        </is>
      </c>
      <c r="R3" s="4" t="n">
        <v>25.5</v>
      </c>
      <c r="S3" s="4" t="n">
        <v>0.392</v>
      </c>
      <c r="T3" s="23" t="n"/>
      <c r="U3" s="4" t="n"/>
      <c r="V3" s="4" t="n"/>
      <c r="W3" s="4" t="n">
        <v>0.01</v>
      </c>
      <c r="X3" s="20" t="n">
        <v>91.08</v>
      </c>
      <c r="Y3" s="20" t="inlineStr">
        <is>
          <t>[1]</t>
        </is>
      </c>
      <c r="AA3" s="9" t="n"/>
    </row>
    <row r="4" ht="15" customHeight="1">
      <c r="A4" s="20" t="inlineStr">
        <is>
          <t>Shaddock peel</t>
        </is>
      </c>
      <c r="B4" s="21" t="inlineStr">
        <is>
          <t>Biomass (H2O) / Carbon (dilute HCl + H2O)</t>
        </is>
      </c>
      <c r="C4" s="21" t="inlineStr">
        <is>
          <t>Water wash</t>
        </is>
      </c>
      <c r="D4" s="21" t="inlineStr">
        <is>
          <t>No</t>
        </is>
      </c>
      <c r="E4" s="21" t="inlineStr">
        <is>
          <t>Acid wash</t>
        </is>
      </c>
      <c r="F4" s="21" t="inlineStr">
        <is>
          <t>Mild</t>
        </is>
      </c>
      <c r="G4" s="20" t="inlineStr">
        <is>
          <t>One step</t>
        </is>
      </c>
      <c r="H4" s="20" t="inlineStr">
        <is>
          <t xml:space="preserve">Pyrolysis </t>
        </is>
      </c>
      <c r="I4" s="20" t="inlineStr">
        <is>
          <t>No</t>
        </is>
      </c>
      <c r="J4" s="20" t="n">
        <v>120</v>
      </c>
      <c r="K4" s="20" t="n"/>
      <c r="L4" s="20" t="n">
        <v>1000</v>
      </c>
      <c r="M4" s="20" t="inlineStr">
        <is>
          <t>No</t>
        </is>
      </c>
      <c r="N4" s="20" t="inlineStr">
        <is>
          <t>No</t>
        </is>
      </c>
      <c r="O4" s="20" t="inlineStr">
        <is>
          <t>No</t>
        </is>
      </c>
      <c r="P4" s="20" t="inlineStr">
        <is>
          <t>No</t>
        </is>
      </c>
      <c r="Q4" s="20" t="inlineStr">
        <is>
          <t>No</t>
        </is>
      </c>
      <c r="R4" s="4" t="n">
        <v>68.59999999999999</v>
      </c>
      <c r="S4" s="4" t="n">
        <v>0.382</v>
      </c>
      <c r="T4" s="23" t="n"/>
      <c r="U4" s="4" t="n"/>
      <c r="V4" s="4" t="n"/>
      <c r="W4" s="4" t="n">
        <v>0.035</v>
      </c>
      <c r="X4" s="20" t="n">
        <v>94.98</v>
      </c>
      <c r="Y4" s="20" t="inlineStr">
        <is>
          <t>[1]</t>
        </is>
      </c>
      <c r="AA4" s="9" t="n"/>
    </row>
    <row r="5" ht="15" customHeight="1">
      <c r="A5" s="20" t="inlineStr">
        <is>
          <t>Shaddock peel</t>
        </is>
      </c>
      <c r="B5" s="21" t="inlineStr">
        <is>
          <t>Biomass (H2O) / Carbon (dilute HCl + H2O)</t>
        </is>
      </c>
      <c r="C5" s="21" t="inlineStr">
        <is>
          <t>Water wash</t>
        </is>
      </c>
      <c r="D5" s="21" t="inlineStr">
        <is>
          <t>No</t>
        </is>
      </c>
      <c r="E5" s="21" t="inlineStr">
        <is>
          <t>Acid wash</t>
        </is>
      </c>
      <c r="F5" s="21" t="inlineStr">
        <is>
          <t>Mild</t>
        </is>
      </c>
      <c r="G5" s="20" t="inlineStr">
        <is>
          <t>One step</t>
        </is>
      </c>
      <c r="H5" s="20" t="inlineStr">
        <is>
          <t xml:space="preserve">Pyrolysis </t>
        </is>
      </c>
      <c r="I5" s="20" t="inlineStr">
        <is>
          <t>No</t>
        </is>
      </c>
      <c r="J5" s="20" t="n">
        <v>120</v>
      </c>
      <c r="K5" s="20" t="n"/>
      <c r="L5" s="20" t="n">
        <v>1400</v>
      </c>
      <c r="M5" s="20" t="inlineStr">
        <is>
          <t>No</t>
        </is>
      </c>
      <c r="N5" s="20" t="inlineStr">
        <is>
          <t>No</t>
        </is>
      </c>
      <c r="O5" s="20" t="inlineStr">
        <is>
          <t>No</t>
        </is>
      </c>
      <c r="P5" s="20" t="inlineStr">
        <is>
          <t>No</t>
        </is>
      </c>
      <c r="Q5" s="20" t="inlineStr">
        <is>
          <t>No</t>
        </is>
      </c>
      <c r="R5" s="4" t="n">
        <v>39</v>
      </c>
      <c r="S5" s="4" t="n">
        <v>0.376</v>
      </c>
      <c r="T5" s="23" t="n"/>
      <c r="U5" s="4" t="n"/>
      <c r="V5" s="4" t="n"/>
      <c r="W5" s="4" t="n">
        <v>0.04</v>
      </c>
      <c r="X5" s="20" t="n">
        <v>97.53</v>
      </c>
      <c r="Y5" s="20" t="inlineStr">
        <is>
          <t>[1]</t>
        </is>
      </c>
      <c r="AA5" s="9" t="n"/>
    </row>
    <row r="6" ht="15" customHeight="1">
      <c r="A6" s="20" t="inlineStr">
        <is>
          <t>Blue-green algae</t>
        </is>
      </c>
      <c r="B6" s="21" t="inlineStr">
        <is>
          <t>No</t>
        </is>
      </c>
      <c r="C6" s="21" t="inlineStr">
        <is>
          <t>No wash</t>
        </is>
      </c>
      <c r="D6" s="21" t="inlineStr">
        <is>
          <t>No</t>
        </is>
      </c>
      <c r="E6" s="21" t="inlineStr">
        <is>
          <t>No wash</t>
        </is>
      </c>
      <c r="F6" s="21" t="inlineStr">
        <is>
          <t>No</t>
        </is>
      </c>
      <c r="G6" s="20" t="inlineStr">
        <is>
          <t>One step</t>
        </is>
      </c>
      <c r="H6" s="20" t="inlineStr">
        <is>
          <t xml:space="preserve">Pyrolysis </t>
        </is>
      </c>
      <c r="I6" s="20" t="inlineStr">
        <is>
          <t>No</t>
        </is>
      </c>
      <c r="J6" s="20" t="n">
        <v>300</v>
      </c>
      <c r="K6" s="20" t="n"/>
      <c r="L6" s="20" t="n">
        <v>1000</v>
      </c>
      <c r="M6" s="20" t="inlineStr">
        <is>
          <t>No</t>
        </is>
      </c>
      <c r="N6" s="20" t="inlineStr">
        <is>
          <t>No</t>
        </is>
      </c>
      <c r="O6" s="20" t="inlineStr">
        <is>
          <t>No</t>
        </is>
      </c>
      <c r="P6" s="20" t="inlineStr">
        <is>
          <t>No</t>
        </is>
      </c>
      <c r="Q6" s="20" t="inlineStr">
        <is>
          <t>No</t>
        </is>
      </c>
      <c r="R6" s="20" t="inlineStr">
        <is>
          <t>n/a</t>
        </is>
      </c>
      <c r="S6" s="20" t="n"/>
      <c r="T6" s="22" t="n"/>
      <c r="U6" s="20" t="n"/>
      <c r="V6" s="20" t="n"/>
      <c r="W6" s="20" t="n"/>
      <c r="X6" s="20" t="n">
        <v>79.70999999999999</v>
      </c>
      <c r="Y6" s="24" t="inlineStr">
        <is>
          <t>[2]</t>
        </is>
      </c>
      <c r="Z6" s="10" t="n"/>
      <c r="AA6" s="9" t="n"/>
    </row>
    <row r="7" ht="15" customHeight="1">
      <c r="A7" s="20" t="inlineStr">
        <is>
          <t>Blue-green algae</t>
        </is>
      </c>
      <c r="B7" s="21" t="inlineStr">
        <is>
          <t>No</t>
        </is>
      </c>
      <c r="C7" s="21" t="inlineStr">
        <is>
          <t>No wash</t>
        </is>
      </c>
      <c r="D7" s="21" t="inlineStr">
        <is>
          <t>No</t>
        </is>
      </c>
      <c r="E7" s="21" t="inlineStr">
        <is>
          <t>No wash</t>
        </is>
      </c>
      <c r="F7" s="21" t="inlineStr">
        <is>
          <t>No</t>
        </is>
      </c>
      <c r="G7" s="20" t="inlineStr">
        <is>
          <t>One step</t>
        </is>
      </c>
      <c r="H7" s="20" t="inlineStr">
        <is>
          <t xml:space="preserve">Pyrolysis </t>
        </is>
      </c>
      <c r="I7" s="20" t="inlineStr">
        <is>
          <t>No</t>
        </is>
      </c>
      <c r="J7" s="20" t="n">
        <v>300</v>
      </c>
      <c r="K7" s="20" t="n"/>
      <c r="L7" s="20" t="n">
        <v>700</v>
      </c>
      <c r="M7" s="20" t="inlineStr">
        <is>
          <t>No</t>
        </is>
      </c>
      <c r="N7" s="20" t="inlineStr">
        <is>
          <t>No</t>
        </is>
      </c>
      <c r="O7" s="20" t="inlineStr">
        <is>
          <t>No</t>
        </is>
      </c>
      <c r="P7" s="20" t="inlineStr">
        <is>
          <t>No</t>
        </is>
      </c>
      <c r="Q7" s="20" t="inlineStr">
        <is>
          <t>No</t>
        </is>
      </c>
      <c r="R7" s="20" t="inlineStr">
        <is>
          <t>n/a</t>
        </is>
      </c>
      <c r="S7" s="20" t="n">
        <v>0.36</v>
      </c>
      <c r="T7" s="22" t="n"/>
      <c r="U7" s="20" t="n"/>
      <c r="V7" s="20" t="n"/>
      <c r="W7" s="20" t="n"/>
      <c r="X7" s="20" t="n">
        <v>70.09</v>
      </c>
      <c r="Y7" s="24" t="inlineStr">
        <is>
          <t>[2]</t>
        </is>
      </c>
    </row>
    <row r="8" ht="15" customHeight="1">
      <c r="A8" s="20" t="inlineStr">
        <is>
          <t>Blue-green algae</t>
        </is>
      </c>
      <c r="B8" s="21" t="inlineStr">
        <is>
          <t>No</t>
        </is>
      </c>
      <c r="C8" s="21" t="inlineStr">
        <is>
          <t>No wash</t>
        </is>
      </c>
      <c r="D8" s="21" t="inlineStr">
        <is>
          <t>No</t>
        </is>
      </c>
      <c r="E8" s="21" t="inlineStr">
        <is>
          <t>No wash</t>
        </is>
      </c>
      <c r="F8" s="21" t="inlineStr">
        <is>
          <t>No</t>
        </is>
      </c>
      <c r="G8" s="20" t="inlineStr">
        <is>
          <t>One step</t>
        </is>
      </c>
      <c r="H8" s="20" t="inlineStr">
        <is>
          <t xml:space="preserve">Pyrolysis </t>
        </is>
      </c>
      <c r="I8" s="20" t="inlineStr">
        <is>
          <t>No</t>
        </is>
      </c>
      <c r="J8" s="20" t="n">
        <v>300</v>
      </c>
      <c r="K8" s="20" t="n"/>
      <c r="L8" s="20" t="n">
        <v>850</v>
      </c>
      <c r="M8" s="20" t="inlineStr">
        <is>
          <t>No</t>
        </is>
      </c>
      <c r="N8" s="20" t="inlineStr">
        <is>
          <t>No</t>
        </is>
      </c>
      <c r="O8" s="20" t="inlineStr">
        <is>
          <t>No</t>
        </is>
      </c>
      <c r="P8" s="20" t="inlineStr">
        <is>
          <t>No</t>
        </is>
      </c>
      <c r="Q8" s="20" t="inlineStr">
        <is>
          <t>No</t>
        </is>
      </c>
      <c r="R8" s="20" t="inlineStr">
        <is>
          <t>n/a</t>
        </is>
      </c>
      <c r="S8" s="20" t="n"/>
      <c r="T8" s="22" t="n"/>
      <c r="U8" s="20" t="n"/>
      <c r="V8" s="20" t="n"/>
      <c r="W8" s="20" t="n"/>
      <c r="X8" s="20" t="n">
        <v>73.97</v>
      </c>
      <c r="Y8" s="24" t="inlineStr">
        <is>
          <t>[2]</t>
        </is>
      </c>
    </row>
    <row r="9" ht="15" customHeight="1">
      <c r="A9" s="20" t="inlineStr">
        <is>
          <t>Cotton</t>
        </is>
      </c>
      <c r="B9" s="21" t="inlineStr">
        <is>
          <t>No</t>
        </is>
      </c>
      <c r="C9" s="21" t="inlineStr">
        <is>
          <t>No wash</t>
        </is>
      </c>
      <c r="D9" s="21" t="inlineStr">
        <is>
          <t>No</t>
        </is>
      </c>
      <c r="E9" s="21" t="inlineStr">
        <is>
          <t>No wash</t>
        </is>
      </c>
      <c r="F9" s="21" t="inlineStr">
        <is>
          <t>No</t>
        </is>
      </c>
      <c r="G9" s="20" t="inlineStr">
        <is>
          <t>One step</t>
        </is>
      </c>
      <c r="H9" s="20" t="inlineStr">
        <is>
          <t xml:space="preserve">Pyrolysis </t>
        </is>
      </c>
      <c r="I9" s="20" t="inlineStr">
        <is>
          <t>No</t>
        </is>
      </c>
      <c r="J9" s="20" t="n">
        <v>120</v>
      </c>
      <c r="K9" s="20" t="n"/>
      <c r="L9" s="20" t="n">
        <v>1300</v>
      </c>
      <c r="M9" s="20" t="inlineStr">
        <is>
          <t>No</t>
        </is>
      </c>
      <c r="N9" s="20" t="inlineStr">
        <is>
          <t>No</t>
        </is>
      </c>
      <c r="O9" s="20" t="inlineStr">
        <is>
          <t>No</t>
        </is>
      </c>
      <c r="P9" s="20" t="inlineStr">
        <is>
          <t>No</t>
        </is>
      </c>
      <c r="Q9" s="20" t="inlineStr">
        <is>
          <t>No</t>
        </is>
      </c>
      <c r="R9" s="20" t="n">
        <v>38</v>
      </c>
      <c r="S9" s="20" t="n">
        <v>0.41</v>
      </c>
      <c r="T9" s="22" t="n"/>
      <c r="U9" s="4" t="n">
        <v>4.03</v>
      </c>
      <c r="V9" s="20" t="n">
        <v>1.62</v>
      </c>
      <c r="W9" s="20" t="n"/>
      <c r="X9" s="20" t="n"/>
      <c r="Y9" s="24" t="inlineStr">
        <is>
          <t>[3]</t>
        </is>
      </c>
    </row>
    <row r="10" ht="15" customHeight="1">
      <c r="A10" s="20" t="inlineStr">
        <is>
          <t>Cotton</t>
        </is>
      </c>
      <c r="B10" s="21" t="inlineStr">
        <is>
          <t>No</t>
        </is>
      </c>
      <c r="C10" s="21" t="inlineStr">
        <is>
          <t>No wash</t>
        </is>
      </c>
      <c r="D10" s="21" t="inlineStr">
        <is>
          <t>No</t>
        </is>
      </c>
      <c r="E10" s="21" t="inlineStr">
        <is>
          <t>No wash</t>
        </is>
      </c>
      <c r="F10" s="21" t="inlineStr">
        <is>
          <t>No</t>
        </is>
      </c>
      <c r="G10" s="20" t="inlineStr">
        <is>
          <t>One step</t>
        </is>
      </c>
      <c r="H10" s="20" t="inlineStr">
        <is>
          <t xml:space="preserve">Pyrolysis </t>
        </is>
      </c>
      <c r="I10" s="20" t="inlineStr">
        <is>
          <t>No</t>
        </is>
      </c>
      <c r="J10" s="20" t="n">
        <v>120</v>
      </c>
      <c r="K10" s="20" t="n"/>
      <c r="L10" s="20" t="n">
        <v>1000</v>
      </c>
      <c r="M10" s="20" t="inlineStr">
        <is>
          <t>No</t>
        </is>
      </c>
      <c r="N10" s="20" t="inlineStr">
        <is>
          <t>No</t>
        </is>
      </c>
      <c r="O10" s="20" t="inlineStr">
        <is>
          <t>No</t>
        </is>
      </c>
      <c r="P10" s="20" t="inlineStr">
        <is>
          <t>No</t>
        </is>
      </c>
      <c r="Q10" s="20" t="inlineStr">
        <is>
          <t>No</t>
        </is>
      </c>
      <c r="R10" s="20" t="n">
        <v>538</v>
      </c>
      <c r="S10" s="20" t="n">
        <v>0.414</v>
      </c>
      <c r="T10" s="22" t="n"/>
      <c r="U10" s="4" t="n">
        <v>4.26</v>
      </c>
      <c r="V10" s="20" t="n">
        <v>1.6</v>
      </c>
      <c r="W10" s="20" t="n"/>
      <c r="X10" s="20" t="n"/>
      <c r="Y10" s="24" t="inlineStr">
        <is>
          <t>[3]</t>
        </is>
      </c>
    </row>
    <row r="11" ht="15" customHeight="1">
      <c r="A11" s="20" t="inlineStr">
        <is>
          <t>Cotton</t>
        </is>
      </c>
      <c r="B11" s="21" t="inlineStr">
        <is>
          <t>No</t>
        </is>
      </c>
      <c r="C11" s="21" t="inlineStr">
        <is>
          <t>No wash</t>
        </is>
      </c>
      <c r="D11" s="21" t="inlineStr">
        <is>
          <t>No</t>
        </is>
      </c>
      <c r="E11" s="21" t="inlineStr">
        <is>
          <t>No wash</t>
        </is>
      </c>
      <c r="F11" s="21" t="inlineStr">
        <is>
          <t>No</t>
        </is>
      </c>
      <c r="G11" s="20" t="inlineStr">
        <is>
          <t>One step</t>
        </is>
      </c>
      <c r="H11" s="20" t="inlineStr">
        <is>
          <t xml:space="preserve">Pyrolysis </t>
        </is>
      </c>
      <c r="I11" s="20" t="inlineStr">
        <is>
          <t>No</t>
        </is>
      </c>
      <c r="J11" s="20" t="n">
        <v>120</v>
      </c>
      <c r="K11" s="20" t="n"/>
      <c r="L11" s="20" t="n">
        <v>1600</v>
      </c>
      <c r="M11" s="20" t="inlineStr">
        <is>
          <t>No</t>
        </is>
      </c>
      <c r="N11" s="20" t="inlineStr">
        <is>
          <t>No</t>
        </is>
      </c>
      <c r="O11" s="20" t="inlineStr">
        <is>
          <t>No</t>
        </is>
      </c>
      <c r="P11" s="20" t="inlineStr">
        <is>
          <t>No</t>
        </is>
      </c>
      <c r="Q11" s="20" t="inlineStr">
        <is>
          <t>No</t>
        </is>
      </c>
      <c r="R11" s="20" t="n">
        <v>14</v>
      </c>
      <c r="S11" s="20" t="n">
        <v>0.402</v>
      </c>
      <c r="T11" s="22" t="n"/>
      <c r="U11" s="4" t="n">
        <v>3.44</v>
      </c>
      <c r="V11" s="20" t="n">
        <v>1.66</v>
      </c>
      <c r="W11" s="20" t="n"/>
      <c r="X11" s="20" t="n"/>
      <c r="Y11" s="24" t="inlineStr">
        <is>
          <t>[3]</t>
        </is>
      </c>
    </row>
    <row r="12" ht="15" customHeight="1">
      <c r="A12" s="20" t="inlineStr">
        <is>
          <t>Corn cob</t>
        </is>
      </c>
      <c r="B12" s="21" t="inlineStr">
        <is>
          <t>No</t>
        </is>
      </c>
      <c r="C12" s="21" t="inlineStr">
        <is>
          <t>No wash</t>
        </is>
      </c>
      <c r="D12" s="21" t="inlineStr">
        <is>
          <t>No</t>
        </is>
      </c>
      <c r="E12" s="21" t="inlineStr">
        <is>
          <t>No wash</t>
        </is>
      </c>
      <c r="F12" s="21" t="inlineStr">
        <is>
          <t>No</t>
        </is>
      </c>
      <c r="G12" s="20" t="inlineStr">
        <is>
          <t>One step</t>
        </is>
      </c>
      <c r="H12" s="20" t="inlineStr">
        <is>
          <t xml:space="preserve">Pyrolysis </t>
        </is>
      </c>
      <c r="I12" s="20" t="inlineStr">
        <is>
          <t>No</t>
        </is>
      </c>
      <c r="J12" s="20" t="n">
        <v>120</v>
      </c>
      <c r="K12" s="20" t="n"/>
      <c r="L12" s="20" t="n">
        <v>1000</v>
      </c>
      <c r="M12" s="20" t="inlineStr">
        <is>
          <t>No</t>
        </is>
      </c>
      <c r="N12" s="20" t="inlineStr">
        <is>
          <t>No</t>
        </is>
      </c>
      <c r="O12" s="20" t="inlineStr">
        <is>
          <t>No</t>
        </is>
      </c>
      <c r="P12" s="20" t="inlineStr">
        <is>
          <t>No</t>
        </is>
      </c>
      <c r="Q12" s="20" t="inlineStr">
        <is>
          <t>No</t>
        </is>
      </c>
      <c r="R12" s="25" t="n">
        <v>5485</v>
      </c>
      <c r="S12" s="26" t="n">
        <v>0.408</v>
      </c>
      <c r="T12" s="22" t="n"/>
      <c r="U12" s="4" t="n">
        <v>4.61</v>
      </c>
      <c r="V12" s="4" t="n">
        <v>1.34</v>
      </c>
      <c r="W12" s="25" t="n"/>
      <c r="X12" s="20" t="n"/>
      <c r="Y12" s="24" t="inlineStr">
        <is>
          <t>[4]</t>
        </is>
      </c>
    </row>
    <row r="13" ht="15" customHeight="1">
      <c r="A13" s="20" t="inlineStr">
        <is>
          <t>Corn cob</t>
        </is>
      </c>
      <c r="B13" s="21" t="inlineStr">
        <is>
          <t>No</t>
        </is>
      </c>
      <c r="C13" s="21" t="inlineStr">
        <is>
          <t>No wash</t>
        </is>
      </c>
      <c r="D13" s="21" t="inlineStr">
        <is>
          <t>No</t>
        </is>
      </c>
      <c r="E13" s="21" t="inlineStr">
        <is>
          <t>No wash</t>
        </is>
      </c>
      <c r="F13" s="21" t="inlineStr">
        <is>
          <t>No</t>
        </is>
      </c>
      <c r="G13" s="20" t="inlineStr">
        <is>
          <t>One step</t>
        </is>
      </c>
      <c r="H13" s="20" t="inlineStr">
        <is>
          <t xml:space="preserve">Pyrolysis </t>
        </is>
      </c>
      <c r="I13" s="20" t="inlineStr">
        <is>
          <t>No</t>
        </is>
      </c>
      <c r="J13" s="20" t="n">
        <v>120</v>
      </c>
      <c r="K13" s="20" t="n"/>
      <c r="L13" s="20" t="n">
        <v>1300</v>
      </c>
      <c r="M13" s="20" t="inlineStr">
        <is>
          <t>No</t>
        </is>
      </c>
      <c r="N13" s="20" t="inlineStr">
        <is>
          <t>No</t>
        </is>
      </c>
      <c r="O13" s="20" t="inlineStr">
        <is>
          <t>No</t>
        </is>
      </c>
      <c r="P13" s="20" t="inlineStr">
        <is>
          <t>No</t>
        </is>
      </c>
      <c r="Q13" s="20" t="inlineStr">
        <is>
          <t>No</t>
        </is>
      </c>
      <c r="R13" s="20" t="n">
        <v>3.733</v>
      </c>
      <c r="S13" s="20" t="n">
        <v>0.398</v>
      </c>
      <c r="T13" s="22" t="n"/>
      <c r="U13" s="4" t="n">
        <v>4.61</v>
      </c>
      <c r="V13" s="4" t="n">
        <v>1.39</v>
      </c>
      <c r="W13" s="20" t="n"/>
      <c r="X13" s="20" t="n"/>
      <c r="Y13" s="24" t="inlineStr">
        <is>
          <t>[4]</t>
        </is>
      </c>
    </row>
    <row r="14" ht="15" customHeight="1">
      <c r="A14" s="20" t="inlineStr">
        <is>
          <t>Corn cob</t>
        </is>
      </c>
      <c r="B14" s="21" t="inlineStr">
        <is>
          <t>No</t>
        </is>
      </c>
      <c r="C14" s="21" t="inlineStr">
        <is>
          <t>No wash</t>
        </is>
      </c>
      <c r="D14" s="21" t="inlineStr">
        <is>
          <t>No</t>
        </is>
      </c>
      <c r="E14" s="21" t="inlineStr">
        <is>
          <t>No wash</t>
        </is>
      </c>
      <c r="F14" s="21" t="inlineStr">
        <is>
          <t>No</t>
        </is>
      </c>
      <c r="G14" s="20" t="inlineStr">
        <is>
          <t>One step</t>
        </is>
      </c>
      <c r="H14" s="20" t="inlineStr">
        <is>
          <t xml:space="preserve">Pyrolysis </t>
        </is>
      </c>
      <c r="I14" s="20" t="inlineStr">
        <is>
          <t>No</t>
        </is>
      </c>
      <c r="J14" s="20" t="n">
        <v>120</v>
      </c>
      <c r="K14" s="20" t="n"/>
      <c r="L14" s="20" t="n">
        <v>1600</v>
      </c>
      <c r="M14" s="20" t="inlineStr">
        <is>
          <t>No</t>
        </is>
      </c>
      <c r="N14" s="20" t="inlineStr">
        <is>
          <t>No</t>
        </is>
      </c>
      <c r="O14" s="20" t="inlineStr">
        <is>
          <t>No</t>
        </is>
      </c>
      <c r="P14" s="20" t="inlineStr">
        <is>
          <t>No</t>
        </is>
      </c>
      <c r="Q14" s="20" t="inlineStr">
        <is>
          <t>No</t>
        </is>
      </c>
      <c r="R14" s="20" t="n">
        <v>1.431</v>
      </c>
      <c r="S14" s="20" t="n">
        <v>0.389</v>
      </c>
      <c r="T14" s="22" t="n"/>
      <c r="U14" s="4" t="n">
        <v>3.75</v>
      </c>
      <c r="V14" s="4" t="n">
        <v>1.47</v>
      </c>
      <c r="W14" s="20" t="n"/>
      <c r="X14" s="20" t="n"/>
      <c r="Y14" s="24" t="inlineStr">
        <is>
          <t>[4]</t>
        </is>
      </c>
    </row>
    <row r="15" ht="15" customHeight="1">
      <c r="A15" s="20" t="inlineStr">
        <is>
          <t>Argan shell</t>
        </is>
      </c>
      <c r="B15" s="21" t="inlineStr">
        <is>
          <t>Biomass (acetone)</t>
        </is>
      </c>
      <c r="C15" s="21" t="inlineStr">
        <is>
          <t>Organic wash</t>
        </is>
      </c>
      <c r="D15" s="21" t="inlineStr">
        <is>
          <t>No</t>
        </is>
      </c>
      <c r="E15" s="21" t="inlineStr">
        <is>
          <t>No wash</t>
        </is>
      </c>
      <c r="F15" s="21" t="inlineStr">
        <is>
          <t>No</t>
        </is>
      </c>
      <c r="G15" s="20" t="inlineStr">
        <is>
          <t>One step</t>
        </is>
      </c>
      <c r="H15" s="20" t="inlineStr">
        <is>
          <t xml:space="preserve">Pyrolysis </t>
        </is>
      </c>
      <c r="I15" s="20" t="inlineStr">
        <is>
          <t>No</t>
        </is>
      </c>
      <c r="J15" s="20" t="n">
        <v>60</v>
      </c>
      <c r="K15" s="20" t="n">
        <v>5</v>
      </c>
      <c r="L15" s="20" t="n">
        <v>800</v>
      </c>
      <c r="M15" s="20" t="inlineStr">
        <is>
          <t>No</t>
        </is>
      </c>
      <c r="N15" s="20" t="inlineStr">
        <is>
          <t>No</t>
        </is>
      </c>
      <c r="O15" s="20" t="inlineStr">
        <is>
          <t>No</t>
        </is>
      </c>
      <c r="P15" s="20" t="inlineStr">
        <is>
          <t>No</t>
        </is>
      </c>
      <c r="Q15" s="20" t="inlineStr">
        <is>
          <t>No</t>
        </is>
      </c>
      <c r="R15" s="20" t="n">
        <v>99</v>
      </c>
      <c r="S15" s="20" t="n">
        <v>0.4</v>
      </c>
      <c r="T15" s="23">
        <f>1/2.66</f>
        <v/>
      </c>
      <c r="U15" s="20" t="n"/>
      <c r="V15" s="27">
        <f>8.99/10</f>
        <v/>
      </c>
      <c r="W15" s="4" t="n">
        <v>0.054</v>
      </c>
      <c r="X15" s="20" t="n"/>
      <c r="Y15" s="24" t="inlineStr">
        <is>
          <t>[5]</t>
        </is>
      </c>
    </row>
    <row r="16" ht="15" customHeight="1">
      <c r="A16" s="20" t="inlineStr">
        <is>
          <t>Argan shell</t>
        </is>
      </c>
      <c r="B16" s="21" t="inlineStr">
        <is>
          <t>Biomass (acetone)</t>
        </is>
      </c>
      <c r="C16" s="21" t="inlineStr">
        <is>
          <t>Organic wash</t>
        </is>
      </c>
      <c r="D16" s="21" t="inlineStr">
        <is>
          <t>No</t>
        </is>
      </c>
      <c r="E16" s="21" t="inlineStr">
        <is>
          <t>No wash</t>
        </is>
      </c>
      <c r="F16" s="21" t="inlineStr">
        <is>
          <t>No</t>
        </is>
      </c>
      <c r="G16" s="20" t="inlineStr">
        <is>
          <t>One step</t>
        </is>
      </c>
      <c r="H16" s="20" t="inlineStr">
        <is>
          <t xml:space="preserve">Pyrolysis </t>
        </is>
      </c>
      <c r="I16" s="20" t="inlineStr">
        <is>
          <t>No</t>
        </is>
      </c>
      <c r="J16" s="20" t="n">
        <v>60</v>
      </c>
      <c r="K16" s="20" t="n">
        <v>5</v>
      </c>
      <c r="L16" s="20" t="n">
        <v>1000</v>
      </c>
      <c r="M16" s="20" t="inlineStr">
        <is>
          <t>No</t>
        </is>
      </c>
      <c r="N16" s="20" t="inlineStr">
        <is>
          <t>No</t>
        </is>
      </c>
      <c r="O16" s="20" t="inlineStr">
        <is>
          <t>No</t>
        </is>
      </c>
      <c r="P16" s="20" t="inlineStr">
        <is>
          <t>No</t>
        </is>
      </c>
      <c r="Q16" s="20" t="inlineStr">
        <is>
          <t>No</t>
        </is>
      </c>
      <c r="R16" s="20" t="n">
        <v>7.7</v>
      </c>
      <c r="S16" s="20" t="n">
        <v>0.4</v>
      </c>
      <c r="T16" s="23">
        <f>1/2.47</f>
        <v/>
      </c>
      <c r="U16" s="20" t="n"/>
      <c r="V16" s="27">
        <f>8.62/10</f>
        <v/>
      </c>
      <c r="W16" s="4" t="n">
        <v>0.0045</v>
      </c>
      <c r="X16" s="20" t="n"/>
      <c r="Y16" s="24" t="inlineStr">
        <is>
          <t>[5]</t>
        </is>
      </c>
    </row>
    <row r="17" ht="15" customHeight="1">
      <c r="A17" s="20" t="inlineStr">
        <is>
          <t>Argan shell</t>
        </is>
      </c>
      <c r="B17" s="21" t="inlineStr">
        <is>
          <t>Biomass (acetone)</t>
        </is>
      </c>
      <c r="C17" s="21" t="inlineStr">
        <is>
          <t>Organic wash</t>
        </is>
      </c>
      <c r="D17" s="21" t="inlineStr">
        <is>
          <t>No</t>
        </is>
      </c>
      <c r="E17" s="21" t="inlineStr">
        <is>
          <t>No wash</t>
        </is>
      </c>
      <c r="F17" s="21" t="inlineStr">
        <is>
          <t>No</t>
        </is>
      </c>
      <c r="G17" s="20" t="inlineStr">
        <is>
          <t>One step</t>
        </is>
      </c>
      <c r="H17" s="20" t="inlineStr">
        <is>
          <t xml:space="preserve">Pyrolysis </t>
        </is>
      </c>
      <c r="I17" s="20" t="inlineStr">
        <is>
          <t>No</t>
        </is>
      </c>
      <c r="J17" s="20" t="n">
        <v>60</v>
      </c>
      <c r="K17" s="20" t="n">
        <v>5</v>
      </c>
      <c r="L17" s="20" t="n">
        <v>1200</v>
      </c>
      <c r="M17" s="20" t="inlineStr">
        <is>
          <t>No</t>
        </is>
      </c>
      <c r="N17" s="20" t="inlineStr">
        <is>
          <t>No</t>
        </is>
      </c>
      <c r="O17" s="20" t="inlineStr">
        <is>
          <t>No</t>
        </is>
      </c>
      <c r="P17" s="20" t="inlineStr">
        <is>
          <t>No</t>
        </is>
      </c>
      <c r="Q17" s="20" t="inlineStr">
        <is>
          <t>No</t>
        </is>
      </c>
      <c r="R17" s="20" t="n">
        <v>3.9</v>
      </c>
      <c r="S17" s="20" t="n">
        <v>0.393</v>
      </c>
      <c r="T17" s="22">
        <f>1/2.23</f>
        <v/>
      </c>
      <c r="U17" s="20" t="n"/>
      <c r="V17" s="27">
        <f>8.7/10</f>
        <v/>
      </c>
      <c r="W17" s="4" t="n">
        <v>0.0047</v>
      </c>
      <c r="X17" s="20" t="n"/>
      <c r="Y17" s="24" t="inlineStr">
        <is>
          <t>[5]</t>
        </is>
      </c>
    </row>
    <row r="18" ht="15" customHeight="1">
      <c r="A18" s="20" t="inlineStr">
        <is>
          <t>Argan shell</t>
        </is>
      </c>
      <c r="B18" s="21" t="inlineStr">
        <is>
          <t>Biomass (acetone)</t>
        </is>
      </c>
      <c r="C18" s="21" t="inlineStr">
        <is>
          <t>Organic wash</t>
        </is>
      </c>
      <c r="D18" s="21" t="inlineStr">
        <is>
          <t>No</t>
        </is>
      </c>
      <c r="E18" s="21" t="inlineStr">
        <is>
          <t>No wash</t>
        </is>
      </c>
      <c r="F18" s="21" t="inlineStr">
        <is>
          <t>No</t>
        </is>
      </c>
      <c r="G18" s="20" t="inlineStr">
        <is>
          <t>One step</t>
        </is>
      </c>
      <c r="H18" s="20" t="inlineStr">
        <is>
          <t xml:space="preserve">Pyrolysis </t>
        </is>
      </c>
      <c r="I18" s="20" t="inlineStr">
        <is>
          <t>No</t>
        </is>
      </c>
      <c r="J18" s="20" t="n">
        <v>60</v>
      </c>
      <c r="K18" s="20" t="n">
        <v>5</v>
      </c>
      <c r="L18" s="20" t="n">
        <v>1300</v>
      </c>
      <c r="M18" s="20" t="inlineStr">
        <is>
          <t>No</t>
        </is>
      </c>
      <c r="N18" s="20" t="inlineStr">
        <is>
          <t>No</t>
        </is>
      </c>
      <c r="O18" s="20" t="inlineStr">
        <is>
          <t>No</t>
        </is>
      </c>
      <c r="P18" s="20" t="inlineStr">
        <is>
          <t>No</t>
        </is>
      </c>
      <c r="Q18" s="20" t="inlineStr">
        <is>
          <t>No</t>
        </is>
      </c>
      <c r="R18" s="20" t="n">
        <v>2.6</v>
      </c>
      <c r="S18" s="20" t="n">
        <v>0.388</v>
      </c>
      <c r="T18" s="22">
        <f>1/2.06</f>
        <v/>
      </c>
      <c r="U18" s="20" t="n"/>
      <c r="V18" s="27">
        <f>10/10</f>
        <v/>
      </c>
      <c r="W18" s="4" t="n">
        <v>0.0049</v>
      </c>
      <c r="X18" s="20" t="n"/>
      <c r="Y18" s="24" t="inlineStr">
        <is>
          <t>[5]</t>
        </is>
      </c>
    </row>
    <row r="19" ht="15" customHeight="1">
      <c r="A19" s="20" t="inlineStr">
        <is>
          <t>Argan shell</t>
        </is>
      </c>
      <c r="B19" s="21" t="inlineStr">
        <is>
          <t>Biomass (acetone + 2M HCl / H2O)</t>
        </is>
      </c>
      <c r="C19" s="21" t="inlineStr">
        <is>
          <t>Acid wash</t>
        </is>
      </c>
      <c r="D19" s="21" t="inlineStr">
        <is>
          <t>Mild</t>
        </is>
      </c>
      <c r="E19" s="21" t="inlineStr">
        <is>
          <t>No wash</t>
        </is>
      </c>
      <c r="F19" s="21" t="inlineStr">
        <is>
          <t>No</t>
        </is>
      </c>
      <c r="G19" s="20" t="inlineStr">
        <is>
          <t>One step</t>
        </is>
      </c>
      <c r="H19" s="20" t="inlineStr">
        <is>
          <t xml:space="preserve">Pyrolysis </t>
        </is>
      </c>
      <c r="I19" s="20" t="inlineStr">
        <is>
          <t>No</t>
        </is>
      </c>
      <c r="J19" s="20" t="n">
        <v>60</v>
      </c>
      <c r="K19" s="20" t="n">
        <v>5</v>
      </c>
      <c r="L19" s="20" t="n">
        <v>800</v>
      </c>
      <c r="M19" s="20" t="inlineStr">
        <is>
          <t>No</t>
        </is>
      </c>
      <c r="N19" s="20" t="inlineStr">
        <is>
          <t>No</t>
        </is>
      </c>
      <c r="O19" s="20" t="inlineStr">
        <is>
          <t>No</t>
        </is>
      </c>
      <c r="P19" s="20" t="inlineStr">
        <is>
          <t>No</t>
        </is>
      </c>
      <c r="Q19" s="20" t="inlineStr">
        <is>
          <t>No</t>
        </is>
      </c>
      <c r="R19" s="20" t="n">
        <v>380</v>
      </c>
      <c r="S19" s="20" t="n">
        <v>0.391</v>
      </c>
      <c r="T19" s="22">
        <f>1/1.77</f>
        <v/>
      </c>
      <c r="U19" s="20" t="n"/>
      <c r="V19" s="27">
        <f>10.1/10</f>
        <v/>
      </c>
      <c r="W19" s="4" t="n">
        <v>0.2</v>
      </c>
      <c r="X19" s="20" t="n"/>
      <c r="Y19" s="24" t="inlineStr">
        <is>
          <t>[5]</t>
        </is>
      </c>
    </row>
    <row r="20" ht="15" customHeight="1">
      <c r="A20" s="20" t="inlineStr">
        <is>
          <t>Argan shell</t>
        </is>
      </c>
      <c r="B20" s="21" t="inlineStr">
        <is>
          <t>Biomass (acetone + 2M HCl / H2O)</t>
        </is>
      </c>
      <c r="C20" s="21" t="inlineStr">
        <is>
          <t>Acid wash</t>
        </is>
      </c>
      <c r="D20" s="21" t="inlineStr">
        <is>
          <t>Mild</t>
        </is>
      </c>
      <c r="E20" s="21" t="inlineStr">
        <is>
          <t>No wash</t>
        </is>
      </c>
      <c r="F20" s="21" t="inlineStr">
        <is>
          <t>No</t>
        </is>
      </c>
      <c r="G20" s="20" t="inlineStr">
        <is>
          <t>One step</t>
        </is>
      </c>
      <c r="H20" s="20" t="inlineStr">
        <is>
          <t xml:space="preserve">Pyrolysis </t>
        </is>
      </c>
      <c r="I20" s="20" t="inlineStr">
        <is>
          <t>No</t>
        </is>
      </c>
      <c r="J20" s="20" t="n">
        <v>60</v>
      </c>
      <c r="K20" s="20" t="n">
        <v>5</v>
      </c>
      <c r="L20" s="20" t="n">
        <v>1000</v>
      </c>
      <c r="M20" s="20" t="inlineStr">
        <is>
          <t>No</t>
        </is>
      </c>
      <c r="N20" s="20" t="inlineStr">
        <is>
          <t>No</t>
        </is>
      </c>
      <c r="O20" s="20" t="inlineStr">
        <is>
          <t>No</t>
        </is>
      </c>
      <c r="P20" s="20" t="inlineStr">
        <is>
          <t>No</t>
        </is>
      </c>
      <c r="Q20" s="20" t="inlineStr">
        <is>
          <t>No</t>
        </is>
      </c>
      <c r="R20" s="20" t="n">
        <v>270</v>
      </c>
      <c r="S20" s="20" t="n">
        <v>0.39</v>
      </c>
      <c r="T20" s="22">
        <f>1/1.78</f>
        <v/>
      </c>
      <c r="U20" s="20" t="n"/>
      <c r="V20" s="27">
        <f>9.61/10</f>
        <v/>
      </c>
      <c r="W20" s="4" t="n">
        <v>0.15</v>
      </c>
      <c r="X20" s="20" t="n"/>
      <c r="Y20" s="24" t="inlineStr">
        <is>
          <t>[5]</t>
        </is>
      </c>
    </row>
    <row r="21" ht="15" customHeight="1">
      <c r="A21" s="20" t="inlineStr">
        <is>
          <t>Argan shell</t>
        </is>
      </c>
      <c r="B21" s="21" t="inlineStr">
        <is>
          <t>Biomass (acetone + 2M HCl / H2O)</t>
        </is>
      </c>
      <c r="C21" s="21" t="inlineStr">
        <is>
          <t>Acid wash</t>
        </is>
      </c>
      <c r="D21" s="21" t="inlineStr">
        <is>
          <t>Mild</t>
        </is>
      </c>
      <c r="E21" s="21" t="inlineStr">
        <is>
          <t>No wash</t>
        </is>
      </c>
      <c r="F21" s="21" t="inlineStr">
        <is>
          <t>No</t>
        </is>
      </c>
      <c r="G21" s="20" t="inlineStr">
        <is>
          <t>One step</t>
        </is>
      </c>
      <c r="H21" s="20" t="inlineStr">
        <is>
          <t xml:space="preserve">Pyrolysis </t>
        </is>
      </c>
      <c r="I21" s="20" t="inlineStr">
        <is>
          <t>No</t>
        </is>
      </c>
      <c r="J21" s="20" t="n">
        <v>60</v>
      </c>
      <c r="K21" s="20" t="n">
        <v>5</v>
      </c>
      <c r="L21" s="20" t="n">
        <v>1200</v>
      </c>
      <c r="M21" s="20" t="inlineStr">
        <is>
          <t>No</t>
        </is>
      </c>
      <c r="N21" s="20" t="inlineStr">
        <is>
          <t>No</t>
        </is>
      </c>
      <c r="O21" s="20" t="inlineStr">
        <is>
          <t>No</t>
        </is>
      </c>
      <c r="P21" s="20" t="inlineStr">
        <is>
          <t>No</t>
        </is>
      </c>
      <c r="Q21" s="20" t="inlineStr">
        <is>
          <t>No</t>
        </is>
      </c>
      <c r="R21" s="20" t="n">
        <v>23</v>
      </c>
      <c r="S21" s="20" t="n">
        <v>0.393</v>
      </c>
      <c r="T21" s="22">
        <f>1/1.77</f>
        <v/>
      </c>
      <c r="U21" s="20" t="n"/>
      <c r="V21" s="27">
        <f>11.4/10</f>
        <v/>
      </c>
      <c r="W21" s="4" t="n">
        <v>0.019</v>
      </c>
      <c r="X21" s="20" t="n"/>
      <c r="Y21" s="24" t="inlineStr">
        <is>
          <t>[5]</t>
        </is>
      </c>
    </row>
    <row r="22" ht="15" customHeight="1">
      <c r="A22" s="20" t="inlineStr">
        <is>
          <t>Argan shell</t>
        </is>
      </c>
      <c r="B22" s="21" t="inlineStr">
        <is>
          <t>Biomass (acetone + 2M HCl / H2O)</t>
        </is>
      </c>
      <c r="C22" s="21" t="inlineStr">
        <is>
          <t>Acid wash</t>
        </is>
      </c>
      <c r="D22" s="21" t="inlineStr">
        <is>
          <t>Mild</t>
        </is>
      </c>
      <c r="E22" s="21" t="inlineStr">
        <is>
          <t>No wash</t>
        </is>
      </c>
      <c r="F22" s="21" t="inlineStr">
        <is>
          <t>No</t>
        </is>
      </c>
      <c r="G22" s="20" t="inlineStr">
        <is>
          <t>One step</t>
        </is>
      </c>
      <c r="H22" s="20" t="inlineStr">
        <is>
          <t xml:space="preserve">Pyrolysis </t>
        </is>
      </c>
      <c r="I22" s="20" t="inlineStr">
        <is>
          <t>No</t>
        </is>
      </c>
      <c r="J22" s="20" t="n">
        <v>60</v>
      </c>
      <c r="K22" s="20" t="n">
        <v>5</v>
      </c>
      <c r="L22" s="20" t="n">
        <v>1300</v>
      </c>
      <c r="M22" s="20" t="inlineStr">
        <is>
          <t>No</t>
        </is>
      </c>
      <c r="N22" s="20" t="inlineStr">
        <is>
          <t>No</t>
        </is>
      </c>
      <c r="O22" s="20" t="inlineStr">
        <is>
          <t>No</t>
        </is>
      </c>
      <c r="P22" s="20" t="inlineStr">
        <is>
          <t>No</t>
        </is>
      </c>
      <c r="Q22" s="20" t="inlineStr">
        <is>
          <t>No</t>
        </is>
      </c>
      <c r="R22" s="20" t="n">
        <v>24</v>
      </c>
      <c r="S22" s="20" t="n">
        <v>0.385</v>
      </c>
      <c r="T22" s="22">
        <f>1/1.76</f>
        <v/>
      </c>
      <c r="U22" s="20" t="n"/>
      <c r="V22" s="27">
        <f>10.9/10</f>
        <v/>
      </c>
      <c r="W22" s="20" t="n">
        <v>0.018</v>
      </c>
      <c r="X22" s="20" t="n"/>
      <c r="Y22" s="24" t="inlineStr">
        <is>
          <t>[5]</t>
        </is>
      </c>
    </row>
    <row r="23" ht="15" customHeight="1">
      <c r="A23" s="20" t="inlineStr">
        <is>
          <t>Pistachio shell</t>
        </is>
      </c>
      <c r="B23" s="21" t="inlineStr">
        <is>
          <t>No</t>
        </is>
      </c>
      <c r="C23" s="21" t="inlineStr">
        <is>
          <t>No wash</t>
        </is>
      </c>
      <c r="D23" s="21" t="inlineStr">
        <is>
          <t>No</t>
        </is>
      </c>
      <c r="E23" s="21" t="inlineStr">
        <is>
          <t>No wash</t>
        </is>
      </c>
      <c r="F23" s="21" t="inlineStr">
        <is>
          <t>No</t>
        </is>
      </c>
      <c r="G23" s="20" t="inlineStr">
        <is>
          <t>One step</t>
        </is>
      </c>
      <c r="H23" s="20" t="inlineStr">
        <is>
          <t xml:space="preserve">Pyrolysis </t>
        </is>
      </c>
      <c r="I23" s="20" t="inlineStr">
        <is>
          <t>No</t>
        </is>
      </c>
      <c r="J23" s="20" t="n">
        <v>120</v>
      </c>
      <c r="K23" s="20" t="n">
        <v>5</v>
      </c>
      <c r="L23" s="20" t="n">
        <v>700</v>
      </c>
      <c r="M23" s="20" t="inlineStr">
        <is>
          <t>No</t>
        </is>
      </c>
      <c r="N23" s="20" t="inlineStr">
        <is>
          <t>No</t>
        </is>
      </c>
      <c r="O23" s="20" t="inlineStr">
        <is>
          <t>No</t>
        </is>
      </c>
      <c r="P23" s="20" t="inlineStr">
        <is>
          <t>No</t>
        </is>
      </c>
      <c r="Q23" s="20" t="inlineStr">
        <is>
          <t>No</t>
        </is>
      </c>
      <c r="R23" s="20" t="n">
        <v>444.6</v>
      </c>
      <c r="S23" s="20" t="n">
        <v>0.414</v>
      </c>
      <c r="T23" s="28" t="n">
        <v>0.8100000000000001</v>
      </c>
      <c r="U23" s="20" t="n"/>
      <c r="V23" s="20" t="n"/>
      <c r="W23" s="20" t="n"/>
      <c r="X23" s="20" t="n"/>
      <c r="Y23" s="24" t="inlineStr">
        <is>
          <t>[6]</t>
        </is>
      </c>
    </row>
    <row r="24" ht="15" customHeight="1">
      <c r="A24" s="20" t="inlineStr">
        <is>
          <t>Pistachio shell</t>
        </is>
      </c>
      <c r="B24" s="21" t="inlineStr">
        <is>
          <t>No</t>
        </is>
      </c>
      <c r="C24" s="21" t="inlineStr">
        <is>
          <t>No wash</t>
        </is>
      </c>
      <c r="D24" s="21" t="inlineStr">
        <is>
          <t>No</t>
        </is>
      </c>
      <c r="E24" s="21" t="inlineStr">
        <is>
          <t>No wash</t>
        </is>
      </c>
      <c r="F24" s="21" t="inlineStr">
        <is>
          <t>No</t>
        </is>
      </c>
      <c r="G24" s="20" t="inlineStr">
        <is>
          <t>One step</t>
        </is>
      </c>
      <c r="H24" s="20" t="inlineStr">
        <is>
          <t xml:space="preserve">Pyrolysis </t>
        </is>
      </c>
      <c r="I24" s="20" t="inlineStr">
        <is>
          <t>No</t>
        </is>
      </c>
      <c r="J24" s="20" t="n">
        <v>120</v>
      </c>
      <c r="K24" s="20" t="n">
        <v>5</v>
      </c>
      <c r="L24" s="20" t="n">
        <v>1000</v>
      </c>
      <c r="M24" s="20" t="inlineStr">
        <is>
          <t>No</t>
        </is>
      </c>
      <c r="N24" s="20" t="inlineStr">
        <is>
          <t>No</t>
        </is>
      </c>
      <c r="O24" s="20" t="inlineStr">
        <is>
          <t>No</t>
        </is>
      </c>
      <c r="P24" s="20" t="inlineStr">
        <is>
          <t>No</t>
        </is>
      </c>
      <c r="Q24" s="20" t="inlineStr">
        <is>
          <t>No</t>
        </is>
      </c>
      <c r="R24" s="20" t="n">
        <v>760.9</v>
      </c>
      <c r="S24" s="20" t="n">
        <v>0.409</v>
      </c>
      <c r="T24" s="22" t="n">
        <v>0.98</v>
      </c>
      <c r="U24" s="20" t="n"/>
      <c r="V24" s="20" t="n"/>
      <c r="W24" s="20" t="n"/>
      <c r="X24" s="20" t="n"/>
      <c r="Y24" s="24" t="inlineStr">
        <is>
          <t>[6]</t>
        </is>
      </c>
    </row>
    <row r="25" ht="15" customHeight="1">
      <c r="A25" s="20" t="inlineStr">
        <is>
          <t>Pistachio shell</t>
        </is>
      </c>
      <c r="B25" s="21" t="inlineStr">
        <is>
          <t>No</t>
        </is>
      </c>
      <c r="C25" s="21" t="inlineStr">
        <is>
          <t>No wash</t>
        </is>
      </c>
      <c r="D25" s="21" t="inlineStr">
        <is>
          <t>No</t>
        </is>
      </c>
      <c r="E25" s="21" t="inlineStr">
        <is>
          <t>No wash</t>
        </is>
      </c>
      <c r="F25" s="21" t="inlineStr">
        <is>
          <t>No</t>
        </is>
      </c>
      <c r="G25" s="20" t="inlineStr">
        <is>
          <t>One step</t>
        </is>
      </c>
      <c r="H25" s="20" t="inlineStr">
        <is>
          <t xml:space="preserve">Pyrolysis </t>
        </is>
      </c>
      <c r="I25" s="20" t="inlineStr">
        <is>
          <t>No</t>
        </is>
      </c>
      <c r="J25" s="20" t="n">
        <v>120</v>
      </c>
      <c r="K25" s="20" t="n">
        <v>5</v>
      </c>
      <c r="L25" s="20" t="n">
        <v>1300</v>
      </c>
      <c r="M25" s="20" t="inlineStr">
        <is>
          <t>No</t>
        </is>
      </c>
      <c r="N25" s="20" t="inlineStr">
        <is>
          <t>No</t>
        </is>
      </c>
      <c r="O25" s="20" t="inlineStr">
        <is>
          <t>No</t>
        </is>
      </c>
      <c r="P25" s="20" t="inlineStr">
        <is>
          <t>No</t>
        </is>
      </c>
      <c r="Q25" s="20" t="inlineStr">
        <is>
          <t>No</t>
        </is>
      </c>
      <c r="R25" s="20" t="n">
        <v>33.1</v>
      </c>
      <c r="S25" s="20" t="n">
        <v>0.401</v>
      </c>
      <c r="T25" s="22" t="n">
        <v>1.05</v>
      </c>
      <c r="U25" s="20" t="n"/>
      <c r="V25" s="20" t="n"/>
      <c r="W25" s="20" t="n"/>
      <c r="X25" s="20" t="n"/>
      <c r="Y25" s="24" t="inlineStr">
        <is>
          <t>[6]</t>
        </is>
      </c>
    </row>
    <row r="26" ht="15" customHeight="1">
      <c r="A26" s="20" t="inlineStr">
        <is>
          <t>Pistachio shell</t>
        </is>
      </c>
      <c r="B26" s="21" t="inlineStr">
        <is>
          <t>No</t>
        </is>
      </c>
      <c r="C26" s="21" t="inlineStr">
        <is>
          <t>No wash</t>
        </is>
      </c>
      <c r="D26" s="21" t="inlineStr">
        <is>
          <t>No</t>
        </is>
      </c>
      <c r="E26" s="21" t="inlineStr">
        <is>
          <t>No wash</t>
        </is>
      </c>
      <c r="F26" s="21" t="inlineStr">
        <is>
          <t>No</t>
        </is>
      </c>
      <c r="G26" s="20" t="inlineStr">
        <is>
          <t>One step</t>
        </is>
      </c>
      <c r="H26" s="20" t="inlineStr">
        <is>
          <t xml:space="preserve">Pyrolysis </t>
        </is>
      </c>
      <c r="I26" s="20" t="inlineStr">
        <is>
          <t>No</t>
        </is>
      </c>
      <c r="J26" s="20" t="n">
        <v>120</v>
      </c>
      <c r="K26" s="20" t="n">
        <v>5</v>
      </c>
      <c r="L26" s="20" t="n">
        <v>1500</v>
      </c>
      <c r="M26" s="20" t="inlineStr">
        <is>
          <t>No</t>
        </is>
      </c>
      <c r="N26" s="20" t="inlineStr">
        <is>
          <t>No</t>
        </is>
      </c>
      <c r="O26" s="20" t="inlineStr">
        <is>
          <t>No</t>
        </is>
      </c>
      <c r="P26" s="20" t="inlineStr">
        <is>
          <t>No</t>
        </is>
      </c>
      <c r="Q26" s="20" t="inlineStr">
        <is>
          <t>No</t>
        </is>
      </c>
      <c r="R26" s="20" t="n">
        <v>16.9</v>
      </c>
      <c r="S26" s="20" t="n">
        <v>0.387</v>
      </c>
      <c r="T26" s="22" t="n">
        <v>1.11</v>
      </c>
      <c r="U26" s="20" t="n"/>
      <c r="V26" s="20" t="n"/>
      <c r="W26" s="20" t="n"/>
      <c r="X26" s="20" t="n"/>
      <c r="Y26" s="24" t="inlineStr">
        <is>
          <t>[6]</t>
        </is>
      </c>
    </row>
    <row r="27" ht="15" customHeight="1">
      <c r="A27" s="4" t="inlineStr">
        <is>
          <t>Pinecone</t>
        </is>
      </c>
      <c r="B27" s="5" t="inlineStr">
        <is>
          <t>Carbon (H2O)</t>
        </is>
      </c>
      <c r="C27" s="5" t="inlineStr">
        <is>
          <t>Water wash</t>
        </is>
      </c>
      <c r="D27" s="5" t="inlineStr">
        <is>
          <t>No</t>
        </is>
      </c>
      <c r="E27" s="5" t="inlineStr">
        <is>
          <t>Water wash</t>
        </is>
      </c>
      <c r="F27" s="5" t="inlineStr">
        <is>
          <t>No</t>
        </is>
      </c>
      <c r="G27" s="4" t="inlineStr">
        <is>
          <t>Two step</t>
        </is>
      </c>
      <c r="H27" s="4" t="inlineStr">
        <is>
          <t xml:space="preserve">Pyrolysis </t>
        </is>
      </c>
      <c r="I27" s="4" t="inlineStr">
        <is>
          <t>KOH</t>
        </is>
      </c>
      <c r="J27" s="4" t="n">
        <v>120</v>
      </c>
      <c r="K27" s="4" t="n"/>
      <c r="L27" s="4" t="n">
        <v>500</v>
      </c>
      <c r="M27" s="4" t="inlineStr">
        <is>
          <t xml:space="preserve">Pyrolysis </t>
        </is>
      </c>
      <c r="N27" s="4" t="inlineStr">
        <is>
          <t>20% KOH + 3M HCl</t>
        </is>
      </c>
      <c r="O27" s="4" t="n">
        <v>120</v>
      </c>
      <c r="P27" s="4" t="n">
        <v>5</v>
      </c>
      <c r="Q27" s="4" t="n">
        <v>500</v>
      </c>
      <c r="R27" s="4" t="n">
        <v>393</v>
      </c>
      <c r="S27" s="4" t="n">
        <v>0.421</v>
      </c>
      <c r="T27" s="23" t="n">
        <v>0.37</v>
      </c>
      <c r="U27" s="4" t="n"/>
      <c r="V27" s="4" t="n">
        <v>1.12</v>
      </c>
      <c r="W27" s="4" t="n">
        <v>0.19</v>
      </c>
      <c r="X27" s="4" t="n"/>
      <c r="Y27" s="29" t="inlineStr">
        <is>
          <t>[7]</t>
        </is>
      </c>
    </row>
    <row r="28" ht="15" customHeight="1">
      <c r="A28" s="4" t="inlineStr">
        <is>
          <t>Pinecone</t>
        </is>
      </c>
      <c r="B28" s="5" t="inlineStr">
        <is>
          <t>Carbon (H2O)</t>
        </is>
      </c>
      <c r="C28" s="5" t="inlineStr">
        <is>
          <t>Water wash</t>
        </is>
      </c>
      <c r="D28" s="5" t="inlineStr">
        <is>
          <t>No</t>
        </is>
      </c>
      <c r="E28" s="5" t="inlineStr">
        <is>
          <t>Water wash</t>
        </is>
      </c>
      <c r="F28" s="5" t="inlineStr">
        <is>
          <t>No</t>
        </is>
      </c>
      <c r="G28" s="4" t="inlineStr">
        <is>
          <t>Two step</t>
        </is>
      </c>
      <c r="H28" s="4" t="inlineStr">
        <is>
          <t xml:space="preserve">Pyrolysis </t>
        </is>
      </c>
      <c r="I28" s="4" t="inlineStr">
        <is>
          <t>KOH</t>
        </is>
      </c>
      <c r="J28" s="4" t="n">
        <v>120</v>
      </c>
      <c r="K28" s="4" t="n"/>
      <c r="L28" s="4" t="n">
        <v>500</v>
      </c>
      <c r="M28" s="4" t="inlineStr">
        <is>
          <t xml:space="preserve">Pyrolysis </t>
        </is>
      </c>
      <c r="N28" s="4" t="inlineStr">
        <is>
          <t>20% KOH + 3M HCl</t>
        </is>
      </c>
      <c r="O28" s="4" t="n">
        <v>120</v>
      </c>
      <c r="P28" s="4" t="n">
        <v>5</v>
      </c>
      <c r="Q28" s="4" t="n">
        <v>800</v>
      </c>
      <c r="R28" s="4" t="n">
        <v>557</v>
      </c>
      <c r="S28" s="4" t="n">
        <v>0.417</v>
      </c>
      <c r="T28" s="23" t="n">
        <v>0.33</v>
      </c>
      <c r="U28" s="4" t="n">
        <v>9.59</v>
      </c>
      <c r="V28" s="4" t="n">
        <v>1.25</v>
      </c>
      <c r="W28" s="4" t="n">
        <v>0.29</v>
      </c>
      <c r="X28" s="4" t="n"/>
      <c r="Y28" s="29" t="inlineStr">
        <is>
          <t>[7]</t>
        </is>
      </c>
    </row>
    <row r="29" ht="15" customHeight="1">
      <c r="A29" s="4" t="inlineStr">
        <is>
          <t>Pinecone</t>
        </is>
      </c>
      <c r="B29" s="5" t="inlineStr">
        <is>
          <t>Carbon (H2O)</t>
        </is>
      </c>
      <c r="C29" s="5" t="inlineStr">
        <is>
          <t>Water wash</t>
        </is>
      </c>
      <c r="D29" s="5" t="inlineStr">
        <is>
          <t>No</t>
        </is>
      </c>
      <c r="E29" s="5" t="inlineStr">
        <is>
          <t>Water wash</t>
        </is>
      </c>
      <c r="F29" s="5" t="inlineStr">
        <is>
          <t>No</t>
        </is>
      </c>
      <c r="G29" s="4" t="inlineStr">
        <is>
          <t>Two step</t>
        </is>
      </c>
      <c r="H29" s="4" t="inlineStr">
        <is>
          <t xml:space="preserve">Pyrolysis </t>
        </is>
      </c>
      <c r="I29" s="4" t="inlineStr">
        <is>
          <t>KOH</t>
        </is>
      </c>
      <c r="J29" s="4" t="n">
        <v>120</v>
      </c>
      <c r="K29" s="4" t="n"/>
      <c r="L29" s="4" t="n">
        <v>500</v>
      </c>
      <c r="M29" s="4" t="inlineStr">
        <is>
          <t xml:space="preserve">Pyrolysis </t>
        </is>
      </c>
      <c r="N29" s="4" t="inlineStr">
        <is>
          <t>20% KOH + 3M HCl</t>
        </is>
      </c>
      <c r="O29" s="4" t="n">
        <v>120</v>
      </c>
      <c r="P29" s="4" t="n">
        <v>5</v>
      </c>
      <c r="Q29" s="4" t="n">
        <v>850</v>
      </c>
      <c r="R29" s="4" t="n">
        <v>400</v>
      </c>
      <c r="S29" s="4" t="n">
        <v>0.413</v>
      </c>
      <c r="T29" s="23" t="n">
        <v>0.33</v>
      </c>
      <c r="U29" s="4" t="n">
        <v>10.52</v>
      </c>
      <c r="V29" s="4" t="n">
        <v>1.43</v>
      </c>
      <c r="W29" s="4" t="n">
        <v>0.22</v>
      </c>
      <c r="X29" s="4" t="n"/>
      <c r="Y29" s="29" t="inlineStr">
        <is>
          <t>[7]</t>
        </is>
      </c>
    </row>
    <row r="30" ht="15" customHeight="1">
      <c r="A30" s="4" t="inlineStr">
        <is>
          <t>Pinecone</t>
        </is>
      </c>
      <c r="B30" s="5" t="inlineStr">
        <is>
          <t>Carbon (H2O)</t>
        </is>
      </c>
      <c r="C30" s="5" t="inlineStr">
        <is>
          <t>Water wash</t>
        </is>
      </c>
      <c r="D30" s="5" t="inlineStr">
        <is>
          <t>No</t>
        </is>
      </c>
      <c r="E30" s="5" t="inlineStr">
        <is>
          <t>Water wash</t>
        </is>
      </c>
      <c r="F30" s="5" t="inlineStr">
        <is>
          <t>No</t>
        </is>
      </c>
      <c r="G30" s="4" t="inlineStr">
        <is>
          <t>Two step</t>
        </is>
      </c>
      <c r="H30" s="4" t="inlineStr">
        <is>
          <t xml:space="preserve">Pyrolysis </t>
        </is>
      </c>
      <c r="I30" s="4" t="inlineStr">
        <is>
          <t>KOH</t>
        </is>
      </c>
      <c r="J30" s="4" t="n">
        <v>120</v>
      </c>
      <c r="K30" s="4" t="n"/>
      <c r="L30" s="4" t="n">
        <v>500</v>
      </c>
      <c r="M30" s="4" t="inlineStr">
        <is>
          <t xml:space="preserve">Pyrolysis </t>
        </is>
      </c>
      <c r="N30" s="4" t="inlineStr">
        <is>
          <t>20% KOH + 3M HCl</t>
        </is>
      </c>
      <c r="O30" s="4" t="n">
        <v>120</v>
      </c>
      <c r="P30" s="4" t="n">
        <v>5</v>
      </c>
      <c r="Q30" s="4" t="n">
        <v>900</v>
      </c>
      <c r="R30" s="4" t="n">
        <v>395</v>
      </c>
      <c r="S30" s="4" t="n">
        <v>0.407</v>
      </c>
      <c r="T30" s="23" t="n">
        <v>0.34</v>
      </c>
      <c r="U30" s="4" t="n">
        <v>10.7</v>
      </c>
      <c r="V30" s="4" t="n">
        <v>1.46</v>
      </c>
      <c r="W30" s="4" t="n">
        <v>0.21</v>
      </c>
      <c r="X30" s="4" t="n"/>
      <c r="Y30" s="29" t="inlineStr">
        <is>
          <t>[7]</t>
        </is>
      </c>
    </row>
    <row r="31" ht="15" customHeight="1">
      <c r="A31" s="4" t="inlineStr">
        <is>
          <t>Pinecone</t>
        </is>
      </c>
      <c r="B31" s="5" t="inlineStr">
        <is>
          <t>Carbon (H2O)</t>
        </is>
      </c>
      <c r="C31" s="5" t="inlineStr">
        <is>
          <t>Water wash</t>
        </is>
      </c>
      <c r="D31" s="5" t="inlineStr">
        <is>
          <t>No</t>
        </is>
      </c>
      <c r="E31" s="5" t="inlineStr">
        <is>
          <t>Water wash</t>
        </is>
      </c>
      <c r="F31" s="5" t="inlineStr">
        <is>
          <t>No</t>
        </is>
      </c>
      <c r="G31" s="4" t="inlineStr">
        <is>
          <t>Two step</t>
        </is>
      </c>
      <c r="H31" s="4" t="inlineStr">
        <is>
          <t xml:space="preserve">Pyrolysis </t>
        </is>
      </c>
      <c r="I31" s="4" t="inlineStr">
        <is>
          <t>KOH</t>
        </is>
      </c>
      <c r="J31" s="4" t="n">
        <v>120</v>
      </c>
      <c r="K31" s="4" t="n"/>
      <c r="L31" s="4" t="n">
        <v>500</v>
      </c>
      <c r="M31" s="4" t="inlineStr">
        <is>
          <t xml:space="preserve">Pyrolysis </t>
        </is>
      </c>
      <c r="N31" s="4" t="inlineStr">
        <is>
          <t>20% KOH + 3M HCl</t>
        </is>
      </c>
      <c r="O31" s="4" t="n">
        <v>120</v>
      </c>
      <c r="P31" s="4" t="n">
        <v>5</v>
      </c>
      <c r="Q31" s="4" t="n">
        <v>1000</v>
      </c>
      <c r="R31" s="4" t="n">
        <v>239</v>
      </c>
      <c r="S31" s="4" t="n">
        <v>0.402</v>
      </c>
      <c r="T31" s="23" t="n">
        <v>0.37</v>
      </c>
      <c r="U31" s="4" t="n">
        <v>11.14</v>
      </c>
      <c r="V31" s="4" t="n">
        <v>1.64</v>
      </c>
      <c r="W31" s="4" t="n">
        <v>0.13</v>
      </c>
      <c r="X31" s="4" t="n"/>
      <c r="Y31" s="29" t="inlineStr">
        <is>
          <t>[7]</t>
        </is>
      </c>
    </row>
    <row r="32" ht="15" customHeight="1">
      <c r="A32" s="4" t="inlineStr">
        <is>
          <t>Pinecone</t>
        </is>
      </c>
      <c r="B32" s="5" t="inlineStr">
        <is>
          <t>Carbon (H2O)</t>
        </is>
      </c>
      <c r="C32" s="5" t="inlineStr">
        <is>
          <t>Water wash</t>
        </is>
      </c>
      <c r="D32" s="5" t="inlineStr">
        <is>
          <t>No</t>
        </is>
      </c>
      <c r="E32" s="5" t="inlineStr">
        <is>
          <t>Water wash</t>
        </is>
      </c>
      <c r="F32" s="5" t="inlineStr">
        <is>
          <t>No</t>
        </is>
      </c>
      <c r="G32" s="4" t="inlineStr">
        <is>
          <t>Two step</t>
        </is>
      </c>
      <c r="H32" s="4" t="inlineStr">
        <is>
          <t xml:space="preserve">Pyrolysis </t>
        </is>
      </c>
      <c r="I32" s="4" t="inlineStr">
        <is>
          <t>KOH</t>
        </is>
      </c>
      <c r="J32" s="4" t="n">
        <v>120</v>
      </c>
      <c r="K32" s="4" t="n"/>
      <c r="L32" s="4" t="n">
        <v>500</v>
      </c>
      <c r="M32" s="4" t="inlineStr">
        <is>
          <t xml:space="preserve">Pyrolysis </t>
        </is>
      </c>
      <c r="N32" s="4" t="inlineStr">
        <is>
          <t>20% KOH + 3M HCl</t>
        </is>
      </c>
      <c r="O32" s="4" t="n">
        <v>120</v>
      </c>
      <c r="P32" s="4" t="n">
        <v>5</v>
      </c>
      <c r="Q32" s="4" t="n">
        <v>1200</v>
      </c>
      <c r="R32" s="4" t="n">
        <v>75</v>
      </c>
      <c r="S32" s="4" t="n">
        <v>0.391</v>
      </c>
      <c r="T32" s="23" t="n">
        <v>0.46</v>
      </c>
      <c r="U32" s="4" t="n">
        <v>11.31</v>
      </c>
      <c r="V32" s="4" t="n">
        <v>1.72</v>
      </c>
      <c r="W32" s="4" t="n">
        <v>0.05</v>
      </c>
      <c r="X32" s="4" t="n"/>
      <c r="Y32" s="29" t="inlineStr">
        <is>
          <t>[7]</t>
        </is>
      </c>
    </row>
    <row r="33" ht="15" customHeight="1">
      <c r="A33" s="4" t="inlineStr">
        <is>
          <t>Pinecone</t>
        </is>
      </c>
      <c r="B33" s="5" t="inlineStr">
        <is>
          <t>Carbon (H2O)</t>
        </is>
      </c>
      <c r="C33" s="5" t="inlineStr">
        <is>
          <t>Water wash</t>
        </is>
      </c>
      <c r="D33" s="5" t="inlineStr">
        <is>
          <t>No</t>
        </is>
      </c>
      <c r="E33" s="5" t="inlineStr">
        <is>
          <t>Water wash</t>
        </is>
      </c>
      <c r="F33" s="5" t="inlineStr">
        <is>
          <t>No</t>
        </is>
      </c>
      <c r="G33" s="4" t="inlineStr">
        <is>
          <t>Two step</t>
        </is>
      </c>
      <c r="H33" s="4" t="inlineStr">
        <is>
          <t xml:space="preserve">Pyrolysis </t>
        </is>
      </c>
      <c r="I33" s="4" t="inlineStr">
        <is>
          <t>KOH</t>
        </is>
      </c>
      <c r="J33" s="4" t="n">
        <v>120</v>
      </c>
      <c r="K33" s="4" t="n"/>
      <c r="L33" s="4" t="n">
        <v>500</v>
      </c>
      <c r="M33" s="4" t="inlineStr">
        <is>
          <t xml:space="preserve">Pyrolysis </t>
        </is>
      </c>
      <c r="N33" s="4" t="inlineStr">
        <is>
          <t>20% KOH + 3M HCl</t>
        </is>
      </c>
      <c r="O33" s="4" t="n">
        <v>120</v>
      </c>
      <c r="P33" s="4" t="n">
        <v>5</v>
      </c>
      <c r="Q33" s="4" t="n">
        <v>1400</v>
      </c>
      <c r="R33" s="4" t="n">
        <v>40</v>
      </c>
      <c r="S33" s="4" t="n">
        <v>0.381</v>
      </c>
      <c r="T33" s="23" t="n">
        <v>0.53</v>
      </c>
      <c r="U33" s="4" t="n">
        <v>11.48</v>
      </c>
      <c r="V33" s="4" t="n">
        <v>1.85</v>
      </c>
      <c r="W33" s="4" t="n">
        <v>0.03</v>
      </c>
      <c r="X33" s="4" t="n">
        <v>94.43000000000001</v>
      </c>
      <c r="Y33" s="29" t="inlineStr">
        <is>
          <t>[7]</t>
        </is>
      </c>
    </row>
    <row r="34" ht="15" customHeight="1">
      <c r="A34" s="4" t="inlineStr">
        <is>
          <t>Pinecone</t>
        </is>
      </c>
      <c r="B34" s="5" t="inlineStr">
        <is>
          <t>Carbon (H2O)</t>
        </is>
      </c>
      <c r="C34" s="5" t="inlineStr">
        <is>
          <t>Water wash</t>
        </is>
      </c>
      <c r="D34" s="5" t="inlineStr">
        <is>
          <t>No</t>
        </is>
      </c>
      <c r="E34" s="5" t="inlineStr">
        <is>
          <t>Water wash</t>
        </is>
      </c>
      <c r="F34" s="5" t="inlineStr">
        <is>
          <t>No</t>
        </is>
      </c>
      <c r="G34" s="4" t="inlineStr">
        <is>
          <t>Two step</t>
        </is>
      </c>
      <c r="H34" s="4" t="inlineStr">
        <is>
          <t xml:space="preserve">Pyrolysis </t>
        </is>
      </c>
      <c r="I34" s="4" t="inlineStr">
        <is>
          <t>KOH</t>
        </is>
      </c>
      <c r="J34" s="4" t="n">
        <v>120</v>
      </c>
      <c r="K34" s="4" t="n"/>
      <c r="L34" s="4" t="n">
        <v>500</v>
      </c>
      <c r="M34" s="4" t="inlineStr">
        <is>
          <t xml:space="preserve">Pyrolysis </t>
        </is>
      </c>
      <c r="N34" s="4" t="inlineStr">
        <is>
          <t>20% KOH + 3M HCl</t>
        </is>
      </c>
      <c r="O34" s="4" t="n">
        <v>120</v>
      </c>
      <c r="P34" s="4" t="n">
        <v>5</v>
      </c>
      <c r="Q34" s="4" t="n">
        <v>1600</v>
      </c>
      <c r="R34" s="4" t="n">
        <v>4</v>
      </c>
      <c r="S34" s="4" t="n">
        <v>0.375</v>
      </c>
      <c r="T34" s="23" t="n">
        <v>0.6</v>
      </c>
      <c r="U34" s="4" t="n">
        <v>11.97</v>
      </c>
      <c r="V34" s="4" t="n">
        <v>1.91</v>
      </c>
      <c r="W34" s="4" t="n">
        <v>0.01</v>
      </c>
      <c r="X34" s="4" t="n"/>
      <c r="Y34" s="29" t="inlineStr">
        <is>
          <t>[7]</t>
        </is>
      </c>
    </row>
    <row r="35" ht="15" customHeight="1">
      <c r="A35" s="20" t="inlineStr">
        <is>
          <t>Kelp algae</t>
        </is>
      </c>
      <c r="B35" s="21" t="inlineStr">
        <is>
          <t>Biomass (H2O + 6MHCl + 10% HF)</t>
        </is>
      </c>
      <c r="C35" s="21" t="inlineStr">
        <is>
          <t>Acid wash</t>
        </is>
      </c>
      <c r="D35" s="21" t="inlineStr">
        <is>
          <t>Moderate</t>
        </is>
      </c>
      <c r="E35" s="21" t="inlineStr">
        <is>
          <t>No wash</t>
        </is>
      </c>
      <c r="F35" s="21" t="inlineStr">
        <is>
          <t>Moderate</t>
        </is>
      </c>
      <c r="G35" s="20" t="inlineStr">
        <is>
          <t>One step</t>
        </is>
      </c>
      <c r="H35" s="20" t="inlineStr">
        <is>
          <t xml:space="preserve">Pyrolysis </t>
        </is>
      </c>
      <c r="I35" s="20" t="inlineStr">
        <is>
          <t>No</t>
        </is>
      </c>
      <c r="J35" s="20" t="n">
        <v>120</v>
      </c>
      <c r="K35" s="20" t="n">
        <v>5</v>
      </c>
      <c r="L35" s="20" t="n">
        <v>900</v>
      </c>
      <c r="M35" s="20" t="inlineStr">
        <is>
          <t>No</t>
        </is>
      </c>
      <c r="N35" s="20" t="inlineStr">
        <is>
          <t>No</t>
        </is>
      </c>
      <c r="O35" s="20" t="inlineStr">
        <is>
          <t>No</t>
        </is>
      </c>
      <c r="P35" s="20" t="n"/>
      <c r="Q35" s="20" t="inlineStr">
        <is>
          <t>No</t>
        </is>
      </c>
      <c r="R35" s="20" t="n">
        <v>1</v>
      </c>
      <c r="S35" s="26" t="n">
        <v>0.39</v>
      </c>
      <c r="T35" s="22">
        <f>0.673</f>
        <v/>
      </c>
      <c r="U35" s="27" t="n">
        <v>11.3</v>
      </c>
      <c r="V35" s="27" t="n">
        <v>1.13</v>
      </c>
      <c r="W35" s="20" t="n"/>
      <c r="X35" s="20" t="n"/>
      <c r="Y35" s="24" t="inlineStr">
        <is>
          <t>[8]</t>
        </is>
      </c>
    </row>
    <row r="36" ht="15" customHeight="1">
      <c r="A36" s="20" t="inlineStr">
        <is>
          <t>Kelp algae</t>
        </is>
      </c>
      <c r="B36" s="21" t="inlineStr">
        <is>
          <t>Biomass (H2O + 6MHCl + 10% HF)</t>
        </is>
      </c>
      <c r="C36" s="21" t="inlineStr">
        <is>
          <t>Acid wash</t>
        </is>
      </c>
      <c r="D36" s="21" t="inlineStr">
        <is>
          <t>Moderate</t>
        </is>
      </c>
      <c r="E36" s="21" t="inlineStr">
        <is>
          <t>No wash</t>
        </is>
      </c>
      <c r="F36" s="21" t="inlineStr">
        <is>
          <t>Moderate</t>
        </is>
      </c>
      <c r="G36" s="20" t="inlineStr">
        <is>
          <t>One step</t>
        </is>
      </c>
      <c r="H36" s="20" t="inlineStr">
        <is>
          <t xml:space="preserve">Pyrolysis </t>
        </is>
      </c>
      <c r="I36" s="20" t="inlineStr">
        <is>
          <t>No</t>
        </is>
      </c>
      <c r="J36" s="20" t="n">
        <v>120</v>
      </c>
      <c r="K36" s="20" t="n">
        <v>5</v>
      </c>
      <c r="L36" s="20" t="n">
        <v>1100</v>
      </c>
      <c r="M36" s="20" t="inlineStr">
        <is>
          <t>No</t>
        </is>
      </c>
      <c r="N36" s="20" t="inlineStr">
        <is>
          <t>No</t>
        </is>
      </c>
      <c r="O36" s="20" t="inlineStr">
        <is>
          <t>No</t>
        </is>
      </c>
      <c r="P36" s="20" t="n"/>
      <c r="Q36" s="20" t="inlineStr">
        <is>
          <t>No</t>
        </is>
      </c>
      <c r="R36" s="20" t="n">
        <v>1</v>
      </c>
      <c r="S36" s="26" t="n">
        <v>0.39</v>
      </c>
      <c r="T36" s="22" t="n">
        <v>0.699</v>
      </c>
      <c r="U36" s="27" t="n">
        <v>11.7</v>
      </c>
      <c r="V36" s="27" t="n">
        <v>1.19</v>
      </c>
      <c r="W36" s="20" t="n"/>
      <c r="X36" s="20" t="n"/>
      <c r="Y36" s="24" t="inlineStr">
        <is>
          <t>[8]</t>
        </is>
      </c>
    </row>
    <row r="37" ht="15" customHeight="1">
      <c r="A37" s="20" t="inlineStr">
        <is>
          <t>Kelp algae</t>
        </is>
      </c>
      <c r="B37" s="21" t="inlineStr">
        <is>
          <t>Biomass (H2O + 6MHCl + 10% HF)</t>
        </is>
      </c>
      <c r="C37" s="21" t="inlineStr">
        <is>
          <t>Acid wash</t>
        </is>
      </c>
      <c r="D37" s="21" t="inlineStr">
        <is>
          <t>Moderate</t>
        </is>
      </c>
      <c r="E37" s="21" t="inlineStr">
        <is>
          <t>No wash</t>
        </is>
      </c>
      <c r="F37" s="21" t="inlineStr">
        <is>
          <t>Moderate</t>
        </is>
      </c>
      <c r="G37" s="20" t="inlineStr">
        <is>
          <t>One step</t>
        </is>
      </c>
      <c r="H37" s="20" t="inlineStr">
        <is>
          <t xml:space="preserve">Pyrolysis </t>
        </is>
      </c>
      <c r="I37" s="20" t="inlineStr">
        <is>
          <t>No</t>
        </is>
      </c>
      <c r="J37" s="20" t="n">
        <v>120</v>
      </c>
      <c r="K37" s="20" t="n">
        <v>5</v>
      </c>
      <c r="L37" s="20" t="n">
        <v>1300</v>
      </c>
      <c r="M37" s="20" t="inlineStr">
        <is>
          <t>No</t>
        </is>
      </c>
      <c r="N37" s="20" t="inlineStr">
        <is>
          <t>No</t>
        </is>
      </c>
      <c r="O37" s="20" t="inlineStr">
        <is>
          <t>No</t>
        </is>
      </c>
      <c r="P37" s="20" t="n"/>
      <c r="Q37" s="20" t="inlineStr">
        <is>
          <t>No</t>
        </is>
      </c>
      <c r="R37" s="20" t="n">
        <v>1.32</v>
      </c>
      <c r="S37" s="26" t="n">
        <v>0.39</v>
      </c>
      <c r="T37" s="22" t="n">
        <v>0.748</v>
      </c>
      <c r="U37" s="27" t="n">
        <v>12.5</v>
      </c>
      <c r="V37" s="27" t="n">
        <v>1.25</v>
      </c>
      <c r="W37" s="20" t="n"/>
      <c r="X37" s="20" t="n"/>
      <c r="Y37" s="24" t="inlineStr">
        <is>
          <t>[8]</t>
        </is>
      </c>
    </row>
    <row r="38" ht="15" customHeight="1">
      <c r="A38" s="20" t="inlineStr">
        <is>
          <t>Kelp algae</t>
        </is>
      </c>
      <c r="B38" s="21" t="inlineStr">
        <is>
          <t>Biomass (H2O + 6MHCl + 10% HF)</t>
        </is>
      </c>
      <c r="C38" s="21" t="inlineStr">
        <is>
          <t>Acid wash</t>
        </is>
      </c>
      <c r="D38" s="21" t="inlineStr">
        <is>
          <t>Moderate</t>
        </is>
      </c>
      <c r="E38" s="21" t="inlineStr">
        <is>
          <t>No wash</t>
        </is>
      </c>
      <c r="F38" s="21" t="inlineStr">
        <is>
          <t>Moderate</t>
        </is>
      </c>
      <c r="G38" s="20" t="inlineStr">
        <is>
          <t>One step</t>
        </is>
      </c>
      <c r="H38" s="20" t="inlineStr">
        <is>
          <t xml:space="preserve">Pyrolysis </t>
        </is>
      </c>
      <c r="I38" s="20" t="inlineStr">
        <is>
          <t>No</t>
        </is>
      </c>
      <c r="J38" s="20" t="n">
        <v>120</v>
      </c>
      <c r="K38" s="20" t="n">
        <v>5</v>
      </c>
      <c r="L38" s="20" t="n">
        <v>1500</v>
      </c>
      <c r="M38" s="20" t="inlineStr">
        <is>
          <t>No</t>
        </is>
      </c>
      <c r="N38" s="20" t="inlineStr">
        <is>
          <t>No</t>
        </is>
      </c>
      <c r="O38" s="20" t="inlineStr">
        <is>
          <t>No</t>
        </is>
      </c>
      <c r="P38" s="20" t="n"/>
      <c r="Q38" s="20" t="inlineStr">
        <is>
          <t>No</t>
        </is>
      </c>
      <c r="R38" s="20" t="n">
        <v>2.61</v>
      </c>
      <c r="S38" s="26" t="n">
        <v>0.37</v>
      </c>
      <c r="T38" s="22" t="n">
        <v>0.787</v>
      </c>
      <c r="U38" s="27" t="n">
        <v>13.2</v>
      </c>
      <c r="V38" s="27" t="n">
        <v>1.35</v>
      </c>
      <c r="W38" s="20" t="n"/>
      <c r="X38" s="20" t="n"/>
      <c r="Y38" s="24" t="inlineStr">
        <is>
          <t>[8]</t>
        </is>
      </c>
    </row>
    <row r="39" ht="15" customHeight="1">
      <c r="A39" s="20" t="inlineStr">
        <is>
          <t>Kelp algae</t>
        </is>
      </c>
      <c r="B39" s="21" t="inlineStr">
        <is>
          <t>Biomass (H2O + 6MHCl + 10% HF)</t>
        </is>
      </c>
      <c r="C39" s="21" t="inlineStr">
        <is>
          <t>Acid wash</t>
        </is>
      </c>
      <c r="D39" s="21" t="inlineStr">
        <is>
          <t>Moderate</t>
        </is>
      </c>
      <c r="E39" s="21" t="inlineStr">
        <is>
          <t>No wash</t>
        </is>
      </c>
      <c r="F39" s="21" t="inlineStr">
        <is>
          <t>Moderate</t>
        </is>
      </c>
      <c r="G39" s="20" t="inlineStr">
        <is>
          <t>One step</t>
        </is>
      </c>
      <c r="H39" s="20" t="inlineStr">
        <is>
          <t xml:space="preserve">Pyrolysis </t>
        </is>
      </c>
      <c r="I39" s="20" t="inlineStr">
        <is>
          <t>No</t>
        </is>
      </c>
      <c r="J39" s="20" t="n">
        <v>120</v>
      </c>
      <c r="K39" s="20" t="n">
        <v>5</v>
      </c>
      <c r="L39" s="20" t="n">
        <v>1600</v>
      </c>
      <c r="M39" s="20" t="inlineStr">
        <is>
          <t>No</t>
        </is>
      </c>
      <c r="N39" s="20" t="inlineStr">
        <is>
          <t>No</t>
        </is>
      </c>
      <c r="O39" s="20" t="inlineStr">
        <is>
          <t>No</t>
        </is>
      </c>
      <c r="P39" s="20" t="n"/>
      <c r="Q39" s="20" t="inlineStr">
        <is>
          <t>No</t>
        </is>
      </c>
      <c r="R39" s="20" t="n">
        <v>2.4</v>
      </c>
      <c r="S39" s="26" t="n">
        <v>0.361</v>
      </c>
      <c r="T39" s="22" t="n">
        <v>0.857</v>
      </c>
      <c r="U39" s="27" t="n">
        <v>14.4</v>
      </c>
      <c r="V39" s="27" t="n">
        <v>1.43</v>
      </c>
      <c r="W39" s="20" t="n"/>
      <c r="X39" s="20" t="n"/>
      <c r="Y39" s="24" t="inlineStr">
        <is>
          <t>[8]</t>
        </is>
      </c>
    </row>
    <row r="40" ht="15" customHeight="1">
      <c r="A40" s="20" t="inlineStr">
        <is>
          <t>Spinifex</t>
        </is>
      </c>
      <c r="B40" s="21" t="inlineStr">
        <is>
          <t>Biomass (delignification: NaOH + NaClO2)</t>
        </is>
      </c>
      <c r="C40" s="21" t="inlineStr">
        <is>
          <t>Alkali wash</t>
        </is>
      </c>
      <c r="D40" s="21" t="inlineStr">
        <is>
          <t>Moderate</t>
        </is>
      </c>
      <c r="E40" s="21" t="inlineStr">
        <is>
          <t>No wash</t>
        </is>
      </c>
      <c r="F40" s="21" t="inlineStr">
        <is>
          <t>Moderate</t>
        </is>
      </c>
      <c r="G40" s="20" t="inlineStr">
        <is>
          <t>One step</t>
        </is>
      </c>
      <c r="H40" s="20" t="inlineStr">
        <is>
          <t xml:space="preserve">Pyrolysis </t>
        </is>
      </c>
      <c r="I40" s="20" t="inlineStr">
        <is>
          <t>No</t>
        </is>
      </c>
      <c r="J40" s="20" t="n">
        <v>120</v>
      </c>
      <c r="K40" s="20" t="n">
        <v>5</v>
      </c>
      <c r="L40" s="20" t="n">
        <v>1000</v>
      </c>
      <c r="M40" s="20" t="inlineStr">
        <is>
          <t>No</t>
        </is>
      </c>
      <c r="N40" s="20" t="inlineStr">
        <is>
          <t>No</t>
        </is>
      </c>
      <c r="O40" s="20" t="inlineStr">
        <is>
          <t>No</t>
        </is>
      </c>
      <c r="P40" s="20" t="n"/>
      <c r="Q40" s="20" t="inlineStr">
        <is>
          <t>No</t>
        </is>
      </c>
      <c r="R40" s="20" t="n">
        <v>154</v>
      </c>
      <c r="S40" s="20" t="n">
        <v>0.39</v>
      </c>
      <c r="T40" s="22" t="n">
        <v>1.05</v>
      </c>
      <c r="U40" s="20" t="n"/>
      <c r="V40" s="20" t="n"/>
      <c r="W40" s="20" t="n"/>
      <c r="X40" s="20" t="n">
        <v>90.95999999999999</v>
      </c>
      <c r="Y40" s="24" t="inlineStr">
        <is>
          <t>[9]</t>
        </is>
      </c>
    </row>
    <row r="41" ht="15" customHeight="1">
      <c r="A41" s="20" t="inlineStr">
        <is>
          <t>Walnut shell</t>
        </is>
      </c>
      <c r="B41" s="21" t="inlineStr">
        <is>
          <t>Biomass (2M HCl + H2O + EtOH) / Carbon (H2O + ethanol)</t>
        </is>
      </c>
      <c r="C41" s="21" t="inlineStr">
        <is>
          <t>Water wash</t>
        </is>
      </c>
      <c r="D41" s="21" t="inlineStr">
        <is>
          <t>Mild</t>
        </is>
      </c>
      <c r="E41" s="21" t="inlineStr">
        <is>
          <t>Organic wash</t>
        </is>
      </c>
      <c r="F41" s="21" t="inlineStr">
        <is>
          <t>No</t>
        </is>
      </c>
      <c r="G41" s="20" t="inlineStr">
        <is>
          <t>One step</t>
        </is>
      </c>
      <c r="H41" s="20" t="inlineStr">
        <is>
          <t xml:space="preserve">Pyrolysis </t>
        </is>
      </c>
      <c r="I41" s="20" t="inlineStr">
        <is>
          <t>No</t>
        </is>
      </c>
      <c r="J41" s="20" t="n">
        <v>360</v>
      </c>
      <c r="K41" s="20" t="n">
        <v>5</v>
      </c>
      <c r="L41" s="20" t="n">
        <v>1000</v>
      </c>
      <c r="M41" s="20" t="inlineStr">
        <is>
          <t>No</t>
        </is>
      </c>
      <c r="N41" s="20" t="inlineStr">
        <is>
          <t>No</t>
        </is>
      </c>
      <c r="O41" s="20" t="inlineStr">
        <is>
          <t>No</t>
        </is>
      </c>
      <c r="P41" s="20" t="n"/>
      <c r="Q41" s="20" t="inlineStr">
        <is>
          <t>No</t>
        </is>
      </c>
      <c r="R41" s="20" t="n">
        <v>59</v>
      </c>
      <c r="S41" s="20" t="n">
        <v>0.37</v>
      </c>
      <c r="T41" s="22" t="n">
        <v>0.42</v>
      </c>
      <c r="U41" s="20" t="n"/>
      <c r="V41" s="20" t="n">
        <v>2.15</v>
      </c>
      <c r="W41" s="20" t="n"/>
      <c r="X41" s="20" t="n"/>
      <c r="Y41" s="24" t="inlineStr">
        <is>
          <t>[10]</t>
        </is>
      </c>
    </row>
    <row r="42" ht="15" customHeight="1">
      <c r="A42" s="20" t="inlineStr">
        <is>
          <t>Sorghum stalk</t>
        </is>
      </c>
      <c r="B42" s="21" t="inlineStr">
        <is>
          <t>Carbon (3M HCl + H2O)</t>
        </is>
      </c>
      <c r="C42" s="21" t="inlineStr">
        <is>
          <t>No wash</t>
        </is>
      </c>
      <c r="D42" s="21" t="inlineStr">
        <is>
          <t>No</t>
        </is>
      </c>
      <c r="E42" s="21" t="inlineStr">
        <is>
          <t>Acid wash</t>
        </is>
      </c>
      <c r="F42" s="21" t="inlineStr">
        <is>
          <t>Mild</t>
        </is>
      </c>
      <c r="G42" s="20" t="inlineStr">
        <is>
          <t>One step</t>
        </is>
      </c>
      <c r="H42" s="20" t="inlineStr">
        <is>
          <t xml:space="preserve">Pyrolysis </t>
        </is>
      </c>
      <c r="I42" s="20" t="inlineStr">
        <is>
          <t>No</t>
        </is>
      </c>
      <c r="J42" s="20" t="n">
        <v>120</v>
      </c>
      <c r="K42" s="20" t="n">
        <v>2</v>
      </c>
      <c r="L42" s="20" t="n">
        <v>1100</v>
      </c>
      <c r="M42" s="20" t="inlineStr">
        <is>
          <t>No</t>
        </is>
      </c>
      <c r="N42" s="20" t="inlineStr">
        <is>
          <t>No</t>
        </is>
      </c>
      <c r="O42" s="20" t="inlineStr">
        <is>
          <t>No</t>
        </is>
      </c>
      <c r="P42" s="20" t="n"/>
      <c r="Q42" s="20" t="inlineStr">
        <is>
          <t>No</t>
        </is>
      </c>
      <c r="R42" s="20" t="n">
        <v>234.5</v>
      </c>
      <c r="S42" s="20" t="n">
        <v>0.395</v>
      </c>
      <c r="T42" s="22" t="n">
        <v>0.36</v>
      </c>
      <c r="U42" s="20" t="n"/>
      <c r="V42" s="20" t="n">
        <v>0.8</v>
      </c>
      <c r="W42" s="20" t="n">
        <v>0.118</v>
      </c>
      <c r="X42" s="20" t="n">
        <v>96.06</v>
      </c>
      <c r="Y42" s="24" t="inlineStr">
        <is>
          <t>[11]</t>
        </is>
      </c>
    </row>
    <row r="43" ht="15" customHeight="1">
      <c r="A43" s="20" t="inlineStr">
        <is>
          <t>Sorghum stalk</t>
        </is>
      </c>
      <c r="B43" s="21" t="inlineStr">
        <is>
          <t>Carbon (3M HCl + H2O)</t>
        </is>
      </c>
      <c r="C43" s="21" t="inlineStr">
        <is>
          <t>No wash</t>
        </is>
      </c>
      <c r="D43" s="21" t="inlineStr">
        <is>
          <t>No</t>
        </is>
      </c>
      <c r="E43" s="21" t="inlineStr">
        <is>
          <t>Acid wash</t>
        </is>
      </c>
      <c r="F43" s="21" t="inlineStr">
        <is>
          <t>Mild</t>
        </is>
      </c>
      <c r="G43" s="20" t="inlineStr">
        <is>
          <t>One step</t>
        </is>
      </c>
      <c r="H43" s="20" t="inlineStr">
        <is>
          <t xml:space="preserve">Pyrolysis </t>
        </is>
      </c>
      <c r="I43" s="20" t="inlineStr">
        <is>
          <t>No</t>
        </is>
      </c>
      <c r="J43" s="20" t="n">
        <v>120</v>
      </c>
      <c r="K43" s="20" t="n">
        <v>2</v>
      </c>
      <c r="L43" s="20" t="n">
        <v>1300</v>
      </c>
      <c r="M43" s="20" t="inlineStr">
        <is>
          <t>No</t>
        </is>
      </c>
      <c r="N43" s="20" t="inlineStr">
        <is>
          <t>No</t>
        </is>
      </c>
      <c r="O43" s="20" t="inlineStr">
        <is>
          <t>No</t>
        </is>
      </c>
      <c r="P43" s="20" t="n"/>
      <c r="Q43" s="20" t="inlineStr">
        <is>
          <t>No</t>
        </is>
      </c>
      <c r="R43" s="20" t="n">
        <v>35.6</v>
      </c>
      <c r="S43" s="20" t="n">
        <v>0.381</v>
      </c>
      <c r="T43" s="22" t="n">
        <v>0.52</v>
      </c>
      <c r="U43" s="20" t="n"/>
      <c r="V43" s="20" t="n">
        <v>0.88</v>
      </c>
      <c r="W43" s="20" t="n">
        <v>0.033</v>
      </c>
      <c r="X43" s="20" t="n">
        <v>95.94</v>
      </c>
      <c r="Y43" s="24" t="inlineStr">
        <is>
          <t>[11]</t>
        </is>
      </c>
    </row>
    <row r="44" ht="15" customHeight="1">
      <c r="A44" s="20" t="inlineStr">
        <is>
          <t>Sorghum stalk</t>
        </is>
      </c>
      <c r="B44" s="21" t="inlineStr">
        <is>
          <t>Carbon (3M HCl + H2O)</t>
        </is>
      </c>
      <c r="C44" s="21" t="inlineStr">
        <is>
          <t>No wash</t>
        </is>
      </c>
      <c r="D44" s="21" t="inlineStr">
        <is>
          <t>No</t>
        </is>
      </c>
      <c r="E44" s="21" t="inlineStr">
        <is>
          <t>Acid wash</t>
        </is>
      </c>
      <c r="F44" s="21" t="inlineStr">
        <is>
          <t>Mild</t>
        </is>
      </c>
      <c r="G44" s="20" t="inlineStr">
        <is>
          <t>One step</t>
        </is>
      </c>
      <c r="H44" s="20" t="inlineStr">
        <is>
          <t xml:space="preserve">Pyrolysis </t>
        </is>
      </c>
      <c r="I44" s="20" t="inlineStr">
        <is>
          <t>No</t>
        </is>
      </c>
      <c r="J44" s="20" t="n">
        <v>120</v>
      </c>
      <c r="K44" s="20" t="n">
        <v>2</v>
      </c>
      <c r="L44" s="20" t="n">
        <v>1500</v>
      </c>
      <c r="M44" s="20" t="inlineStr">
        <is>
          <t>No</t>
        </is>
      </c>
      <c r="N44" s="20" t="inlineStr">
        <is>
          <t>No</t>
        </is>
      </c>
      <c r="O44" s="20" t="inlineStr">
        <is>
          <t>No</t>
        </is>
      </c>
      <c r="P44" s="20" t="n"/>
      <c r="Q44" s="20" t="inlineStr">
        <is>
          <t>No</t>
        </is>
      </c>
      <c r="R44" s="20" t="n">
        <v>85.59999999999999</v>
      </c>
      <c r="S44" s="20" t="n">
        <v>0.372</v>
      </c>
      <c r="T44" s="22" t="n">
        <v>0.6</v>
      </c>
      <c r="U44" s="20" t="n"/>
      <c r="V44" s="20" t="n">
        <v>0.95</v>
      </c>
      <c r="W44" s="20" t="n">
        <v>0.06</v>
      </c>
      <c r="X44" s="20" t="n">
        <v>96.20999999999999</v>
      </c>
      <c r="Y44" s="24" t="inlineStr">
        <is>
          <t>[11]</t>
        </is>
      </c>
    </row>
    <row r="45" ht="15" customHeight="1">
      <c r="A45" s="20" t="inlineStr">
        <is>
          <t>Mangosteen shell</t>
        </is>
      </c>
      <c r="B45" s="21" t="inlineStr">
        <is>
          <t>No</t>
        </is>
      </c>
      <c r="C45" s="21" t="inlineStr">
        <is>
          <t>No wash</t>
        </is>
      </c>
      <c r="D45" s="21" t="inlineStr">
        <is>
          <t>No</t>
        </is>
      </c>
      <c r="E45" s="21" t="inlineStr">
        <is>
          <t>No wash</t>
        </is>
      </c>
      <c r="F45" s="21" t="inlineStr">
        <is>
          <t>No</t>
        </is>
      </c>
      <c r="G45" s="20" t="inlineStr">
        <is>
          <t>One step</t>
        </is>
      </c>
      <c r="H45" s="20" t="inlineStr">
        <is>
          <t xml:space="preserve">Pyrolysis </t>
        </is>
      </c>
      <c r="I45" s="20" t="inlineStr">
        <is>
          <t>No</t>
        </is>
      </c>
      <c r="J45" s="20" t="n">
        <v>120</v>
      </c>
      <c r="K45" s="20" t="n">
        <v>3</v>
      </c>
      <c r="L45" s="20" t="n">
        <v>800</v>
      </c>
      <c r="M45" s="20" t="inlineStr">
        <is>
          <t>No</t>
        </is>
      </c>
      <c r="N45" s="20" t="inlineStr">
        <is>
          <t>No</t>
        </is>
      </c>
      <c r="O45" s="20" t="inlineStr">
        <is>
          <t>No</t>
        </is>
      </c>
      <c r="P45" s="20" t="n"/>
      <c r="Q45" s="20" t="inlineStr">
        <is>
          <t>No</t>
        </is>
      </c>
      <c r="R45" s="20" t="n">
        <v>539.4</v>
      </c>
      <c r="S45" s="20" t="n">
        <v>0.384</v>
      </c>
      <c r="T45" s="22" t="n">
        <v>0.492</v>
      </c>
      <c r="U45" s="20" t="n">
        <v>2.16</v>
      </c>
      <c r="V45" s="20" t="n">
        <v>1.38</v>
      </c>
      <c r="W45" s="20" t="n"/>
      <c r="X45" s="20" t="n"/>
      <c r="Y45" s="24" t="inlineStr">
        <is>
          <t>[12]</t>
        </is>
      </c>
    </row>
    <row r="46" ht="15" customHeight="1">
      <c r="A46" s="20" t="inlineStr">
        <is>
          <t>Mangosteen shell</t>
        </is>
      </c>
      <c r="B46" s="21" t="inlineStr">
        <is>
          <t>No</t>
        </is>
      </c>
      <c r="C46" s="21" t="inlineStr">
        <is>
          <t>No wash</t>
        </is>
      </c>
      <c r="D46" s="21" t="inlineStr">
        <is>
          <t>No</t>
        </is>
      </c>
      <c r="E46" s="21" t="inlineStr">
        <is>
          <t>No wash</t>
        </is>
      </c>
      <c r="F46" s="21" t="inlineStr">
        <is>
          <t>No</t>
        </is>
      </c>
      <c r="G46" s="20" t="inlineStr">
        <is>
          <t>One step</t>
        </is>
      </c>
      <c r="H46" s="20" t="inlineStr">
        <is>
          <t xml:space="preserve">Pyrolysis </t>
        </is>
      </c>
      <c r="I46" s="20" t="inlineStr">
        <is>
          <t>No</t>
        </is>
      </c>
      <c r="J46" s="20" t="n">
        <v>120</v>
      </c>
      <c r="K46" s="20" t="n">
        <v>3</v>
      </c>
      <c r="L46" s="20" t="n">
        <v>900</v>
      </c>
      <c r="M46" s="20" t="inlineStr">
        <is>
          <t>No</t>
        </is>
      </c>
      <c r="N46" s="20" t="inlineStr">
        <is>
          <t>No</t>
        </is>
      </c>
      <c r="O46" s="20" t="inlineStr">
        <is>
          <t>No</t>
        </is>
      </c>
      <c r="P46" s="20" t="n"/>
      <c r="Q46" s="20" t="inlineStr">
        <is>
          <t>No</t>
        </is>
      </c>
      <c r="R46" s="20" t="n">
        <v>358.8</v>
      </c>
      <c r="S46" s="20" t="n">
        <v>0.38</v>
      </c>
      <c r="T46" s="22" t="n">
        <v>0.507</v>
      </c>
      <c r="U46" s="20" t="n">
        <v>2.23</v>
      </c>
      <c r="V46" s="20" t="n">
        <v>1.43</v>
      </c>
      <c r="W46" s="20" t="n"/>
      <c r="X46" s="20" t="n"/>
      <c r="Y46" s="24" t="inlineStr">
        <is>
          <t>[12]</t>
        </is>
      </c>
    </row>
    <row r="47" ht="15" customHeight="1">
      <c r="A47" s="20" t="inlineStr">
        <is>
          <t>Mangosteen shell</t>
        </is>
      </c>
      <c r="B47" s="21" t="inlineStr">
        <is>
          <t>No</t>
        </is>
      </c>
      <c r="C47" s="21" t="inlineStr">
        <is>
          <t>No wash</t>
        </is>
      </c>
      <c r="D47" s="21" t="inlineStr">
        <is>
          <t>No</t>
        </is>
      </c>
      <c r="E47" s="21" t="inlineStr">
        <is>
          <t>No wash</t>
        </is>
      </c>
      <c r="F47" s="21" t="inlineStr">
        <is>
          <t>No</t>
        </is>
      </c>
      <c r="G47" s="20" t="inlineStr">
        <is>
          <t>One step</t>
        </is>
      </c>
      <c r="H47" s="20" t="inlineStr">
        <is>
          <t xml:space="preserve">Pyrolysis </t>
        </is>
      </c>
      <c r="I47" s="20" t="inlineStr">
        <is>
          <t>No</t>
        </is>
      </c>
      <c r="J47" s="20" t="n">
        <v>120</v>
      </c>
      <c r="K47" s="20" t="n">
        <v>3</v>
      </c>
      <c r="L47" s="20" t="n">
        <v>1000</v>
      </c>
      <c r="M47" s="20" t="inlineStr">
        <is>
          <t>No</t>
        </is>
      </c>
      <c r="N47" s="20" t="inlineStr">
        <is>
          <t>No</t>
        </is>
      </c>
      <c r="O47" s="20" t="inlineStr">
        <is>
          <t>No</t>
        </is>
      </c>
      <c r="P47" s="20" t="n"/>
      <c r="Q47" s="20" t="inlineStr">
        <is>
          <t>No</t>
        </is>
      </c>
      <c r="R47" s="20" t="n">
        <v>216.7</v>
      </c>
      <c r="S47" s="20" t="n">
        <v>0.378</v>
      </c>
      <c r="T47" s="22" t="n">
        <v>0.534</v>
      </c>
      <c r="U47" s="20" t="n">
        <v>2.35</v>
      </c>
      <c r="V47" s="20" t="n">
        <v>1.49</v>
      </c>
      <c r="W47" s="20" t="n"/>
      <c r="X47" s="20" t="n"/>
      <c r="Y47" s="24" t="inlineStr">
        <is>
          <t>[12]</t>
        </is>
      </c>
    </row>
    <row r="48" ht="15" customHeight="1">
      <c r="A48" s="20" t="inlineStr">
        <is>
          <t>Mangosteen shell</t>
        </is>
      </c>
      <c r="B48" s="21" t="inlineStr">
        <is>
          <t>No</t>
        </is>
      </c>
      <c r="C48" s="21" t="inlineStr">
        <is>
          <t>No wash</t>
        </is>
      </c>
      <c r="D48" s="21" t="inlineStr">
        <is>
          <t>No</t>
        </is>
      </c>
      <c r="E48" s="21" t="inlineStr">
        <is>
          <t>No wash</t>
        </is>
      </c>
      <c r="F48" s="21" t="inlineStr">
        <is>
          <t>No</t>
        </is>
      </c>
      <c r="G48" s="20" t="inlineStr">
        <is>
          <t>One step</t>
        </is>
      </c>
      <c r="H48" s="20" t="inlineStr">
        <is>
          <t xml:space="preserve">Pyrolysis </t>
        </is>
      </c>
      <c r="I48" s="20" t="inlineStr">
        <is>
          <t>No</t>
        </is>
      </c>
      <c r="J48" s="20" t="n">
        <v>120</v>
      </c>
      <c r="K48" s="20" t="n">
        <v>3</v>
      </c>
      <c r="L48" s="20" t="n">
        <v>1100</v>
      </c>
      <c r="M48" s="20" t="inlineStr">
        <is>
          <t>No</t>
        </is>
      </c>
      <c r="N48" s="20" t="inlineStr">
        <is>
          <t>No</t>
        </is>
      </c>
      <c r="O48" s="20" t="inlineStr">
        <is>
          <t>No</t>
        </is>
      </c>
      <c r="P48" s="20" t="n"/>
      <c r="Q48" s="20" t="inlineStr">
        <is>
          <t>No</t>
        </is>
      </c>
      <c r="R48" s="20" t="n">
        <v>126.6</v>
      </c>
      <c r="S48" s="20" t="n">
        <v>0.374</v>
      </c>
      <c r="T48" s="22" t="n">
        <v>0.569</v>
      </c>
      <c r="U48" s="20" t="n">
        <v>2.5</v>
      </c>
      <c r="V48" s="20" t="n">
        <v>1.52</v>
      </c>
      <c r="W48" s="20" t="n"/>
      <c r="X48" s="20" t="n"/>
      <c r="Y48" s="24" t="inlineStr">
        <is>
          <t>[12]</t>
        </is>
      </c>
    </row>
    <row r="49" ht="15" customHeight="1">
      <c r="A49" s="20" t="inlineStr">
        <is>
          <t>Mangosteen shell</t>
        </is>
      </c>
      <c r="B49" s="21" t="inlineStr">
        <is>
          <t>No</t>
        </is>
      </c>
      <c r="C49" s="21" t="inlineStr">
        <is>
          <t>No wash</t>
        </is>
      </c>
      <c r="D49" s="21" t="inlineStr">
        <is>
          <t>No</t>
        </is>
      </c>
      <c r="E49" s="21" t="inlineStr">
        <is>
          <t>No wash</t>
        </is>
      </c>
      <c r="F49" s="21" t="inlineStr">
        <is>
          <t>No</t>
        </is>
      </c>
      <c r="G49" s="20" t="inlineStr">
        <is>
          <t>One step</t>
        </is>
      </c>
      <c r="H49" s="20" t="inlineStr">
        <is>
          <t xml:space="preserve">Pyrolysis </t>
        </is>
      </c>
      <c r="I49" s="20" t="inlineStr">
        <is>
          <t>No</t>
        </is>
      </c>
      <c r="J49" s="20" t="n">
        <v>120</v>
      </c>
      <c r="K49" s="20" t="n">
        <v>3</v>
      </c>
      <c r="L49" s="20" t="n">
        <v>1200</v>
      </c>
      <c r="M49" s="20" t="inlineStr">
        <is>
          <t>No</t>
        </is>
      </c>
      <c r="N49" s="20" t="inlineStr">
        <is>
          <t>No</t>
        </is>
      </c>
      <c r="O49" s="20" t="inlineStr">
        <is>
          <t>No</t>
        </is>
      </c>
      <c r="P49" s="20" t="n"/>
      <c r="Q49" s="20" t="inlineStr">
        <is>
          <t>No</t>
        </is>
      </c>
      <c r="R49" s="20" t="n">
        <v>101.5</v>
      </c>
      <c r="S49" s="20" t="n">
        <v>0.372</v>
      </c>
      <c r="T49" s="22" t="n">
        <v>0.584</v>
      </c>
      <c r="U49" s="20" t="n">
        <v>2.57</v>
      </c>
      <c r="V49" s="20" t="n">
        <v>1.55</v>
      </c>
      <c r="W49" s="20" t="n"/>
      <c r="X49" s="20" t="n"/>
      <c r="Y49" s="24" t="inlineStr">
        <is>
          <t>[12]</t>
        </is>
      </c>
    </row>
    <row r="50" ht="15" customHeight="1">
      <c r="A50" s="20" t="inlineStr">
        <is>
          <t>Mangosteen shell</t>
        </is>
      </c>
      <c r="B50" s="21" t="inlineStr">
        <is>
          <t>No</t>
        </is>
      </c>
      <c r="C50" s="21" t="inlineStr">
        <is>
          <t>No wash</t>
        </is>
      </c>
      <c r="D50" s="21" t="inlineStr">
        <is>
          <t>No</t>
        </is>
      </c>
      <c r="E50" s="21" t="inlineStr">
        <is>
          <t>No wash</t>
        </is>
      </c>
      <c r="F50" s="21" t="inlineStr">
        <is>
          <t>No</t>
        </is>
      </c>
      <c r="G50" s="20" t="inlineStr">
        <is>
          <t>One step</t>
        </is>
      </c>
      <c r="H50" s="20" t="inlineStr">
        <is>
          <t xml:space="preserve">Pyrolysis </t>
        </is>
      </c>
      <c r="I50" s="20" t="inlineStr">
        <is>
          <t>No</t>
        </is>
      </c>
      <c r="J50" s="20" t="n">
        <v>120</v>
      </c>
      <c r="K50" s="20" t="n">
        <v>3</v>
      </c>
      <c r="L50" s="20" t="n">
        <v>1300</v>
      </c>
      <c r="M50" s="20" t="inlineStr">
        <is>
          <t>No</t>
        </is>
      </c>
      <c r="N50" s="20" t="inlineStr">
        <is>
          <t>No</t>
        </is>
      </c>
      <c r="O50" s="20" t="inlineStr">
        <is>
          <t>No</t>
        </is>
      </c>
      <c r="P50" s="20" t="n"/>
      <c r="Q50" s="20" t="inlineStr">
        <is>
          <t>No</t>
        </is>
      </c>
      <c r="R50" s="20" t="n">
        <v>81.5</v>
      </c>
      <c r="S50" s="20" t="n">
        <v>0.371</v>
      </c>
      <c r="T50" s="22" t="n">
        <v>0.598</v>
      </c>
      <c r="U50" s="20" t="n">
        <v>2.63</v>
      </c>
      <c r="V50" s="20" t="n">
        <v>1.58</v>
      </c>
      <c r="W50" s="20" t="n"/>
      <c r="X50" s="20" t="n"/>
      <c r="Y50" s="24" t="inlineStr">
        <is>
          <t>[12]</t>
        </is>
      </c>
    </row>
    <row r="51" ht="15" customHeight="1">
      <c r="A51" s="20" t="inlineStr">
        <is>
          <t>Mangosteen shell</t>
        </is>
      </c>
      <c r="B51" s="21" t="inlineStr">
        <is>
          <t>No</t>
        </is>
      </c>
      <c r="C51" s="21" t="inlineStr">
        <is>
          <t>No wash</t>
        </is>
      </c>
      <c r="D51" s="21" t="inlineStr">
        <is>
          <t>No</t>
        </is>
      </c>
      <c r="E51" s="21" t="inlineStr">
        <is>
          <t>No wash</t>
        </is>
      </c>
      <c r="F51" s="21" t="inlineStr">
        <is>
          <t>No</t>
        </is>
      </c>
      <c r="G51" s="20" t="inlineStr">
        <is>
          <t>One step</t>
        </is>
      </c>
      <c r="H51" s="20" t="inlineStr">
        <is>
          <t xml:space="preserve">Pyrolysis </t>
        </is>
      </c>
      <c r="I51" s="20" t="inlineStr">
        <is>
          <t>No</t>
        </is>
      </c>
      <c r="J51" s="20" t="n">
        <v>120</v>
      </c>
      <c r="K51" s="20" t="n">
        <v>3</v>
      </c>
      <c r="L51" s="20" t="n">
        <v>1400</v>
      </c>
      <c r="M51" s="20" t="inlineStr">
        <is>
          <t>No</t>
        </is>
      </c>
      <c r="N51" s="20" t="inlineStr">
        <is>
          <t>No</t>
        </is>
      </c>
      <c r="O51" s="20" t="inlineStr">
        <is>
          <t>No</t>
        </is>
      </c>
      <c r="P51" s="20" t="n"/>
      <c r="Q51" s="20" t="inlineStr">
        <is>
          <t>No</t>
        </is>
      </c>
      <c r="R51" s="20" t="n">
        <v>38.8</v>
      </c>
      <c r="S51" s="20" t="n">
        <v>0.369</v>
      </c>
      <c r="T51" s="22" t="n">
        <v>0.624</v>
      </c>
      <c r="U51" s="20" t="n">
        <v>2.75</v>
      </c>
      <c r="V51" s="20" t="n">
        <v>1.61</v>
      </c>
      <c r="W51" s="20" t="n"/>
      <c r="X51" s="20" t="n"/>
      <c r="Y51" s="24" t="inlineStr">
        <is>
          <t>[12]</t>
        </is>
      </c>
    </row>
    <row r="52" ht="15" customHeight="1">
      <c r="A52" s="20" t="inlineStr">
        <is>
          <t>Mangosteen shell</t>
        </is>
      </c>
      <c r="B52" s="21" t="inlineStr">
        <is>
          <t>No</t>
        </is>
      </c>
      <c r="C52" s="21" t="inlineStr">
        <is>
          <t>No wash</t>
        </is>
      </c>
      <c r="D52" s="21" t="inlineStr">
        <is>
          <t>No</t>
        </is>
      </c>
      <c r="E52" s="21" t="inlineStr">
        <is>
          <t>No wash</t>
        </is>
      </c>
      <c r="F52" s="21" t="inlineStr">
        <is>
          <t>No</t>
        </is>
      </c>
      <c r="G52" s="20" t="inlineStr">
        <is>
          <t>One step</t>
        </is>
      </c>
      <c r="H52" s="20" t="inlineStr">
        <is>
          <t xml:space="preserve">Pyrolysis </t>
        </is>
      </c>
      <c r="I52" s="20" t="inlineStr">
        <is>
          <t>No</t>
        </is>
      </c>
      <c r="J52" s="20" t="n">
        <v>120</v>
      </c>
      <c r="K52" s="20" t="n">
        <v>3</v>
      </c>
      <c r="L52" s="20" t="n">
        <v>1500</v>
      </c>
      <c r="M52" s="20" t="inlineStr">
        <is>
          <t>No</t>
        </is>
      </c>
      <c r="N52" s="20" t="inlineStr">
        <is>
          <t>No</t>
        </is>
      </c>
      <c r="O52" s="20" t="inlineStr">
        <is>
          <t>No</t>
        </is>
      </c>
      <c r="P52" s="20" t="n"/>
      <c r="Q52" s="20" t="inlineStr">
        <is>
          <t>No</t>
        </is>
      </c>
      <c r="R52" s="20" t="n">
        <v>8.9</v>
      </c>
      <c r="S52" s="20" t="n">
        <v>0.367</v>
      </c>
      <c r="T52" s="22" t="n">
        <v>0.666</v>
      </c>
      <c r="U52" s="20" t="n">
        <v>2.93</v>
      </c>
      <c r="V52" s="20" t="n">
        <v>1.64</v>
      </c>
      <c r="W52" s="20" t="n"/>
      <c r="X52" s="20" t="n"/>
      <c r="Y52" s="24" t="inlineStr">
        <is>
          <t>[12]</t>
        </is>
      </c>
    </row>
    <row r="53" ht="15" customHeight="1">
      <c r="A53" s="20" t="inlineStr">
        <is>
          <t>Mangosteen shell</t>
        </is>
      </c>
      <c r="B53" s="21" t="inlineStr">
        <is>
          <t>No</t>
        </is>
      </c>
      <c r="C53" s="21" t="inlineStr">
        <is>
          <t>No wash</t>
        </is>
      </c>
      <c r="D53" s="21" t="inlineStr">
        <is>
          <t>No</t>
        </is>
      </c>
      <c r="E53" s="21" t="inlineStr">
        <is>
          <t>No wash</t>
        </is>
      </c>
      <c r="F53" s="21" t="inlineStr">
        <is>
          <t>No</t>
        </is>
      </c>
      <c r="G53" s="20" t="inlineStr">
        <is>
          <t>One step</t>
        </is>
      </c>
      <c r="H53" s="20" t="inlineStr">
        <is>
          <t xml:space="preserve">Pyrolysis </t>
        </is>
      </c>
      <c r="I53" s="20" t="inlineStr">
        <is>
          <t>No</t>
        </is>
      </c>
      <c r="J53" s="20" t="n">
        <v>120</v>
      </c>
      <c r="K53" s="20" t="n">
        <v>3</v>
      </c>
      <c r="L53" s="20" t="n">
        <v>1600</v>
      </c>
      <c r="M53" s="20" t="inlineStr">
        <is>
          <t>No</t>
        </is>
      </c>
      <c r="N53" s="20" t="inlineStr">
        <is>
          <t>No</t>
        </is>
      </c>
      <c r="O53" s="20" t="inlineStr">
        <is>
          <t>No</t>
        </is>
      </c>
      <c r="P53" s="20" t="n"/>
      <c r="Q53" s="20" t="inlineStr">
        <is>
          <t>No</t>
        </is>
      </c>
      <c r="R53" s="20" t="n">
        <v>2.4</v>
      </c>
      <c r="S53" s="20" t="n">
        <v>0.366</v>
      </c>
      <c r="T53" s="22" t="n">
        <v>0.668</v>
      </c>
      <c r="U53" s="20" t="n">
        <v>2.94</v>
      </c>
      <c r="V53" s="20" t="n">
        <v>1.65</v>
      </c>
      <c r="W53" s="20" t="n"/>
      <c r="X53" s="20" t="n"/>
      <c r="Y53" s="24" t="inlineStr">
        <is>
          <t>[12]</t>
        </is>
      </c>
    </row>
    <row r="54" ht="15" customHeight="1">
      <c r="A54" s="20" t="inlineStr">
        <is>
          <t>Dandelion</t>
        </is>
      </c>
      <c r="B54" s="21" t="inlineStr">
        <is>
          <t>Biomass (H2O) / Carbon (2M HCl + H2O)</t>
        </is>
      </c>
      <c r="C54" s="21" t="inlineStr">
        <is>
          <t>Water wash</t>
        </is>
      </c>
      <c r="D54" s="21" t="inlineStr">
        <is>
          <t>No</t>
        </is>
      </c>
      <c r="E54" s="21" t="inlineStr">
        <is>
          <t>Acid wash</t>
        </is>
      </c>
      <c r="F54" s="21" t="inlineStr">
        <is>
          <t>No</t>
        </is>
      </c>
      <c r="G54" s="20" t="inlineStr">
        <is>
          <t>One step</t>
        </is>
      </c>
      <c r="H54" s="20" t="inlineStr">
        <is>
          <t xml:space="preserve">Pyrolysis </t>
        </is>
      </c>
      <c r="I54" s="20" t="inlineStr">
        <is>
          <t>No</t>
        </is>
      </c>
      <c r="J54" s="20" t="n">
        <v>300</v>
      </c>
      <c r="K54" s="20" t="n">
        <v>5</v>
      </c>
      <c r="L54" s="20" t="n">
        <v>800</v>
      </c>
      <c r="M54" s="20" t="inlineStr">
        <is>
          <t>No</t>
        </is>
      </c>
      <c r="N54" s="20" t="inlineStr">
        <is>
          <t>No</t>
        </is>
      </c>
      <c r="O54" s="20" t="inlineStr">
        <is>
          <t>No</t>
        </is>
      </c>
      <c r="P54" s="20" t="n"/>
      <c r="Q54" s="20" t="inlineStr">
        <is>
          <t>No</t>
        </is>
      </c>
      <c r="R54" s="30" t="n">
        <v>9.974</v>
      </c>
      <c r="S54" s="31" t="n">
        <v>0.38458</v>
      </c>
      <c r="T54" s="23" t="n">
        <v>0.34</v>
      </c>
      <c r="U54" s="4" t="n">
        <v>8.4</v>
      </c>
      <c r="V54" s="4" t="n">
        <v>1.09</v>
      </c>
      <c r="W54" s="20" t="n"/>
      <c r="X54" s="20" t="n"/>
      <c r="Y54" s="24" t="inlineStr">
        <is>
          <t>[13]</t>
        </is>
      </c>
    </row>
    <row r="55" ht="15" customHeight="1">
      <c r="A55" s="20" t="inlineStr">
        <is>
          <t>Dandelion</t>
        </is>
      </c>
      <c r="B55" s="21" t="inlineStr">
        <is>
          <t>Biomass (H2O) / Carbon (2M HCl + H2O)</t>
        </is>
      </c>
      <c r="C55" s="21" t="inlineStr">
        <is>
          <t>Water wash</t>
        </is>
      </c>
      <c r="D55" s="21" t="inlineStr">
        <is>
          <t>No</t>
        </is>
      </c>
      <c r="E55" s="21" t="inlineStr">
        <is>
          <t>Acid wash</t>
        </is>
      </c>
      <c r="F55" s="21" t="inlineStr">
        <is>
          <t>No</t>
        </is>
      </c>
      <c r="G55" s="20" t="inlineStr">
        <is>
          <t>One step</t>
        </is>
      </c>
      <c r="H55" s="20" t="inlineStr">
        <is>
          <t xml:space="preserve">Pyrolysis </t>
        </is>
      </c>
      <c r="I55" s="20" t="inlineStr">
        <is>
          <t>No</t>
        </is>
      </c>
      <c r="J55" s="20" t="n">
        <v>300</v>
      </c>
      <c r="K55" s="20" t="n">
        <v>5</v>
      </c>
      <c r="L55" s="20" t="n">
        <v>1000</v>
      </c>
      <c r="M55" s="20" t="inlineStr">
        <is>
          <t>No</t>
        </is>
      </c>
      <c r="N55" s="20" t="inlineStr">
        <is>
          <t>No</t>
        </is>
      </c>
      <c r="O55" s="20" t="inlineStr">
        <is>
          <t>No</t>
        </is>
      </c>
      <c r="P55" s="20" t="n"/>
      <c r="Q55" s="20" t="inlineStr">
        <is>
          <t>No</t>
        </is>
      </c>
      <c r="R55" s="30" t="n">
        <v>9.025</v>
      </c>
      <c r="S55" s="31" t="n">
        <v>0.38129</v>
      </c>
      <c r="T55" s="23" t="n">
        <v>0.41</v>
      </c>
      <c r="U55" s="4" t="n">
        <v>9</v>
      </c>
      <c r="V55" s="4" t="n">
        <v>1.14</v>
      </c>
      <c r="W55" s="20" t="n"/>
      <c r="X55" s="20" t="n"/>
      <c r="Y55" s="24" t="inlineStr">
        <is>
          <t>[13]</t>
        </is>
      </c>
    </row>
    <row r="56" ht="15" customHeight="1">
      <c r="A56" s="20" t="inlineStr">
        <is>
          <t>Dandelion</t>
        </is>
      </c>
      <c r="B56" s="21" t="inlineStr">
        <is>
          <t>Biomass (H2O) / Carbon (2M HCl + H2O)</t>
        </is>
      </c>
      <c r="C56" s="21" t="inlineStr">
        <is>
          <t>Water wash</t>
        </is>
      </c>
      <c r="D56" s="21" t="inlineStr">
        <is>
          <t>No</t>
        </is>
      </c>
      <c r="E56" s="21" t="inlineStr">
        <is>
          <t>Acid wash</t>
        </is>
      </c>
      <c r="F56" s="21" t="inlineStr">
        <is>
          <t>No</t>
        </is>
      </c>
      <c r="G56" s="20" t="inlineStr">
        <is>
          <t>One step</t>
        </is>
      </c>
      <c r="H56" s="20" t="inlineStr">
        <is>
          <t xml:space="preserve">Pyrolysis </t>
        </is>
      </c>
      <c r="I56" s="20" t="inlineStr">
        <is>
          <t>No</t>
        </is>
      </c>
      <c r="J56" s="20" t="n">
        <v>300</v>
      </c>
      <c r="K56" s="20" t="n">
        <v>5</v>
      </c>
      <c r="L56" s="20" t="n">
        <v>1200</v>
      </c>
      <c r="M56" s="20" t="inlineStr">
        <is>
          <t>No</t>
        </is>
      </c>
      <c r="N56" s="20" t="inlineStr">
        <is>
          <t>No</t>
        </is>
      </c>
      <c r="O56" s="20" t="inlineStr">
        <is>
          <t>No</t>
        </is>
      </c>
      <c r="P56" s="20" t="n"/>
      <c r="Q56" s="20" t="inlineStr">
        <is>
          <t>No</t>
        </is>
      </c>
      <c r="R56" s="30" t="n">
        <v>4.692</v>
      </c>
      <c r="S56" s="31" t="n">
        <v>0.37422</v>
      </c>
      <c r="T56" s="23" t="n">
        <v>0.48</v>
      </c>
      <c r="U56" s="4" t="n">
        <v>12.6</v>
      </c>
      <c r="V56" s="4" t="n">
        <v>1.16</v>
      </c>
      <c r="W56" s="20" t="n"/>
      <c r="X56" s="20" t="n"/>
      <c r="Y56" s="24" t="inlineStr">
        <is>
          <t>[13]</t>
        </is>
      </c>
    </row>
    <row r="57" ht="15" customHeight="1">
      <c r="A57" s="20" t="inlineStr">
        <is>
          <t>Dandelion</t>
        </is>
      </c>
      <c r="B57" s="21" t="inlineStr">
        <is>
          <t>Biomass (H2O) / Carbon (2M HCl + H2O)</t>
        </is>
      </c>
      <c r="C57" s="21" t="inlineStr">
        <is>
          <t>Water wash</t>
        </is>
      </c>
      <c r="D57" s="21" t="inlineStr">
        <is>
          <t>No</t>
        </is>
      </c>
      <c r="E57" s="21" t="inlineStr">
        <is>
          <t>Acid wash</t>
        </is>
      </c>
      <c r="F57" s="21" t="inlineStr">
        <is>
          <t>No</t>
        </is>
      </c>
      <c r="G57" s="20" t="inlineStr">
        <is>
          <t>One step</t>
        </is>
      </c>
      <c r="H57" s="20" t="inlineStr">
        <is>
          <t xml:space="preserve">Pyrolysis </t>
        </is>
      </c>
      <c r="I57" s="20" t="inlineStr">
        <is>
          <t>No</t>
        </is>
      </c>
      <c r="J57" s="20" t="n">
        <v>300</v>
      </c>
      <c r="K57" s="20" t="n">
        <v>5</v>
      </c>
      <c r="L57" s="20" t="n">
        <v>1400</v>
      </c>
      <c r="M57" s="20" t="inlineStr">
        <is>
          <t>No</t>
        </is>
      </c>
      <c r="N57" s="20" t="inlineStr">
        <is>
          <t>No</t>
        </is>
      </c>
      <c r="O57" s="20" t="inlineStr">
        <is>
          <t>No</t>
        </is>
      </c>
      <c r="P57" s="20" t="n"/>
      <c r="Q57" s="20" t="inlineStr">
        <is>
          <t>No</t>
        </is>
      </c>
      <c r="R57" s="30" t="n">
        <v>2.235</v>
      </c>
      <c r="S57" s="31" t="n">
        <v>0.372831</v>
      </c>
      <c r="T57" s="22" t="n">
        <v>0.59</v>
      </c>
      <c r="U57" s="4" t="n">
        <v>14.2</v>
      </c>
      <c r="V57" s="4" t="n">
        <v>1.33</v>
      </c>
      <c r="W57" s="20" t="n"/>
      <c r="X57" s="20" t="n"/>
      <c r="Y57" s="24" t="inlineStr">
        <is>
          <t>[13]</t>
        </is>
      </c>
    </row>
    <row r="58" ht="15" customHeight="1">
      <c r="A58" s="20" t="inlineStr">
        <is>
          <t>Lotus stem</t>
        </is>
      </c>
      <c r="B58" s="21" t="inlineStr">
        <is>
          <t>Carbon (dilute HF + H2O)</t>
        </is>
      </c>
      <c r="C58" s="21" t="inlineStr">
        <is>
          <t>No wash</t>
        </is>
      </c>
      <c r="D58" s="21" t="inlineStr">
        <is>
          <t>No</t>
        </is>
      </c>
      <c r="E58" s="21" t="inlineStr">
        <is>
          <t>Acid wash</t>
        </is>
      </c>
      <c r="F58" s="21" t="inlineStr">
        <is>
          <t>No</t>
        </is>
      </c>
      <c r="G58" s="20" t="inlineStr">
        <is>
          <t>One step</t>
        </is>
      </c>
      <c r="H58" s="20" t="inlineStr">
        <is>
          <t xml:space="preserve">Pyrolysis </t>
        </is>
      </c>
      <c r="I58" s="20" t="inlineStr">
        <is>
          <t>No</t>
        </is>
      </c>
      <c r="J58" s="20" t="inlineStr">
        <is>
          <t>No</t>
        </is>
      </c>
      <c r="K58" s="20" t="n"/>
      <c r="L58" s="20" t="n">
        <v>1200</v>
      </c>
      <c r="M58" s="20" t="inlineStr">
        <is>
          <t>No</t>
        </is>
      </c>
      <c r="N58" s="20" t="inlineStr">
        <is>
          <t>No</t>
        </is>
      </c>
      <c r="O58" s="20" t="inlineStr">
        <is>
          <t>No</t>
        </is>
      </c>
      <c r="P58" s="20" t="n"/>
      <c r="Q58" s="20" t="inlineStr">
        <is>
          <t>No</t>
        </is>
      </c>
      <c r="R58" s="20" t="n">
        <v>25.8</v>
      </c>
      <c r="S58" s="20" t="n">
        <v>0.369</v>
      </c>
      <c r="T58" s="22" t="n"/>
      <c r="U58" s="20" t="n">
        <v>15.95</v>
      </c>
      <c r="V58" s="20" t="n">
        <v>0.76</v>
      </c>
      <c r="W58" s="20" t="n">
        <v>0.0102</v>
      </c>
      <c r="X58" s="20" t="n"/>
      <c r="Y58" s="24" t="inlineStr">
        <is>
          <t>[14]</t>
        </is>
      </c>
    </row>
    <row r="59" ht="15" customHeight="1">
      <c r="A59" s="20" t="inlineStr">
        <is>
          <t>Lotus stem</t>
        </is>
      </c>
      <c r="B59" s="21" t="inlineStr">
        <is>
          <t>Carbon (dilute HF + H2O)</t>
        </is>
      </c>
      <c r="C59" s="21" t="inlineStr">
        <is>
          <t>No wash</t>
        </is>
      </c>
      <c r="D59" s="21" t="inlineStr">
        <is>
          <t>No</t>
        </is>
      </c>
      <c r="E59" s="21" t="inlineStr">
        <is>
          <t>Acid wash</t>
        </is>
      </c>
      <c r="F59" s="21" t="inlineStr">
        <is>
          <t>No</t>
        </is>
      </c>
      <c r="G59" s="20" t="inlineStr">
        <is>
          <t>One step</t>
        </is>
      </c>
      <c r="H59" s="20" t="inlineStr">
        <is>
          <t xml:space="preserve">Pyrolysis </t>
        </is>
      </c>
      <c r="I59" s="20" t="inlineStr">
        <is>
          <t>No</t>
        </is>
      </c>
      <c r="J59" s="20" t="inlineStr">
        <is>
          <t>No</t>
        </is>
      </c>
      <c r="K59" s="20" t="n"/>
      <c r="L59" s="20" t="n">
        <v>1400</v>
      </c>
      <c r="M59" s="20" t="inlineStr">
        <is>
          <t>No</t>
        </is>
      </c>
      <c r="N59" s="20" t="inlineStr">
        <is>
          <t>No</t>
        </is>
      </c>
      <c r="O59" s="20" t="inlineStr">
        <is>
          <t>No</t>
        </is>
      </c>
      <c r="P59" s="20" t="n"/>
      <c r="Q59" s="20" t="inlineStr">
        <is>
          <t>No</t>
        </is>
      </c>
      <c r="R59" s="20" t="n">
        <v>24.4</v>
      </c>
      <c r="S59" s="20" t="n">
        <v>0.368</v>
      </c>
      <c r="T59" s="22" t="n"/>
      <c r="U59" s="20" t="n">
        <v>14.35</v>
      </c>
      <c r="V59" s="20" t="n">
        <v>0.79</v>
      </c>
      <c r="W59" s="20" t="n">
        <v>0.008800000000000001</v>
      </c>
      <c r="X59" s="20" t="n"/>
      <c r="Y59" s="24" t="inlineStr">
        <is>
          <t>[14]</t>
        </is>
      </c>
    </row>
    <row r="60" ht="15" customHeight="1">
      <c r="A60" s="20" t="inlineStr">
        <is>
          <t>Lotus stem</t>
        </is>
      </c>
      <c r="B60" s="21" t="inlineStr">
        <is>
          <t>Carbon (dilute HF + H2O)</t>
        </is>
      </c>
      <c r="C60" s="21" t="inlineStr">
        <is>
          <t>No wash</t>
        </is>
      </c>
      <c r="D60" s="21" t="inlineStr">
        <is>
          <t>No</t>
        </is>
      </c>
      <c r="E60" s="21" t="inlineStr">
        <is>
          <t>Acid wash</t>
        </is>
      </c>
      <c r="F60" s="21" t="inlineStr">
        <is>
          <t>No</t>
        </is>
      </c>
      <c r="G60" s="20" t="inlineStr">
        <is>
          <t>One step</t>
        </is>
      </c>
      <c r="H60" s="20" t="inlineStr">
        <is>
          <t xml:space="preserve">Pyrolysis </t>
        </is>
      </c>
      <c r="I60" s="20" t="inlineStr">
        <is>
          <t>No</t>
        </is>
      </c>
      <c r="J60" s="20" t="inlineStr">
        <is>
          <t>No</t>
        </is>
      </c>
      <c r="K60" s="20" t="n"/>
      <c r="L60" s="20" t="n">
        <v>1600</v>
      </c>
      <c r="M60" s="20" t="inlineStr">
        <is>
          <t>No</t>
        </is>
      </c>
      <c r="N60" s="20" t="inlineStr">
        <is>
          <t>No</t>
        </is>
      </c>
      <c r="O60" s="20" t="inlineStr">
        <is>
          <t>No</t>
        </is>
      </c>
      <c r="P60" s="20" t="n"/>
      <c r="Q60" s="20" t="inlineStr">
        <is>
          <t>No</t>
        </is>
      </c>
      <c r="R60" s="20" t="n">
        <v>23.7</v>
      </c>
      <c r="S60" s="20" t="n">
        <v>0.361</v>
      </c>
      <c r="T60" s="22" t="n"/>
      <c r="U60" s="20" t="n">
        <v>13.19</v>
      </c>
      <c r="V60" s="20" t="n">
        <v>1.46</v>
      </c>
      <c r="W60" s="20" t="n">
        <v>0.0083</v>
      </c>
      <c r="X60" s="20" t="n"/>
      <c r="Y60" s="24" t="inlineStr">
        <is>
          <t>[14]</t>
        </is>
      </c>
    </row>
    <row r="61" ht="15" customHeight="1">
      <c r="A61" s="20" t="inlineStr">
        <is>
          <t>Pine pollen</t>
        </is>
      </c>
      <c r="B61" s="21" t="inlineStr">
        <is>
          <t>Carbon (0.5M H2SO4 + H2O)</t>
        </is>
      </c>
      <c r="C61" s="21" t="inlineStr">
        <is>
          <t>No wash</t>
        </is>
      </c>
      <c r="D61" s="21" t="inlineStr">
        <is>
          <t>No</t>
        </is>
      </c>
      <c r="E61" s="21" t="inlineStr">
        <is>
          <t>Acid wash</t>
        </is>
      </c>
      <c r="F61" s="21" t="inlineStr">
        <is>
          <t>No</t>
        </is>
      </c>
      <c r="G61" s="20" t="inlineStr">
        <is>
          <t>One step</t>
        </is>
      </c>
      <c r="H61" s="20" t="inlineStr">
        <is>
          <t xml:space="preserve">Pyrolysis </t>
        </is>
      </c>
      <c r="I61" s="20" t="inlineStr">
        <is>
          <t>No</t>
        </is>
      </c>
      <c r="J61" s="20" t="n">
        <v>60</v>
      </c>
      <c r="K61" s="20" t="n">
        <v>5</v>
      </c>
      <c r="L61" s="20" t="n">
        <v>900</v>
      </c>
      <c r="M61" s="20" t="inlineStr">
        <is>
          <t>No</t>
        </is>
      </c>
      <c r="N61" s="20" t="inlineStr">
        <is>
          <t>No</t>
        </is>
      </c>
      <c r="O61" s="20" t="inlineStr">
        <is>
          <t>No</t>
        </is>
      </c>
      <c r="P61" s="20" t="n"/>
      <c r="Q61" s="20" t="inlineStr">
        <is>
          <t>No</t>
        </is>
      </c>
      <c r="R61" s="20" t="n">
        <v>171.5</v>
      </c>
      <c r="S61" s="20" t="n">
        <v>0.41</v>
      </c>
      <c r="T61" s="22" t="n">
        <v>1.07</v>
      </c>
      <c r="U61" s="20" t="n"/>
      <c r="V61" s="20" t="n">
        <v>1.51</v>
      </c>
      <c r="W61" s="20" t="n"/>
      <c r="X61" s="4" t="n">
        <v>91.16</v>
      </c>
      <c r="Y61" s="24" t="inlineStr">
        <is>
          <t>[15]</t>
        </is>
      </c>
    </row>
    <row r="62" ht="15" customHeight="1">
      <c r="A62" s="20" t="inlineStr">
        <is>
          <t>Rice husk</t>
        </is>
      </c>
      <c r="B62" s="21" t="inlineStr">
        <is>
          <t>Biomass (6M HCl + 10% HF + H2O)</t>
        </is>
      </c>
      <c r="C62" s="21" t="inlineStr">
        <is>
          <t>Acid wash</t>
        </is>
      </c>
      <c r="D62" s="21" t="inlineStr">
        <is>
          <t>Moderate</t>
        </is>
      </c>
      <c r="E62" s="21" t="inlineStr">
        <is>
          <t>No wash</t>
        </is>
      </c>
      <c r="F62" s="21" t="inlineStr">
        <is>
          <t>No</t>
        </is>
      </c>
      <c r="G62" s="20" t="inlineStr">
        <is>
          <t>One step</t>
        </is>
      </c>
      <c r="H62" s="20" t="inlineStr">
        <is>
          <t xml:space="preserve">Pyrolysis </t>
        </is>
      </c>
      <c r="I62" s="20" t="inlineStr">
        <is>
          <t>No</t>
        </is>
      </c>
      <c r="J62" s="20" t="n">
        <v>120</v>
      </c>
      <c r="K62" s="20" t="n">
        <v>5</v>
      </c>
      <c r="L62" s="20" t="n">
        <v>1100</v>
      </c>
      <c r="M62" s="20" t="inlineStr">
        <is>
          <t>No</t>
        </is>
      </c>
      <c r="N62" s="20" t="inlineStr">
        <is>
          <t>No</t>
        </is>
      </c>
      <c r="O62" s="20" t="inlineStr">
        <is>
          <t>No</t>
        </is>
      </c>
      <c r="P62" s="20" t="n"/>
      <c r="Q62" s="20" t="inlineStr">
        <is>
          <t>No</t>
        </is>
      </c>
      <c r="R62" s="20" t="n">
        <v>2.68</v>
      </c>
      <c r="S62" s="20" t="n">
        <v>0.403</v>
      </c>
      <c r="T62" s="22" t="n"/>
      <c r="U62" s="20" t="n">
        <v>11</v>
      </c>
      <c r="V62" s="20" t="n">
        <v>1.16</v>
      </c>
      <c r="W62" s="20" t="n"/>
      <c r="X62" s="20" t="n"/>
      <c r="Y62" s="24" t="inlineStr">
        <is>
          <t>[16]</t>
        </is>
      </c>
    </row>
    <row r="63" ht="15" customHeight="1">
      <c r="A63" s="20" t="inlineStr">
        <is>
          <t>Rice husk</t>
        </is>
      </c>
      <c r="B63" s="21" t="inlineStr">
        <is>
          <t>Biomass (6M HCl + 10% HF + H2O)</t>
        </is>
      </c>
      <c r="C63" s="21" t="inlineStr">
        <is>
          <t>Acid wash</t>
        </is>
      </c>
      <c r="D63" s="21" t="inlineStr">
        <is>
          <t>Moderate</t>
        </is>
      </c>
      <c r="E63" s="21" t="inlineStr">
        <is>
          <t>No wash</t>
        </is>
      </c>
      <c r="F63" s="21" t="inlineStr">
        <is>
          <t>No</t>
        </is>
      </c>
      <c r="G63" s="20" t="inlineStr">
        <is>
          <t>One step</t>
        </is>
      </c>
      <c r="H63" s="20" t="inlineStr">
        <is>
          <t xml:space="preserve">Pyrolysis </t>
        </is>
      </c>
      <c r="I63" s="20" t="inlineStr">
        <is>
          <t>No</t>
        </is>
      </c>
      <c r="J63" s="20" t="n">
        <v>120</v>
      </c>
      <c r="K63" s="20" t="n">
        <v>5</v>
      </c>
      <c r="L63" s="20" t="n">
        <v>1300</v>
      </c>
      <c r="M63" s="20" t="inlineStr">
        <is>
          <t>No</t>
        </is>
      </c>
      <c r="N63" s="20" t="inlineStr">
        <is>
          <t>No</t>
        </is>
      </c>
      <c r="O63" s="20" t="inlineStr">
        <is>
          <t>No</t>
        </is>
      </c>
      <c r="P63" s="20" t="n"/>
      <c r="Q63" s="20" t="inlineStr">
        <is>
          <t>No</t>
        </is>
      </c>
      <c r="R63" s="20" t="n">
        <v>0.27</v>
      </c>
      <c r="S63" s="20" t="n">
        <v>0.395</v>
      </c>
      <c r="T63" s="22" t="n"/>
      <c r="U63" s="20" t="n">
        <v>12</v>
      </c>
      <c r="V63" s="20" t="n">
        <v>1.23</v>
      </c>
      <c r="W63" s="20" t="n"/>
      <c r="X63" s="20" t="n"/>
      <c r="Y63" s="24" t="inlineStr">
        <is>
          <t>[16]</t>
        </is>
      </c>
    </row>
    <row r="64" ht="15" customHeight="1">
      <c r="A64" s="20" t="inlineStr">
        <is>
          <t>Rice husk</t>
        </is>
      </c>
      <c r="B64" s="21" t="inlineStr">
        <is>
          <t>Biomass (6M HCl + 10% HF + H2O)</t>
        </is>
      </c>
      <c r="C64" s="21" t="inlineStr">
        <is>
          <t>Acid wash</t>
        </is>
      </c>
      <c r="D64" s="21" t="inlineStr">
        <is>
          <t>Moderate</t>
        </is>
      </c>
      <c r="E64" s="21" t="inlineStr">
        <is>
          <t>No wash</t>
        </is>
      </c>
      <c r="F64" s="21" t="inlineStr">
        <is>
          <t>No</t>
        </is>
      </c>
      <c r="G64" s="20" t="inlineStr">
        <is>
          <t>One step</t>
        </is>
      </c>
      <c r="H64" s="20" t="inlineStr">
        <is>
          <t xml:space="preserve">Pyrolysis </t>
        </is>
      </c>
      <c r="I64" s="20" t="inlineStr">
        <is>
          <t>No</t>
        </is>
      </c>
      <c r="J64" s="20" t="n">
        <v>120</v>
      </c>
      <c r="K64" s="20" t="n">
        <v>5</v>
      </c>
      <c r="L64" s="20" t="n">
        <v>1500</v>
      </c>
      <c r="M64" s="20" t="inlineStr">
        <is>
          <t>No</t>
        </is>
      </c>
      <c r="N64" s="20" t="inlineStr">
        <is>
          <t>No</t>
        </is>
      </c>
      <c r="O64" s="20" t="inlineStr">
        <is>
          <t>No</t>
        </is>
      </c>
      <c r="P64" s="20" t="n"/>
      <c r="Q64" s="20" t="inlineStr">
        <is>
          <t>No</t>
        </is>
      </c>
      <c r="R64" s="20" t="n">
        <v>0.23</v>
      </c>
      <c r="S64" s="20" t="n">
        <v>0.384</v>
      </c>
      <c r="T64" s="22" t="n"/>
      <c r="U64" s="20" t="n">
        <v>12.5</v>
      </c>
      <c r="V64" s="20" t="n">
        <v>1.31</v>
      </c>
      <c r="W64" s="20" t="n"/>
      <c r="X64" s="20" t="n"/>
      <c r="Y64" s="24" t="inlineStr">
        <is>
          <t>[16]</t>
        </is>
      </c>
    </row>
    <row r="65" ht="15" customHeight="1">
      <c r="A65" s="4" t="inlineStr">
        <is>
          <t>Cucumber stem</t>
        </is>
      </c>
      <c r="B65" s="5" t="inlineStr">
        <is>
          <t>10% KOH 1MHCl</t>
        </is>
      </c>
      <c r="C65" s="5" t="inlineStr">
        <is>
          <t>Alkali wash</t>
        </is>
      </c>
      <c r="D65" s="5" t="inlineStr">
        <is>
          <t>Mild</t>
        </is>
      </c>
      <c r="E65" s="5" t="inlineStr">
        <is>
          <t>No wash</t>
        </is>
      </c>
      <c r="F65" s="5" t="inlineStr">
        <is>
          <t>No wash</t>
        </is>
      </c>
      <c r="G65" s="4" t="inlineStr">
        <is>
          <t>Two step</t>
        </is>
      </c>
      <c r="H65" s="4" t="inlineStr">
        <is>
          <t>pyrolysis</t>
        </is>
      </c>
      <c r="I65" s="4" t="inlineStr">
        <is>
          <t>No</t>
        </is>
      </c>
      <c r="J65" s="4" t="n"/>
      <c r="K65" s="4" t="n">
        <v>1</v>
      </c>
      <c r="L65" s="4" t="n">
        <v>600</v>
      </c>
      <c r="M65" s="4" t="inlineStr">
        <is>
          <t>Pyrolysis</t>
        </is>
      </c>
      <c r="N65" s="4" t="inlineStr">
        <is>
          <t>No</t>
        </is>
      </c>
      <c r="O65" s="4" t="n">
        <v>120</v>
      </c>
      <c r="P65" s="4" t="n">
        <v>5</v>
      </c>
      <c r="Q65" s="4" t="n">
        <v>900</v>
      </c>
      <c r="R65" s="4" t="n">
        <v>147.2</v>
      </c>
      <c r="S65" s="4" t="n">
        <v>0.387</v>
      </c>
      <c r="T65" s="23">
        <f>1/1.82</f>
        <v/>
      </c>
      <c r="U65" s="4" t="n">
        <v>1.63</v>
      </c>
      <c r="V65" s="4" t="n">
        <v>0.75</v>
      </c>
      <c r="W65" s="4" t="n">
        <v>0.07199999999999999</v>
      </c>
      <c r="X65" s="4" t="n">
        <v>86.03</v>
      </c>
      <c r="Y65" s="29" t="inlineStr">
        <is>
          <t>[16]</t>
        </is>
      </c>
    </row>
    <row r="66" ht="15" customHeight="1">
      <c r="A66" s="4" t="inlineStr">
        <is>
          <t>Cucumber stem</t>
        </is>
      </c>
      <c r="B66" s="5" t="inlineStr">
        <is>
          <t>10% KOH 1MHCl</t>
        </is>
      </c>
      <c r="C66" s="5" t="inlineStr">
        <is>
          <t>Alkali wash</t>
        </is>
      </c>
      <c r="D66" s="5" t="inlineStr">
        <is>
          <t>Mild</t>
        </is>
      </c>
      <c r="E66" s="5" t="inlineStr">
        <is>
          <t>No wash</t>
        </is>
      </c>
      <c r="F66" s="5" t="inlineStr">
        <is>
          <t>No wash</t>
        </is>
      </c>
      <c r="G66" s="4" t="inlineStr">
        <is>
          <t>Two step</t>
        </is>
      </c>
      <c r="H66" s="4" t="inlineStr">
        <is>
          <t>pyrolysis</t>
        </is>
      </c>
      <c r="I66" s="4" t="inlineStr">
        <is>
          <t>No</t>
        </is>
      </c>
      <c r="J66" s="4" t="n"/>
      <c r="K66" s="4" t="n">
        <v>1</v>
      </c>
      <c r="L66" s="4" t="n">
        <v>600</v>
      </c>
      <c r="M66" s="4" t="inlineStr">
        <is>
          <t>Pyrolysis</t>
        </is>
      </c>
      <c r="N66" s="4" t="inlineStr">
        <is>
          <t>No</t>
        </is>
      </c>
      <c r="O66" s="4" t="n">
        <v>120</v>
      </c>
      <c r="P66" s="4" t="n">
        <v>5</v>
      </c>
      <c r="Q66" s="4" t="n">
        <v>1000</v>
      </c>
      <c r="R66" s="4" t="n">
        <v>253.5</v>
      </c>
      <c r="S66" s="4" t="n">
        <v>0.383</v>
      </c>
      <c r="T66" s="23">
        <f>1/1.69</f>
        <v/>
      </c>
      <c r="U66" s="4" t="n">
        <v>1.76</v>
      </c>
      <c r="V66" s="4" t="n">
        <v>0.8</v>
      </c>
      <c r="W66" s="4" t="n">
        <v>0.011</v>
      </c>
      <c r="X66" s="4" t="n">
        <v>87.05</v>
      </c>
      <c r="Y66" s="29" t="inlineStr">
        <is>
          <t>[16]</t>
        </is>
      </c>
    </row>
    <row r="67" ht="15" customHeight="1">
      <c r="A67" s="4" t="inlineStr">
        <is>
          <t>Cucumber stem</t>
        </is>
      </c>
      <c r="B67" s="5" t="inlineStr">
        <is>
          <t>10% KOH 1MHCl</t>
        </is>
      </c>
      <c r="C67" s="5" t="inlineStr">
        <is>
          <t>Alkali wash</t>
        </is>
      </c>
      <c r="D67" s="5" t="inlineStr">
        <is>
          <t>Mild</t>
        </is>
      </c>
      <c r="E67" s="5" t="inlineStr">
        <is>
          <t>No wash</t>
        </is>
      </c>
      <c r="F67" s="5" t="inlineStr">
        <is>
          <t>No wash</t>
        </is>
      </c>
      <c r="G67" s="4" t="inlineStr">
        <is>
          <t>Two step</t>
        </is>
      </c>
      <c r="H67" s="4" t="inlineStr">
        <is>
          <t>pyrolysis</t>
        </is>
      </c>
      <c r="I67" s="4" t="inlineStr">
        <is>
          <t>No</t>
        </is>
      </c>
      <c r="J67" s="4" t="n"/>
      <c r="K67" s="4" t="n">
        <v>1</v>
      </c>
      <c r="L67" s="4" t="n">
        <v>600</v>
      </c>
      <c r="M67" s="4" t="inlineStr">
        <is>
          <t>Pyrolysis</t>
        </is>
      </c>
      <c r="N67" s="4" t="inlineStr">
        <is>
          <t>No</t>
        </is>
      </c>
      <c r="O67" s="4" t="n">
        <v>120</v>
      </c>
      <c r="P67" s="4" t="n">
        <v>5</v>
      </c>
      <c r="Q67" s="4" t="n">
        <v>1100</v>
      </c>
      <c r="R67" s="4" t="n">
        <v>312.6</v>
      </c>
      <c r="S67" s="4" t="n">
        <v>0.38</v>
      </c>
      <c r="T67" s="23">
        <f>1/1.65</f>
        <v/>
      </c>
      <c r="U67" s="4" t="n">
        <v>1.98</v>
      </c>
      <c r="V67" s="4" t="n">
        <v>0.97</v>
      </c>
      <c r="W67" s="4" t="n">
        <v>0.114</v>
      </c>
      <c r="X67" s="4" t="n">
        <v>90.27</v>
      </c>
      <c r="Y67" s="29" t="inlineStr">
        <is>
          <t>[16]</t>
        </is>
      </c>
    </row>
    <row r="68" ht="15" customHeight="1">
      <c r="A68" s="4" t="inlineStr">
        <is>
          <t>Cucumber stem</t>
        </is>
      </c>
      <c r="B68" s="5" t="inlineStr">
        <is>
          <t>10% KOH 1MHCl</t>
        </is>
      </c>
      <c r="C68" s="5" t="inlineStr">
        <is>
          <t>Alkali wash</t>
        </is>
      </c>
      <c r="D68" s="5" t="inlineStr">
        <is>
          <t>Mild</t>
        </is>
      </c>
      <c r="E68" s="5" t="inlineStr">
        <is>
          <t>No wash</t>
        </is>
      </c>
      <c r="F68" s="5" t="inlineStr">
        <is>
          <t>No wash</t>
        </is>
      </c>
      <c r="G68" s="4" t="inlineStr">
        <is>
          <t>Two step</t>
        </is>
      </c>
      <c r="H68" s="4" t="inlineStr">
        <is>
          <t>HTC</t>
        </is>
      </c>
      <c r="I68" s="4" t="inlineStr">
        <is>
          <t>KOH</t>
        </is>
      </c>
      <c r="J68" s="4" t="n">
        <v>480</v>
      </c>
      <c r="K68" s="4" t="n"/>
      <c r="L68" s="4" t="n">
        <v>150</v>
      </c>
      <c r="M68" s="4" t="inlineStr">
        <is>
          <t>Pyrolysis</t>
        </is>
      </c>
      <c r="N68" s="4" t="inlineStr">
        <is>
          <t>No</t>
        </is>
      </c>
      <c r="O68" s="4" t="n">
        <v>120</v>
      </c>
      <c r="P68" s="4" t="n">
        <v>5</v>
      </c>
      <c r="Q68" s="4" t="n">
        <v>1000</v>
      </c>
      <c r="R68" s="4" t="n">
        <v>1988.9</v>
      </c>
      <c r="S68" s="4" t="n">
        <v>0.369</v>
      </c>
      <c r="T68" s="23">
        <f>1/1.05</f>
        <v/>
      </c>
      <c r="U68" s="4" t="n">
        <v>1.85</v>
      </c>
      <c r="V68" s="4" t="n">
        <v>0.6899999999999999</v>
      </c>
      <c r="W68" s="4" t="n">
        <v>1.63</v>
      </c>
      <c r="X68" s="4" t="n">
        <v>94.11</v>
      </c>
      <c r="Y68" s="29" t="inlineStr">
        <is>
          <t>[16]</t>
        </is>
      </c>
    </row>
    <row r="69" ht="15" customHeight="1">
      <c r="A69" s="20" t="inlineStr">
        <is>
          <t>Peanut shell</t>
        </is>
      </c>
      <c r="B69" s="21" t="inlineStr">
        <is>
          <t>No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</t>
        </is>
      </c>
      <c r="F69" s="21" t="inlineStr">
        <is>
          <t>No</t>
        </is>
      </c>
      <c r="G69" s="20" t="inlineStr">
        <is>
          <t>One step</t>
        </is>
      </c>
      <c r="H69" s="4" t="inlineStr">
        <is>
          <t>Activation</t>
        </is>
      </c>
      <c r="I69" s="20" t="inlineStr">
        <is>
          <t>H3PO4</t>
        </is>
      </c>
      <c r="J69" s="20" t="inlineStr">
        <is>
          <t>No</t>
        </is>
      </c>
      <c r="K69" s="20" t="n"/>
      <c r="L69" s="20" t="n">
        <v>800</v>
      </c>
      <c r="M69" s="20" t="inlineStr">
        <is>
          <t>No</t>
        </is>
      </c>
      <c r="N69" s="20" t="inlineStr">
        <is>
          <t>No</t>
        </is>
      </c>
      <c r="O69" s="20" t="inlineStr">
        <is>
          <t>No</t>
        </is>
      </c>
      <c r="P69" s="20" t="n"/>
      <c r="Q69" s="20" t="inlineStr">
        <is>
          <t>No</t>
        </is>
      </c>
      <c r="R69" s="20" t="n">
        <v>200</v>
      </c>
      <c r="S69" s="20" t="n"/>
      <c r="T69" s="22" t="n"/>
      <c r="U69" s="20" t="n"/>
      <c r="V69" s="20" t="n"/>
      <c r="W69" s="20" t="n"/>
      <c r="X69" s="20" t="n"/>
      <c r="Y69" s="24" t="inlineStr">
        <is>
          <t>[17]</t>
        </is>
      </c>
    </row>
    <row r="70" ht="15" customHeight="1">
      <c r="A70" s="20" t="inlineStr">
        <is>
          <t>Apple pomace</t>
        </is>
      </c>
      <c r="B70" s="21" t="inlineStr">
        <is>
          <t>No</t>
        </is>
      </c>
      <c r="C70" s="21" t="inlineStr">
        <is>
          <t>No wash</t>
        </is>
      </c>
      <c r="D70" s="21" t="inlineStr">
        <is>
          <t>No</t>
        </is>
      </c>
      <c r="E70" s="21" t="inlineStr">
        <is>
          <t>No wash</t>
        </is>
      </c>
      <c r="F70" s="21" t="inlineStr">
        <is>
          <t>No</t>
        </is>
      </c>
      <c r="G70" s="20" t="inlineStr">
        <is>
          <t>One step</t>
        </is>
      </c>
      <c r="H70" s="20" t="inlineStr">
        <is>
          <t xml:space="preserve">Pyrolysis </t>
        </is>
      </c>
      <c r="I70" s="20" t="inlineStr">
        <is>
          <t>No</t>
        </is>
      </c>
      <c r="J70" s="20" t="inlineStr">
        <is>
          <t>No</t>
        </is>
      </c>
      <c r="K70" s="20" t="n"/>
      <c r="L70" s="20" t="n">
        <v>1100</v>
      </c>
      <c r="M70" s="20" t="inlineStr">
        <is>
          <t>No</t>
        </is>
      </c>
      <c r="N70" s="20" t="inlineStr">
        <is>
          <t>No</t>
        </is>
      </c>
      <c r="O70" s="20" t="inlineStr">
        <is>
          <t>No</t>
        </is>
      </c>
      <c r="P70" s="20" t="n"/>
      <c r="Q70" s="20" t="inlineStr">
        <is>
          <t>No</t>
        </is>
      </c>
      <c r="R70" s="20" t="n">
        <v>1.5</v>
      </c>
      <c r="S70" s="20" t="n"/>
      <c r="T70" s="22" t="n"/>
      <c r="U70" s="20" t="n"/>
      <c r="V70" s="20" t="n"/>
      <c r="W70" s="20" t="n"/>
      <c r="X70" s="20" t="n"/>
      <c r="Y70" s="24" t="inlineStr">
        <is>
          <t>[17]</t>
        </is>
      </c>
    </row>
    <row r="71" ht="15" customHeight="1">
      <c r="A71" s="20" t="inlineStr">
        <is>
          <t>Cherry petal</t>
        </is>
      </c>
      <c r="B71" s="21" t="inlineStr">
        <is>
          <t>Biomass (H2O with ultrasound) / Carbon (2M HCl + H2O)</t>
        </is>
      </c>
      <c r="C71" s="21" t="inlineStr">
        <is>
          <t>Water wash</t>
        </is>
      </c>
      <c r="D71" s="21" t="inlineStr">
        <is>
          <t>No</t>
        </is>
      </c>
      <c r="E71" s="21" t="inlineStr">
        <is>
          <t>Acid wash</t>
        </is>
      </c>
      <c r="F71" s="21" t="inlineStr">
        <is>
          <t>Mild</t>
        </is>
      </c>
      <c r="G71" s="20" t="inlineStr">
        <is>
          <t>One step</t>
        </is>
      </c>
      <c r="H71" s="20" t="inlineStr">
        <is>
          <t xml:space="preserve">Pyrolysis </t>
        </is>
      </c>
      <c r="I71" s="20" t="inlineStr">
        <is>
          <t>No</t>
        </is>
      </c>
      <c r="J71" s="20" t="n">
        <v>60</v>
      </c>
      <c r="K71" s="20" t="n">
        <v>10</v>
      </c>
      <c r="L71" s="20" t="n">
        <v>1000</v>
      </c>
      <c r="M71" s="20" t="inlineStr">
        <is>
          <t>No</t>
        </is>
      </c>
      <c r="N71" s="20" t="inlineStr">
        <is>
          <t>No</t>
        </is>
      </c>
      <c r="O71" s="20" t="inlineStr">
        <is>
          <t>No</t>
        </is>
      </c>
      <c r="P71" s="20" t="n"/>
      <c r="Q71" s="20" t="inlineStr">
        <is>
          <t>No</t>
        </is>
      </c>
      <c r="R71" s="20" t="n">
        <v>1.9</v>
      </c>
      <c r="S71" s="20" t="n">
        <v>0.44</v>
      </c>
      <c r="T71" s="22" t="n">
        <v>1.02</v>
      </c>
      <c r="U71" s="20" t="n"/>
      <c r="V71" s="20" t="n">
        <v>1.13</v>
      </c>
      <c r="W71" s="20" t="n"/>
      <c r="X71" s="4" t="n">
        <v>85.8</v>
      </c>
      <c r="Y71" s="24" t="inlineStr">
        <is>
          <t>[18]</t>
        </is>
      </c>
    </row>
    <row r="72" ht="15" customHeight="1">
      <c r="A72" s="20" t="inlineStr">
        <is>
          <t>Date palm seed</t>
        </is>
      </c>
      <c r="B72" s="21" t="inlineStr">
        <is>
          <t>Biomass (H2O)</t>
        </is>
      </c>
      <c r="C72" s="21" t="inlineStr">
        <is>
          <t>Water wash</t>
        </is>
      </c>
      <c r="D72" s="21" t="inlineStr">
        <is>
          <t>No</t>
        </is>
      </c>
      <c r="E72" s="21" t="inlineStr">
        <is>
          <t>No wash</t>
        </is>
      </c>
      <c r="F72" s="21" t="inlineStr">
        <is>
          <t>No</t>
        </is>
      </c>
      <c r="G72" s="20" t="inlineStr">
        <is>
          <t>One step</t>
        </is>
      </c>
      <c r="H72" s="20" t="inlineStr">
        <is>
          <t xml:space="preserve">Pyrolysis </t>
        </is>
      </c>
      <c r="I72" s="20" t="inlineStr">
        <is>
          <t>No</t>
        </is>
      </c>
      <c r="J72" s="20" t="n">
        <v>60</v>
      </c>
      <c r="K72" s="20" t="n">
        <v>5</v>
      </c>
      <c r="L72" s="20" t="n">
        <v>800</v>
      </c>
      <c r="M72" s="20" t="inlineStr">
        <is>
          <t>No</t>
        </is>
      </c>
      <c r="N72" s="20" t="inlineStr">
        <is>
          <t>No</t>
        </is>
      </c>
      <c r="O72" s="20" t="inlineStr">
        <is>
          <t>No</t>
        </is>
      </c>
      <c r="P72" s="20" t="n"/>
      <c r="Q72" s="20" t="inlineStr">
        <is>
          <t>No</t>
        </is>
      </c>
      <c r="R72" s="20" t="n">
        <v>115.6</v>
      </c>
      <c r="S72" s="20" t="n">
        <v>0.401</v>
      </c>
      <c r="T72" s="22">
        <f>1/2.3</f>
        <v/>
      </c>
      <c r="U72" s="4" t="n">
        <v>7.3</v>
      </c>
      <c r="V72" s="20" t="n">
        <v>6.88</v>
      </c>
      <c r="W72" s="20" t="n"/>
      <c r="X72" s="20" t="n"/>
      <c r="Y72" s="24" t="inlineStr">
        <is>
          <t>[19]</t>
        </is>
      </c>
    </row>
    <row r="73" ht="15" customHeight="1">
      <c r="A73" s="20" t="inlineStr">
        <is>
          <t>Date palm seed</t>
        </is>
      </c>
      <c r="B73" s="21" t="inlineStr">
        <is>
          <t>Biomass (H2O)</t>
        </is>
      </c>
      <c r="C73" s="21" t="inlineStr">
        <is>
          <t>Water wash</t>
        </is>
      </c>
      <c r="D73" s="21" t="inlineStr">
        <is>
          <t>No</t>
        </is>
      </c>
      <c r="E73" s="21" t="inlineStr">
        <is>
          <t>No wash</t>
        </is>
      </c>
      <c r="F73" s="21" t="inlineStr">
        <is>
          <t>No</t>
        </is>
      </c>
      <c r="G73" s="20" t="inlineStr">
        <is>
          <t>One step</t>
        </is>
      </c>
      <c r="H73" s="20" t="inlineStr">
        <is>
          <t xml:space="preserve">Pyrolysis </t>
        </is>
      </c>
      <c r="I73" s="20" t="inlineStr">
        <is>
          <t>No</t>
        </is>
      </c>
      <c r="J73" s="20" t="n">
        <v>60</v>
      </c>
      <c r="K73" s="20" t="n">
        <v>5</v>
      </c>
      <c r="L73" s="20" t="n">
        <v>1000</v>
      </c>
      <c r="M73" s="20" t="inlineStr">
        <is>
          <t>No</t>
        </is>
      </c>
      <c r="N73" s="20" t="inlineStr">
        <is>
          <t>No</t>
        </is>
      </c>
      <c r="O73" s="20" t="inlineStr">
        <is>
          <t>No</t>
        </is>
      </c>
      <c r="P73" s="20" t="n"/>
      <c r="Q73" s="20" t="inlineStr">
        <is>
          <t>No</t>
        </is>
      </c>
      <c r="R73" s="20" t="n">
        <v>15.6</v>
      </c>
      <c r="S73" s="20" t="n">
        <v>0.386</v>
      </c>
      <c r="T73" s="22">
        <f>1/2.15</f>
        <v/>
      </c>
      <c r="U73" s="4" t="n">
        <v>7.48</v>
      </c>
      <c r="V73" s="20" t="n">
        <v>9.31</v>
      </c>
      <c r="W73" s="20" t="n"/>
      <c r="X73" s="20" t="n"/>
      <c r="Y73" s="24" t="inlineStr">
        <is>
          <t>[19]</t>
        </is>
      </c>
    </row>
    <row r="74" ht="15" customHeight="1">
      <c r="A74" s="20" t="inlineStr">
        <is>
          <t>Date palm seed</t>
        </is>
      </c>
      <c r="B74" s="21" t="inlineStr">
        <is>
          <t>Biomass (H2O)</t>
        </is>
      </c>
      <c r="C74" s="21" t="inlineStr">
        <is>
          <t>Water wash</t>
        </is>
      </c>
      <c r="D74" s="21" t="inlineStr">
        <is>
          <t>No</t>
        </is>
      </c>
      <c r="E74" s="21" t="inlineStr">
        <is>
          <t>No wash</t>
        </is>
      </c>
      <c r="F74" s="21" t="inlineStr">
        <is>
          <t>No</t>
        </is>
      </c>
      <c r="G74" s="20" t="inlineStr">
        <is>
          <t>One step</t>
        </is>
      </c>
      <c r="H74" s="20" t="inlineStr">
        <is>
          <t xml:space="preserve">Pyrolysis </t>
        </is>
      </c>
      <c r="I74" s="20" t="inlineStr">
        <is>
          <t>No</t>
        </is>
      </c>
      <c r="J74" s="20" t="n">
        <v>60</v>
      </c>
      <c r="K74" s="20" t="n">
        <v>5</v>
      </c>
      <c r="L74" s="20" t="n">
        <v>1200</v>
      </c>
      <c r="M74" s="20" t="inlineStr">
        <is>
          <t>No</t>
        </is>
      </c>
      <c r="N74" s="20" t="inlineStr">
        <is>
          <t>No</t>
        </is>
      </c>
      <c r="O74" s="20" t="inlineStr">
        <is>
          <t>No</t>
        </is>
      </c>
      <c r="P74" s="20" t="n"/>
      <c r="Q74" s="20" t="inlineStr">
        <is>
          <t>No</t>
        </is>
      </c>
      <c r="R74" s="20" t="n">
        <v>35.1</v>
      </c>
      <c r="S74" s="20" t="n">
        <v>0.384</v>
      </c>
      <c r="T74" s="22">
        <f>1/2.02</f>
        <v/>
      </c>
      <c r="U74" s="4" t="n">
        <v>8.289999999999999</v>
      </c>
      <c r="V74" s="20" t="n">
        <v>10.02</v>
      </c>
      <c r="W74" s="20" t="n"/>
      <c r="X74" s="20" t="n"/>
      <c r="Y74" s="24" t="inlineStr">
        <is>
          <t>[19]</t>
        </is>
      </c>
    </row>
    <row r="75" ht="15" customHeight="1">
      <c r="A75" s="20" t="inlineStr">
        <is>
          <t>Date palm seed</t>
        </is>
      </c>
      <c r="B75" s="21" t="inlineStr">
        <is>
          <t>Biomass (H2O)</t>
        </is>
      </c>
      <c r="C75" s="21" t="inlineStr">
        <is>
          <t>Water wash</t>
        </is>
      </c>
      <c r="D75" s="21" t="inlineStr">
        <is>
          <t>No</t>
        </is>
      </c>
      <c r="E75" s="21" t="inlineStr">
        <is>
          <t>No wash</t>
        </is>
      </c>
      <c r="F75" s="21" t="inlineStr">
        <is>
          <t>No</t>
        </is>
      </c>
      <c r="G75" s="20" t="inlineStr">
        <is>
          <t>One step</t>
        </is>
      </c>
      <c r="H75" s="20" t="inlineStr">
        <is>
          <t xml:space="preserve">Pyrolysis </t>
        </is>
      </c>
      <c r="I75" s="20" t="inlineStr">
        <is>
          <t>No</t>
        </is>
      </c>
      <c r="J75" s="20" t="n">
        <v>60</v>
      </c>
      <c r="K75" s="20" t="n">
        <v>5</v>
      </c>
      <c r="L75" s="20" t="n">
        <v>1300</v>
      </c>
      <c r="M75" s="20" t="inlineStr">
        <is>
          <t>No</t>
        </is>
      </c>
      <c r="N75" s="20" t="inlineStr">
        <is>
          <t>No</t>
        </is>
      </c>
      <c r="O75" s="20" t="inlineStr">
        <is>
          <t>No</t>
        </is>
      </c>
      <c r="P75" s="20" t="n"/>
      <c r="Q75" s="20" t="inlineStr">
        <is>
          <t>No</t>
        </is>
      </c>
      <c r="R75" s="20" t="n">
        <v>26.7</v>
      </c>
      <c r="S75" s="20" t="n">
        <v>0.376</v>
      </c>
      <c r="T75" s="22">
        <f>1/1.73</f>
        <v/>
      </c>
      <c r="U75" s="4" t="n">
        <v>8.42</v>
      </c>
      <c r="V75" s="20" t="n">
        <v>10.29</v>
      </c>
      <c r="W75" s="20" t="n"/>
      <c r="X75" s="20" t="n"/>
      <c r="Y75" s="24" t="inlineStr">
        <is>
          <t>[19]</t>
        </is>
      </c>
    </row>
    <row r="76" ht="15" customHeight="1">
      <c r="A76" s="20" t="inlineStr">
        <is>
          <t>Date palm seed</t>
        </is>
      </c>
      <c r="B76" s="21" t="inlineStr">
        <is>
          <t>Biomass (H2O)</t>
        </is>
      </c>
      <c r="C76" s="21" t="inlineStr">
        <is>
          <t>Water wash</t>
        </is>
      </c>
      <c r="D76" s="21" t="inlineStr">
        <is>
          <t>No</t>
        </is>
      </c>
      <c r="E76" s="21" t="inlineStr">
        <is>
          <t>No wash</t>
        </is>
      </c>
      <c r="F76" s="21" t="inlineStr">
        <is>
          <t>No</t>
        </is>
      </c>
      <c r="G76" s="20" t="inlineStr">
        <is>
          <t>One step</t>
        </is>
      </c>
      <c r="H76" s="20" t="inlineStr">
        <is>
          <t xml:space="preserve">Pyrolysis </t>
        </is>
      </c>
      <c r="I76" s="20" t="inlineStr">
        <is>
          <t>No</t>
        </is>
      </c>
      <c r="J76" s="20" t="n">
        <v>60</v>
      </c>
      <c r="K76" s="20" t="n">
        <v>5</v>
      </c>
      <c r="L76" s="20" t="n">
        <v>1400</v>
      </c>
      <c r="M76" s="20" t="inlineStr">
        <is>
          <t>No</t>
        </is>
      </c>
      <c r="N76" s="20" t="inlineStr">
        <is>
          <t>No</t>
        </is>
      </c>
      <c r="O76" s="20" t="inlineStr">
        <is>
          <t>No</t>
        </is>
      </c>
      <c r="P76" s="20" t="n"/>
      <c r="Q76" s="20" t="inlineStr">
        <is>
          <t>No</t>
        </is>
      </c>
      <c r="R76" s="20" t="n">
        <v>34.7</v>
      </c>
      <c r="S76" s="20" t="n">
        <v>0.371</v>
      </c>
      <c r="T76" s="22">
        <f>1/1.69</f>
        <v/>
      </c>
      <c r="U76" s="4" t="n">
        <v>8.539999999999999</v>
      </c>
      <c r="V76" s="20" t="n">
        <v>10.89</v>
      </c>
      <c r="W76" s="20" t="n"/>
      <c r="X76" s="20" t="n"/>
      <c r="Y76" s="24" t="inlineStr">
        <is>
          <t>[19]</t>
        </is>
      </c>
    </row>
    <row r="77" ht="15" customHeight="1">
      <c r="A77" s="20" t="inlineStr">
        <is>
          <t>Date palm pulp</t>
        </is>
      </c>
      <c r="B77" s="21" t="inlineStr">
        <is>
          <t>Biomass (H2O)</t>
        </is>
      </c>
      <c r="C77" s="21" t="inlineStr">
        <is>
          <t>Water wash</t>
        </is>
      </c>
      <c r="D77" s="21" t="inlineStr">
        <is>
          <t>No</t>
        </is>
      </c>
      <c r="E77" s="21" t="inlineStr">
        <is>
          <t>No wash</t>
        </is>
      </c>
      <c r="F77" s="21" t="inlineStr">
        <is>
          <t>No</t>
        </is>
      </c>
      <c r="G77" s="20" t="inlineStr">
        <is>
          <t>One step</t>
        </is>
      </c>
      <c r="H77" s="20" t="inlineStr">
        <is>
          <t xml:space="preserve">Pyrolysis </t>
        </is>
      </c>
      <c r="I77" s="20" t="inlineStr">
        <is>
          <t>No</t>
        </is>
      </c>
      <c r="J77" s="20" t="n">
        <v>60</v>
      </c>
      <c r="K77" s="20" t="n">
        <v>5</v>
      </c>
      <c r="L77" s="20" t="n">
        <v>800</v>
      </c>
      <c r="M77" s="20" t="inlineStr">
        <is>
          <t>No</t>
        </is>
      </c>
      <c r="N77" s="20" t="inlineStr">
        <is>
          <t>No</t>
        </is>
      </c>
      <c r="O77" s="20" t="inlineStr">
        <is>
          <t>No</t>
        </is>
      </c>
      <c r="P77" s="20" t="n"/>
      <c r="Q77" s="20" t="inlineStr">
        <is>
          <t>No</t>
        </is>
      </c>
      <c r="R77" s="20" t="n">
        <v>225.6</v>
      </c>
      <c r="S77" s="20" t="n">
        <v>0.382</v>
      </c>
      <c r="T77" s="22">
        <f>1/2.42</f>
        <v/>
      </c>
      <c r="U77" s="4" t="n">
        <v>7.81</v>
      </c>
      <c r="V77" s="20" t="n">
        <v>7.82</v>
      </c>
      <c r="W77" s="20" t="n"/>
      <c r="X77" s="20" t="n"/>
      <c r="Y77" s="24" t="inlineStr">
        <is>
          <t>[19]</t>
        </is>
      </c>
    </row>
    <row r="78" ht="15" customHeight="1">
      <c r="A78" s="20" t="inlineStr">
        <is>
          <t>Date palm pulp</t>
        </is>
      </c>
      <c r="B78" s="21" t="inlineStr">
        <is>
          <t>Biomass (H2O)</t>
        </is>
      </c>
      <c r="C78" s="21" t="inlineStr">
        <is>
          <t>Water wash</t>
        </is>
      </c>
      <c r="D78" s="21" t="inlineStr">
        <is>
          <t>No</t>
        </is>
      </c>
      <c r="E78" s="21" t="inlineStr">
        <is>
          <t>No wash</t>
        </is>
      </c>
      <c r="F78" s="21" t="inlineStr">
        <is>
          <t>No</t>
        </is>
      </c>
      <c r="G78" s="20" t="inlineStr">
        <is>
          <t>One step</t>
        </is>
      </c>
      <c r="H78" s="20" t="inlineStr">
        <is>
          <t xml:space="preserve">Pyrolysis </t>
        </is>
      </c>
      <c r="I78" s="20" t="inlineStr">
        <is>
          <t>No</t>
        </is>
      </c>
      <c r="J78" s="20" t="n">
        <v>60</v>
      </c>
      <c r="K78" s="20" t="n">
        <v>5</v>
      </c>
      <c r="L78" s="20" t="n">
        <v>1000</v>
      </c>
      <c r="M78" s="20" t="inlineStr">
        <is>
          <t>No</t>
        </is>
      </c>
      <c r="N78" s="20" t="inlineStr">
        <is>
          <t>No</t>
        </is>
      </c>
      <c r="O78" s="20" t="inlineStr">
        <is>
          <t>No</t>
        </is>
      </c>
      <c r="P78" s="20" t="n"/>
      <c r="Q78" s="20" t="inlineStr">
        <is>
          <t>No</t>
        </is>
      </c>
      <c r="R78" s="20" t="n">
        <v>103</v>
      </c>
      <c r="S78" s="20" t="n">
        <v>0.385</v>
      </c>
      <c r="T78" s="22">
        <f>1/1.89</f>
        <v/>
      </c>
      <c r="U78" s="4" t="n">
        <v>8.25</v>
      </c>
      <c r="V78" s="20" t="n">
        <v>8.67</v>
      </c>
      <c r="W78" s="20" t="n"/>
      <c r="X78" s="20" t="n"/>
      <c r="Y78" s="24" t="inlineStr">
        <is>
          <t>[19]</t>
        </is>
      </c>
    </row>
    <row r="79" ht="15" customHeight="1">
      <c r="A79" s="20" t="inlineStr">
        <is>
          <t>Date palm pulp</t>
        </is>
      </c>
      <c r="B79" s="21" t="inlineStr">
        <is>
          <t>Biomass (H2O)</t>
        </is>
      </c>
      <c r="C79" s="21" t="inlineStr">
        <is>
          <t>Water wash</t>
        </is>
      </c>
      <c r="D79" s="21" t="inlineStr">
        <is>
          <t>No</t>
        </is>
      </c>
      <c r="E79" s="21" t="inlineStr">
        <is>
          <t>No wash</t>
        </is>
      </c>
      <c r="F79" s="21" t="inlineStr">
        <is>
          <t>No</t>
        </is>
      </c>
      <c r="G79" s="20" t="inlineStr">
        <is>
          <t>One step</t>
        </is>
      </c>
      <c r="H79" s="20" t="inlineStr">
        <is>
          <t xml:space="preserve">Pyrolysis </t>
        </is>
      </c>
      <c r="I79" s="20" t="inlineStr">
        <is>
          <t>No</t>
        </is>
      </c>
      <c r="J79" s="20" t="n">
        <v>60</v>
      </c>
      <c r="K79" s="20" t="n">
        <v>5</v>
      </c>
      <c r="L79" s="20" t="n">
        <v>1200</v>
      </c>
      <c r="M79" s="20" t="inlineStr">
        <is>
          <t>No</t>
        </is>
      </c>
      <c r="N79" s="20" t="inlineStr">
        <is>
          <t>No</t>
        </is>
      </c>
      <c r="O79" s="20" t="inlineStr">
        <is>
          <t>No</t>
        </is>
      </c>
      <c r="P79" s="20" t="n"/>
      <c r="Q79" s="20" t="inlineStr">
        <is>
          <t>No</t>
        </is>
      </c>
      <c r="R79" s="20" t="n">
        <v>66.5</v>
      </c>
      <c r="S79" s="20" t="n">
        <v>0.383</v>
      </c>
      <c r="T79" s="22">
        <f>1/1.79</f>
        <v/>
      </c>
      <c r="U79" s="4" t="n">
        <v>8.380000000000001</v>
      </c>
      <c r="V79" s="20" t="n">
        <v>9.69</v>
      </c>
      <c r="W79" s="20" t="n"/>
      <c r="X79" s="20" t="n"/>
      <c r="Y79" s="24" t="inlineStr">
        <is>
          <t>[19]</t>
        </is>
      </c>
    </row>
    <row r="80" ht="15" customHeight="1">
      <c r="A80" s="20" t="inlineStr">
        <is>
          <t>Date palm pulp</t>
        </is>
      </c>
      <c r="B80" s="21" t="inlineStr">
        <is>
          <t>Biomass (H2O)</t>
        </is>
      </c>
      <c r="C80" s="21" t="inlineStr">
        <is>
          <t>Water wash</t>
        </is>
      </c>
      <c r="D80" s="21" t="inlineStr">
        <is>
          <t>No</t>
        </is>
      </c>
      <c r="E80" s="21" t="inlineStr">
        <is>
          <t>No wash</t>
        </is>
      </c>
      <c r="F80" s="21" t="inlineStr">
        <is>
          <t>No</t>
        </is>
      </c>
      <c r="G80" s="20" t="inlineStr">
        <is>
          <t>One step</t>
        </is>
      </c>
      <c r="H80" s="20" t="inlineStr">
        <is>
          <t xml:space="preserve">Pyrolysis </t>
        </is>
      </c>
      <c r="I80" s="20" t="inlineStr">
        <is>
          <t>No</t>
        </is>
      </c>
      <c r="J80" s="20" t="n">
        <v>60</v>
      </c>
      <c r="K80" s="20" t="n">
        <v>5</v>
      </c>
      <c r="L80" s="20" t="n">
        <v>1300</v>
      </c>
      <c r="M80" s="20" t="inlineStr">
        <is>
          <t>No</t>
        </is>
      </c>
      <c r="N80" s="20" t="inlineStr">
        <is>
          <t>No</t>
        </is>
      </c>
      <c r="O80" s="20" t="inlineStr">
        <is>
          <t>No</t>
        </is>
      </c>
      <c r="P80" s="20" t="n"/>
      <c r="Q80" s="20" t="inlineStr">
        <is>
          <t>No</t>
        </is>
      </c>
      <c r="R80" s="20" t="n">
        <v>38.6</v>
      </c>
      <c r="S80" s="20" t="n">
        <v>0.379</v>
      </c>
      <c r="T80" s="22">
        <f>1/1.71</f>
        <v/>
      </c>
      <c r="U80" s="4" t="n">
        <v>8.73</v>
      </c>
      <c r="V80" s="20" t="n">
        <v>10.35</v>
      </c>
      <c r="W80" s="20" t="n"/>
      <c r="X80" s="20" t="n"/>
      <c r="Y80" s="24" t="inlineStr">
        <is>
          <t>[19]</t>
        </is>
      </c>
    </row>
    <row r="81" ht="15" customHeight="1">
      <c r="A81" s="20" t="inlineStr">
        <is>
          <t>Date palm pulp</t>
        </is>
      </c>
      <c r="B81" s="21" t="inlineStr">
        <is>
          <t>Biomass (H2O)</t>
        </is>
      </c>
      <c r="C81" s="21" t="inlineStr">
        <is>
          <t>Water wash</t>
        </is>
      </c>
      <c r="D81" s="21" t="inlineStr">
        <is>
          <t>No</t>
        </is>
      </c>
      <c r="E81" s="21" t="inlineStr">
        <is>
          <t>No wash</t>
        </is>
      </c>
      <c r="F81" s="21" t="inlineStr">
        <is>
          <t>No</t>
        </is>
      </c>
      <c r="G81" s="20" t="inlineStr">
        <is>
          <t>One step</t>
        </is>
      </c>
      <c r="H81" s="20" t="inlineStr">
        <is>
          <t xml:space="preserve">Pyrolysis </t>
        </is>
      </c>
      <c r="I81" s="20" t="inlineStr">
        <is>
          <t>No</t>
        </is>
      </c>
      <c r="J81" s="20" t="n">
        <v>60</v>
      </c>
      <c r="K81" s="20" t="n">
        <v>5</v>
      </c>
      <c r="L81" s="20" t="n">
        <v>1400</v>
      </c>
      <c r="M81" s="20" t="inlineStr">
        <is>
          <t>No</t>
        </is>
      </c>
      <c r="N81" s="20" t="inlineStr">
        <is>
          <t>No</t>
        </is>
      </c>
      <c r="O81" s="20" t="inlineStr">
        <is>
          <t>No</t>
        </is>
      </c>
      <c r="P81" s="20" t="n"/>
      <c r="Q81" s="20" t="inlineStr">
        <is>
          <t>No</t>
        </is>
      </c>
      <c r="R81" s="32" t="n">
        <v>33.3</v>
      </c>
      <c r="S81" s="32" t="n">
        <v>0.376</v>
      </c>
      <c r="T81" s="33">
        <f>1/1.58</f>
        <v/>
      </c>
      <c r="U81" s="34" t="n">
        <v>9.24</v>
      </c>
      <c r="V81" s="32" t="n">
        <v>10.72</v>
      </c>
      <c r="W81" s="32" t="n"/>
      <c r="X81" s="32" t="n"/>
      <c r="Y81" s="24" t="inlineStr">
        <is>
          <t>[19]</t>
        </is>
      </c>
    </row>
    <row r="82" ht="15" customHeight="1">
      <c r="A82" s="20" t="inlineStr">
        <is>
          <t>Corn straw pith</t>
        </is>
      </c>
      <c r="B82" s="21" t="inlineStr">
        <is>
          <t>No</t>
        </is>
      </c>
      <c r="C82" s="21" t="inlineStr">
        <is>
          <t>No wash</t>
        </is>
      </c>
      <c r="D82" s="21" t="inlineStr">
        <is>
          <t>No</t>
        </is>
      </c>
      <c r="E82" s="21" t="inlineStr">
        <is>
          <t>No wash</t>
        </is>
      </c>
      <c r="F82" s="21" t="inlineStr">
        <is>
          <t>No</t>
        </is>
      </c>
      <c r="G82" s="20" t="inlineStr">
        <is>
          <t>One step</t>
        </is>
      </c>
      <c r="H82" s="20" t="inlineStr">
        <is>
          <t xml:space="preserve">Pyrolysis </t>
        </is>
      </c>
      <c r="I82" s="20" t="inlineStr">
        <is>
          <t>No</t>
        </is>
      </c>
      <c r="J82" s="20" t="n">
        <v>120</v>
      </c>
      <c r="K82" s="20" t="n"/>
      <c r="L82" s="20" t="n">
        <v>1200</v>
      </c>
      <c r="M82" s="20" t="inlineStr">
        <is>
          <t>No</t>
        </is>
      </c>
      <c r="N82" s="20" t="inlineStr">
        <is>
          <t>No</t>
        </is>
      </c>
      <c r="O82" s="20" t="inlineStr">
        <is>
          <t>No</t>
        </is>
      </c>
      <c r="P82" s="20" t="n"/>
      <c r="Q82" s="20" t="inlineStr">
        <is>
          <t>No</t>
        </is>
      </c>
      <c r="R82" s="4" t="n">
        <v>24</v>
      </c>
      <c r="S82" s="20" t="n">
        <v>0.404</v>
      </c>
      <c r="T82" s="23" t="n">
        <v>0.87</v>
      </c>
      <c r="U82" s="20" t="n"/>
      <c r="V82" s="20" t="n"/>
      <c r="W82" s="20" t="n"/>
      <c r="X82" s="21" t="n">
        <v>87.17</v>
      </c>
      <c r="Y82" s="24" t="inlineStr">
        <is>
          <t>[20]</t>
        </is>
      </c>
    </row>
    <row r="83" ht="15" customHeight="1">
      <c r="A83" s="20" t="inlineStr">
        <is>
          <t>Corn straw pith</t>
        </is>
      </c>
      <c r="B83" s="21" t="inlineStr">
        <is>
          <t>No</t>
        </is>
      </c>
      <c r="C83" s="21" t="inlineStr">
        <is>
          <t>No wash</t>
        </is>
      </c>
      <c r="D83" s="21" t="inlineStr">
        <is>
          <t>No</t>
        </is>
      </c>
      <c r="E83" s="21" t="inlineStr">
        <is>
          <t>No wash</t>
        </is>
      </c>
      <c r="F83" s="21" t="inlineStr">
        <is>
          <t>No</t>
        </is>
      </c>
      <c r="G83" s="20" t="inlineStr">
        <is>
          <t>One step</t>
        </is>
      </c>
      <c r="H83" s="20" t="inlineStr">
        <is>
          <t xml:space="preserve">Pyrolysis </t>
        </is>
      </c>
      <c r="I83" s="20" t="inlineStr">
        <is>
          <t>No</t>
        </is>
      </c>
      <c r="J83" s="20" t="n">
        <v>120</v>
      </c>
      <c r="K83" s="20" t="n"/>
      <c r="L83" s="20" t="n">
        <v>1400</v>
      </c>
      <c r="M83" s="20" t="inlineStr">
        <is>
          <t>No</t>
        </is>
      </c>
      <c r="N83" s="20" t="inlineStr">
        <is>
          <t>No</t>
        </is>
      </c>
      <c r="O83" s="20" t="inlineStr">
        <is>
          <t>No</t>
        </is>
      </c>
      <c r="P83" s="20" t="n"/>
      <c r="Q83" s="20" t="inlineStr">
        <is>
          <t>No</t>
        </is>
      </c>
      <c r="R83" s="20" t="n">
        <v>25</v>
      </c>
      <c r="S83" s="20" t="n">
        <v>0.393</v>
      </c>
      <c r="T83" s="23" t="n">
        <v>0.9399999999999999</v>
      </c>
      <c r="U83" s="20" t="n"/>
      <c r="V83" s="20" t="n"/>
      <c r="W83" s="20" t="n"/>
      <c r="X83" s="21" t="n">
        <v>88.5</v>
      </c>
      <c r="Y83" s="24" t="inlineStr">
        <is>
          <t>[20]</t>
        </is>
      </c>
    </row>
    <row r="84" ht="15" customHeight="1">
      <c r="A84" s="20" t="inlineStr">
        <is>
          <t>Corn straw pith</t>
        </is>
      </c>
      <c r="B84" s="21" t="inlineStr">
        <is>
          <t>No</t>
        </is>
      </c>
      <c r="C84" s="21" t="inlineStr">
        <is>
          <t>No wash</t>
        </is>
      </c>
      <c r="D84" s="21" t="inlineStr">
        <is>
          <t>No</t>
        </is>
      </c>
      <c r="E84" s="21" t="inlineStr">
        <is>
          <t>No wash</t>
        </is>
      </c>
      <c r="F84" s="21" t="inlineStr">
        <is>
          <t>No</t>
        </is>
      </c>
      <c r="G84" s="20" t="inlineStr">
        <is>
          <t>One step</t>
        </is>
      </c>
      <c r="H84" s="20" t="inlineStr">
        <is>
          <t xml:space="preserve">Pyrolysis </t>
        </is>
      </c>
      <c r="I84" s="20" t="inlineStr">
        <is>
          <t>No</t>
        </is>
      </c>
      <c r="J84" s="20" t="n">
        <v>120</v>
      </c>
      <c r="K84" s="20" t="n"/>
      <c r="L84" s="20" t="n">
        <v>1600</v>
      </c>
      <c r="M84" s="20" t="inlineStr">
        <is>
          <t>No</t>
        </is>
      </c>
      <c r="N84" s="20" t="inlineStr">
        <is>
          <t>No</t>
        </is>
      </c>
      <c r="O84" s="20" t="inlineStr">
        <is>
          <t>No</t>
        </is>
      </c>
      <c r="P84" s="20" t="n"/>
      <c r="Q84" s="20" t="inlineStr">
        <is>
          <t>No</t>
        </is>
      </c>
      <c r="R84" s="4" t="n">
        <v>10</v>
      </c>
      <c r="S84" s="20" t="n">
        <v>0.374</v>
      </c>
      <c r="T84" s="35" t="n">
        <v>0.96</v>
      </c>
      <c r="U84" s="20" t="n"/>
      <c r="V84" s="20" t="n"/>
      <c r="W84" s="20" t="n"/>
      <c r="X84" s="21" t="n">
        <v>92.31</v>
      </c>
      <c r="Y84" s="24" t="inlineStr">
        <is>
          <t>[20]</t>
        </is>
      </c>
    </row>
    <row r="85" ht="15" customHeight="1">
      <c r="A85" s="20" t="inlineStr">
        <is>
          <t>Almond shell</t>
        </is>
      </c>
      <c r="B85" s="21" t="inlineStr">
        <is>
          <t>Biomass (1M H2SO4 + H2O)</t>
        </is>
      </c>
      <c r="C85" s="21" t="inlineStr">
        <is>
          <t>Acid wash</t>
        </is>
      </c>
      <c r="D85" s="21" t="inlineStr">
        <is>
          <t>Mild</t>
        </is>
      </c>
      <c r="E85" s="21" t="inlineStr">
        <is>
          <t>No wash</t>
        </is>
      </c>
      <c r="F85" s="21" t="inlineStr">
        <is>
          <t>No</t>
        </is>
      </c>
      <c r="G85" s="20" t="inlineStr">
        <is>
          <t>One step</t>
        </is>
      </c>
      <c r="H85" s="20" t="inlineStr">
        <is>
          <t xml:space="preserve">Pyrolysis </t>
        </is>
      </c>
      <c r="I85" s="20" t="inlineStr">
        <is>
          <t>No</t>
        </is>
      </c>
      <c r="J85" s="20">
        <f>60*6</f>
        <v/>
      </c>
      <c r="K85" s="20" t="n">
        <v>13</v>
      </c>
      <c r="L85" s="20" t="n">
        <v>1000</v>
      </c>
      <c r="M85" s="20" t="inlineStr">
        <is>
          <t>No</t>
        </is>
      </c>
      <c r="N85" s="20" t="inlineStr">
        <is>
          <t>No</t>
        </is>
      </c>
      <c r="O85" s="20" t="inlineStr">
        <is>
          <t>No</t>
        </is>
      </c>
      <c r="P85" s="20" t="n"/>
      <c r="Q85" s="20" t="inlineStr">
        <is>
          <t>No</t>
        </is>
      </c>
      <c r="R85" s="36" t="n">
        <v>21</v>
      </c>
      <c r="S85" s="36" t="n"/>
      <c r="T85" s="37" t="n"/>
      <c r="U85" s="36" t="n"/>
      <c r="V85" s="36" t="n"/>
      <c r="W85" s="36" t="n"/>
      <c r="X85" s="38" t="n"/>
      <c r="Y85" s="24" t="inlineStr">
        <is>
          <t>[21]</t>
        </is>
      </c>
    </row>
    <row r="86" ht="15" customHeight="1">
      <c r="A86" s="20" t="inlineStr">
        <is>
          <t>Scrap wood</t>
        </is>
      </c>
      <c r="B86" s="21" t="inlineStr">
        <is>
          <t>Biomass (1M H2SO4 + H2O)</t>
        </is>
      </c>
      <c r="C86" s="21" t="inlineStr">
        <is>
          <t>Acid wash</t>
        </is>
      </c>
      <c r="D86" s="21" t="inlineStr">
        <is>
          <t>Mild</t>
        </is>
      </c>
      <c r="E86" s="21" t="inlineStr">
        <is>
          <t>No wash</t>
        </is>
      </c>
      <c r="F86" s="21" t="inlineStr">
        <is>
          <t>No</t>
        </is>
      </c>
      <c r="G86" s="20" t="inlineStr">
        <is>
          <t>One step</t>
        </is>
      </c>
      <c r="H86" s="20" t="inlineStr">
        <is>
          <t xml:space="preserve">Pyrolysis </t>
        </is>
      </c>
      <c r="I86" s="20" t="inlineStr">
        <is>
          <t>No</t>
        </is>
      </c>
      <c r="J86" s="20">
        <f>60*6</f>
        <v/>
      </c>
      <c r="K86" s="20" t="n">
        <v>13</v>
      </c>
      <c r="L86" s="20" t="n">
        <v>1000</v>
      </c>
      <c r="M86" s="20" t="inlineStr">
        <is>
          <t>No</t>
        </is>
      </c>
      <c r="N86" s="20" t="inlineStr">
        <is>
          <t>No</t>
        </is>
      </c>
      <c r="O86" s="20" t="inlineStr">
        <is>
          <t>No</t>
        </is>
      </c>
      <c r="P86" s="20" t="n"/>
      <c r="Q86" s="20" t="inlineStr">
        <is>
          <t>No</t>
        </is>
      </c>
      <c r="R86" s="20" t="n">
        <v>30</v>
      </c>
      <c r="S86" s="20" t="n"/>
      <c r="T86" s="22" t="n"/>
      <c r="U86" s="20" t="n"/>
      <c r="V86" s="20" t="n"/>
      <c r="W86" s="20" t="n"/>
      <c r="X86" s="20" t="n"/>
      <c r="Y86" s="24" t="inlineStr">
        <is>
          <t>[21]</t>
        </is>
      </c>
    </row>
    <row r="87" ht="15" customFormat="1" customHeight="1" s="7">
      <c r="A87" s="21" t="inlineStr">
        <is>
          <t>Walnut shell</t>
        </is>
      </c>
      <c r="B87" s="21" t="inlineStr">
        <is>
          <t>Biomass (EtOH + H2O)</t>
        </is>
      </c>
      <c r="C87" s="21" t="inlineStr">
        <is>
          <t>Organic wash</t>
        </is>
      </c>
      <c r="D87" s="21" t="inlineStr">
        <is>
          <t>No</t>
        </is>
      </c>
      <c r="E87" s="21" t="inlineStr">
        <is>
          <t>No wash</t>
        </is>
      </c>
      <c r="F87" s="21" t="inlineStr">
        <is>
          <t>No</t>
        </is>
      </c>
      <c r="G87" s="21" t="inlineStr">
        <is>
          <t>One step</t>
        </is>
      </c>
      <c r="H87" s="21" t="inlineStr">
        <is>
          <t xml:space="preserve">Pyrolysis </t>
        </is>
      </c>
      <c r="I87" s="21" t="inlineStr">
        <is>
          <t>No</t>
        </is>
      </c>
      <c r="J87" s="21" t="n">
        <v>120</v>
      </c>
      <c r="K87" s="21" t="n">
        <v>5</v>
      </c>
      <c r="L87" s="21" t="n">
        <v>1300</v>
      </c>
      <c r="M87" s="21" t="inlineStr">
        <is>
          <t>No</t>
        </is>
      </c>
      <c r="N87" s="21" t="inlineStr">
        <is>
          <t>No</t>
        </is>
      </c>
      <c r="O87" s="21" t="inlineStr">
        <is>
          <t>No</t>
        </is>
      </c>
      <c r="P87" s="21" t="n"/>
      <c r="Q87" s="21" t="inlineStr">
        <is>
          <t>No</t>
        </is>
      </c>
      <c r="R87" s="21" t="n">
        <v>154</v>
      </c>
      <c r="S87" s="21" t="n">
        <v>0.375</v>
      </c>
      <c r="T87" s="35">
        <f>1/1.58</f>
        <v/>
      </c>
      <c r="U87" s="21" t="n"/>
      <c r="V87" s="21" t="n"/>
      <c r="W87" s="21" t="n"/>
      <c r="X87" s="21" t="n"/>
      <c r="Y87" s="39" t="inlineStr">
        <is>
          <t>[22]</t>
        </is>
      </c>
    </row>
    <row r="88" ht="15" customHeight="1">
      <c r="A88" s="20" t="inlineStr">
        <is>
          <t>Maple tree</t>
        </is>
      </c>
      <c r="B88" s="21" t="inlineStr">
        <is>
          <t>Biomass (1M HCl + H2O)</t>
        </is>
      </c>
      <c r="C88" s="21" t="inlineStr">
        <is>
          <t>Acid wash</t>
        </is>
      </c>
      <c r="D88" s="21" t="inlineStr">
        <is>
          <t>Mild</t>
        </is>
      </c>
      <c r="E88" s="21" t="inlineStr">
        <is>
          <t>No wash</t>
        </is>
      </c>
      <c r="F88" s="21" t="inlineStr">
        <is>
          <t>No</t>
        </is>
      </c>
      <c r="G88" s="20" t="inlineStr">
        <is>
          <t>One step</t>
        </is>
      </c>
      <c r="H88" s="20" t="inlineStr">
        <is>
          <t xml:space="preserve">Pyrolysis </t>
        </is>
      </c>
      <c r="I88" s="20" t="inlineStr">
        <is>
          <t>No</t>
        </is>
      </c>
      <c r="J88" s="20" t="inlineStr">
        <is>
          <t>No</t>
        </is>
      </c>
      <c r="K88" s="20" t="n"/>
      <c r="L88" s="20" t="n">
        <v>1400</v>
      </c>
      <c r="M88" s="20" t="inlineStr">
        <is>
          <t>No</t>
        </is>
      </c>
      <c r="N88" s="20" t="inlineStr">
        <is>
          <t>No</t>
        </is>
      </c>
      <c r="O88" s="20" t="inlineStr">
        <is>
          <t>No</t>
        </is>
      </c>
      <c r="P88" s="20" t="n"/>
      <c r="Q88" s="20" t="inlineStr">
        <is>
          <t>No</t>
        </is>
      </c>
      <c r="R88" s="20" t="n">
        <v>6.4</v>
      </c>
      <c r="S88" s="20" t="n"/>
      <c r="T88" s="22" t="n">
        <v>0.58</v>
      </c>
      <c r="U88" s="20" t="n"/>
      <c r="V88" s="20" t="n"/>
      <c r="W88" s="20" t="n"/>
      <c r="X88" s="20" t="n"/>
      <c r="Y88" s="24" t="inlineStr">
        <is>
          <t>[23]</t>
        </is>
      </c>
    </row>
    <row r="89" ht="15" customHeight="1">
      <c r="A89" s="20" t="inlineStr">
        <is>
          <t>Pine wood</t>
        </is>
      </c>
      <c r="B89" s="21" t="inlineStr">
        <is>
          <t>No</t>
        </is>
      </c>
      <c r="C89" s="21" t="inlineStr">
        <is>
          <t>No wash</t>
        </is>
      </c>
      <c r="D89" s="21" t="inlineStr">
        <is>
          <t>No</t>
        </is>
      </c>
      <c r="E89" s="21" t="inlineStr">
        <is>
          <t>No wash</t>
        </is>
      </c>
      <c r="F89" s="21" t="inlineStr">
        <is>
          <t>No</t>
        </is>
      </c>
      <c r="G89" s="20" t="inlineStr">
        <is>
          <t>One step</t>
        </is>
      </c>
      <c r="H89" s="20" t="inlineStr">
        <is>
          <t xml:space="preserve">Pyrolysis </t>
        </is>
      </c>
      <c r="I89" s="20" t="inlineStr">
        <is>
          <t>No</t>
        </is>
      </c>
      <c r="J89" s="20" t="inlineStr">
        <is>
          <t>No</t>
        </is>
      </c>
      <c r="K89" s="20" t="n"/>
      <c r="L89" s="20" t="n">
        <v>1400</v>
      </c>
      <c r="M89" s="20" t="inlineStr">
        <is>
          <t>No</t>
        </is>
      </c>
      <c r="N89" s="20" t="inlineStr">
        <is>
          <t>No</t>
        </is>
      </c>
      <c r="O89" s="20" t="inlineStr">
        <is>
          <t>No</t>
        </is>
      </c>
      <c r="P89" s="20" t="n"/>
      <c r="Q89" s="20" t="inlineStr">
        <is>
          <t>No</t>
        </is>
      </c>
      <c r="R89" s="20" t="inlineStr">
        <is>
          <t>&lt;3</t>
        </is>
      </c>
      <c r="S89" s="20" t="n"/>
      <c r="T89" s="22" t="n"/>
      <c r="U89" s="20" t="n"/>
      <c r="V89" s="20" t="n"/>
      <c r="W89" s="20" t="n"/>
      <c r="X89" s="20" t="n"/>
      <c r="Y89" s="24" t="inlineStr">
        <is>
          <t>[24]</t>
        </is>
      </c>
    </row>
    <row r="90" ht="15" customHeight="1">
      <c r="A90" s="20" t="inlineStr">
        <is>
          <t>Ash wood</t>
        </is>
      </c>
      <c r="B90" s="21" t="inlineStr">
        <is>
          <t>No</t>
        </is>
      </c>
      <c r="C90" s="21" t="inlineStr">
        <is>
          <t>No wash</t>
        </is>
      </c>
      <c r="D90" s="21" t="inlineStr">
        <is>
          <t>No</t>
        </is>
      </c>
      <c r="E90" s="21" t="inlineStr">
        <is>
          <t>No wash</t>
        </is>
      </c>
      <c r="F90" s="21" t="inlineStr">
        <is>
          <t>No</t>
        </is>
      </c>
      <c r="G90" s="20" t="inlineStr">
        <is>
          <t>One step</t>
        </is>
      </c>
      <c r="H90" s="20" t="inlineStr">
        <is>
          <t xml:space="preserve">Pyrolysis </t>
        </is>
      </c>
      <c r="I90" s="20" t="inlineStr">
        <is>
          <t>No</t>
        </is>
      </c>
      <c r="J90" s="20" t="inlineStr">
        <is>
          <t>No</t>
        </is>
      </c>
      <c r="K90" s="20" t="n"/>
      <c r="L90" s="20" t="n">
        <v>1400</v>
      </c>
      <c r="M90" s="20" t="inlineStr">
        <is>
          <t>No</t>
        </is>
      </c>
      <c r="N90" s="20" t="inlineStr">
        <is>
          <t>No</t>
        </is>
      </c>
      <c r="O90" s="20" t="inlineStr">
        <is>
          <t>No</t>
        </is>
      </c>
      <c r="P90" s="20" t="n"/>
      <c r="Q90" s="20" t="inlineStr">
        <is>
          <t>No</t>
        </is>
      </c>
      <c r="R90" s="20" t="inlineStr">
        <is>
          <t>&lt;3</t>
        </is>
      </c>
      <c r="S90" s="20" t="n"/>
      <c r="T90" s="22" t="n"/>
      <c r="U90" s="20" t="n"/>
      <c r="V90" s="20" t="n"/>
      <c r="W90" s="20" t="n"/>
      <c r="X90" s="20" t="n"/>
      <c r="Y90" s="24" t="inlineStr">
        <is>
          <t>[24]</t>
        </is>
      </c>
    </row>
    <row r="91" ht="15" customHeight="1">
      <c r="A91" s="20" t="inlineStr">
        <is>
          <t>Miscanthus</t>
        </is>
      </c>
      <c r="B91" s="21" t="inlineStr">
        <is>
          <t>No</t>
        </is>
      </c>
      <c r="C91" s="21" t="inlineStr">
        <is>
          <t>No wash</t>
        </is>
      </c>
      <c r="D91" s="21" t="inlineStr">
        <is>
          <t>No</t>
        </is>
      </c>
      <c r="E91" s="21" t="inlineStr">
        <is>
          <t>No wash</t>
        </is>
      </c>
      <c r="F91" s="21" t="inlineStr">
        <is>
          <t>No</t>
        </is>
      </c>
      <c r="G91" s="20" t="inlineStr">
        <is>
          <t>One step</t>
        </is>
      </c>
      <c r="H91" s="20" t="inlineStr">
        <is>
          <t xml:space="preserve">Pyrolysis </t>
        </is>
      </c>
      <c r="I91" s="20" t="inlineStr">
        <is>
          <t>No</t>
        </is>
      </c>
      <c r="J91" s="20" t="inlineStr">
        <is>
          <t>No</t>
        </is>
      </c>
      <c r="K91" s="20" t="n"/>
      <c r="L91" s="20" t="n">
        <v>1400</v>
      </c>
      <c r="M91" s="20" t="inlineStr">
        <is>
          <t>No</t>
        </is>
      </c>
      <c r="N91" s="20" t="inlineStr">
        <is>
          <t>No</t>
        </is>
      </c>
      <c r="O91" s="20" t="inlineStr">
        <is>
          <t>No</t>
        </is>
      </c>
      <c r="P91" s="20" t="n"/>
      <c r="Q91" s="20" t="inlineStr">
        <is>
          <t>No</t>
        </is>
      </c>
      <c r="R91" s="20" t="n">
        <v>12</v>
      </c>
      <c r="S91" s="20" t="n"/>
      <c r="T91" s="22" t="n"/>
      <c r="U91" s="20" t="n"/>
      <c r="V91" s="20" t="n"/>
      <c r="W91" s="20" t="n"/>
      <c r="X91" s="20" t="n"/>
      <c r="Y91" s="24" t="inlineStr">
        <is>
          <t>[24]</t>
        </is>
      </c>
    </row>
    <row r="92" ht="15" customHeight="1">
      <c r="A92" s="20" t="inlineStr">
        <is>
          <t>Wheat straw</t>
        </is>
      </c>
      <c r="B92" s="21" t="inlineStr">
        <is>
          <t>No</t>
        </is>
      </c>
      <c r="C92" s="21" t="inlineStr">
        <is>
          <t>No wash</t>
        </is>
      </c>
      <c r="D92" s="21" t="inlineStr">
        <is>
          <t>No</t>
        </is>
      </c>
      <c r="E92" s="21" t="inlineStr">
        <is>
          <t>No wash</t>
        </is>
      </c>
      <c r="F92" s="21" t="inlineStr">
        <is>
          <t>No</t>
        </is>
      </c>
      <c r="G92" s="20" t="inlineStr">
        <is>
          <t>One step</t>
        </is>
      </c>
      <c r="H92" s="20" t="inlineStr">
        <is>
          <t xml:space="preserve">Pyrolysis </t>
        </is>
      </c>
      <c r="I92" s="20" t="inlineStr">
        <is>
          <t>No</t>
        </is>
      </c>
      <c r="J92" s="20" t="inlineStr">
        <is>
          <t>No</t>
        </is>
      </c>
      <c r="K92" s="20" t="n"/>
      <c r="L92" s="20" t="n">
        <v>1400</v>
      </c>
      <c r="M92" s="20" t="inlineStr">
        <is>
          <t>No</t>
        </is>
      </c>
      <c r="N92" s="20" t="inlineStr">
        <is>
          <t>No</t>
        </is>
      </c>
      <c r="O92" s="20" t="inlineStr">
        <is>
          <t>No</t>
        </is>
      </c>
      <c r="P92" s="20" t="n"/>
      <c r="Q92" s="20" t="inlineStr">
        <is>
          <t>No</t>
        </is>
      </c>
      <c r="R92" s="20" t="n">
        <v>45</v>
      </c>
      <c r="S92" s="20" t="n"/>
      <c r="T92" s="22" t="n"/>
      <c r="U92" s="20" t="n"/>
      <c r="V92" s="20" t="n"/>
      <c r="W92" s="20" t="n"/>
      <c r="X92" s="20" t="n"/>
      <c r="Y92" s="24" t="inlineStr">
        <is>
          <t>[24]</t>
        </is>
      </c>
    </row>
    <row r="93" ht="15" customHeight="1">
      <c r="A93" s="20" t="inlineStr">
        <is>
          <t>Coconut endocarp</t>
        </is>
      </c>
      <c r="B93" s="21" t="inlineStr">
        <is>
          <t>Biomass (H2O)</t>
        </is>
      </c>
      <c r="C93" s="21" t="inlineStr">
        <is>
          <t>Water wash</t>
        </is>
      </c>
      <c r="D93" s="21" t="inlineStr">
        <is>
          <t>No</t>
        </is>
      </c>
      <c r="E93" s="21" t="inlineStr">
        <is>
          <t>No wash</t>
        </is>
      </c>
      <c r="F93" s="21" t="inlineStr">
        <is>
          <t>No</t>
        </is>
      </c>
      <c r="G93" s="20" t="inlineStr">
        <is>
          <t>One step</t>
        </is>
      </c>
      <c r="H93" s="20" t="inlineStr">
        <is>
          <t xml:space="preserve">Pyrolysis </t>
        </is>
      </c>
      <c r="I93" s="20" t="inlineStr">
        <is>
          <t>No</t>
        </is>
      </c>
      <c r="J93" s="20" t="inlineStr">
        <is>
          <t>No</t>
        </is>
      </c>
      <c r="K93" s="20" t="n"/>
      <c r="L93" s="20" t="n">
        <v>900</v>
      </c>
      <c r="M93" s="20" t="inlineStr">
        <is>
          <t>No</t>
        </is>
      </c>
      <c r="N93" s="20" t="inlineStr">
        <is>
          <t>No</t>
        </is>
      </c>
      <c r="O93" s="20" t="inlineStr">
        <is>
          <t>No</t>
        </is>
      </c>
      <c r="P93" s="20" t="n"/>
      <c r="Q93" s="20" t="inlineStr">
        <is>
          <t>No</t>
        </is>
      </c>
      <c r="R93" s="20" t="n"/>
      <c r="S93" s="20" t="n">
        <v>0.3874</v>
      </c>
      <c r="T93" s="22" t="n">
        <v>1.14</v>
      </c>
      <c r="U93" s="20" t="n"/>
      <c r="V93" s="20" t="n"/>
      <c r="W93" s="20" t="n"/>
      <c r="X93" s="20" t="n"/>
      <c r="Y93" s="24" t="inlineStr">
        <is>
          <t>[25]</t>
        </is>
      </c>
    </row>
    <row r="94" ht="15" customHeight="1">
      <c r="A94" s="20" t="inlineStr">
        <is>
          <t>Coconut endocarp</t>
        </is>
      </c>
      <c r="B94" s="21" t="inlineStr">
        <is>
          <t>Biomass (H2O)</t>
        </is>
      </c>
      <c r="C94" s="21" t="inlineStr">
        <is>
          <t>Water wash</t>
        </is>
      </c>
      <c r="D94" s="21" t="inlineStr">
        <is>
          <t>No</t>
        </is>
      </c>
      <c r="E94" s="21" t="inlineStr">
        <is>
          <t>No wash</t>
        </is>
      </c>
      <c r="F94" s="21" t="inlineStr">
        <is>
          <t>No</t>
        </is>
      </c>
      <c r="G94" s="20" t="inlineStr">
        <is>
          <t>One step</t>
        </is>
      </c>
      <c r="H94" s="20" t="inlineStr">
        <is>
          <t xml:space="preserve">Pyrolysis </t>
        </is>
      </c>
      <c r="I94" s="20" t="inlineStr">
        <is>
          <t>No</t>
        </is>
      </c>
      <c r="J94" s="20" t="inlineStr">
        <is>
          <t>No</t>
        </is>
      </c>
      <c r="K94" s="20" t="n"/>
      <c r="L94" s="20" t="n">
        <v>1000</v>
      </c>
      <c r="M94" s="20" t="inlineStr">
        <is>
          <t>No</t>
        </is>
      </c>
      <c r="N94" s="20" t="inlineStr">
        <is>
          <t>No</t>
        </is>
      </c>
      <c r="O94" s="20" t="inlineStr">
        <is>
          <t>No</t>
        </is>
      </c>
      <c r="P94" s="20" t="n"/>
      <c r="Q94" s="20" t="inlineStr">
        <is>
          <t>No</t>
        </is>
      </c>
      <c r="R94" s="20" t="n"/>
      <c r="S94" s="20" t="n">
        <v>0.401</v>
      </c>
      <c r="T94" s="22" t="n">
        <v>1.19</v>
      </c>
      <c r="U94" s="20" t="n"/>
      <c r="V94" s="20" t="n"/>
      <c r="W94" s="20" t="n"/>
      <c r="X94" s="20" t="n"/>
      <c r="Y94" s="24" t="inlineStr">
        <is>
          <t>[25]</t>
        </is>
      </c>
    </row>
    <row r="95" ht="15" customHeight="1">
      <c r="A95" s="20" t="inlineStr">
        <is>
          <t>Coconut endocarp</t>
        </is>
      </c>
      <c r="B95" s="21" t="inlineStr">
        <is>
          <t>Biomass (H2O)</t>
        </is>
      </c>
      <c r="C95" s="21" t="inlineStr">
        <is>
          <t>Water wash</t>
        </is>
      </c>
      <c r="D95" s="21" t="inlineStr">
        <is>
          <t>No</t>
        </is>
      </c>
      <c r="E95" s="21" t="inlineStr">
        <is>
          <t>No wash</t>
        </is>
      </c>
      <c r="F95" s="21" t="inlineStr">
        <is>
          <t>No</t>
        </is>
      </c>
      <c r="G95" s="20" t="inlineStr">
        <is>
          <t>One step</t>
        </is>
      </c>
      <c r="H95" s="20" t="inlineStr">
        <is>
          <t xml:space="preserve">Pyrolysis </t>
        </is>
      </c>
      <c r="I95" s="20" t="inlineStr">
        <is>
          <t>No</t>
        </is>
      </c>
      <c r="J95" s="20" t="inlineStr">
        <is>
          <t>No</t>
        </is>
      </c>
      <c r="K95" s="20" t="n"/>
      <c r="L95" s="20" t="n">
        <v>1100</v>
      </c>
      <c r="M95" s="20" t="inlineStr">
        <is>
          <t>No</t>
        </is>
      </c>
      <c r="N95" s="20" t="inlineStr">
        <is>
          <t>No</t>
        </is>
      </c>
      <c r="O95" s="20" t="inlineStr">
        <is>
          <t>No</t>
        </is>
      </c>
      <c r="P95" s="20" t="n"/>
      <c r="Q95" s="20" t="inlineStr">
        <is>
          <t>No</t>
        </is>
      </c>
      <c r="R95" s="20" t="n">
        <v>103.83</v>
      </c>
      <c r="S95" s="20" t="n">
        <v>0.4012</v>
      </c>
      <c r="T95" s="22" t="n">
        <v>1.15</v>
      </c>
      <c r="U95" s="20" t="n"/>
      <c r="V95" s="20" t="n"/>
      <c r="W95" s="20" t="n"/>
      <c r="X95" s="20" t="n"/>
      <c r="Y95" s="24" t="inlineStr">
        <is>
          <t>[25]</t>
        </is>
      </c>
    </row>
    <row r="96" ht="15" customHeight="1">
      <c r="A96" s="20" t="inlineStr">
        <is>
          <t>Coconut endocarp</t>
        </is>
      </c>
      <c r="B96" s="21" t="inlineStr">
        <is>
          <t>Biomass (H2O)</t>
        </is>
      </c>
      <c r="C96" s="21" t="inlineStr">
        <is>
          <t>Water wash</t>
        </is>
      </c>
      <c r="D96" s="21" t="inlineStr">
        <is>
          <t>No</t>
        </is>
      </c>
      <c r="E96" s="21" t="inlineStr">
        <is>
          <t>No wash</t>
        </is>
      </c>
      <c r="F96" s="21" t="inlineStr">
        <is>
          <t>No</t>
        </is>
      </c>
      <c r="G96" s="20" t="inlineStr">
        <is>
          <t>One step</t>
        </is>
      </c>
      <c r="H96" s="20" t="inlineStr">
        <is>
          <t xml:space="preserve">Pyrolysis </t>
        </is>
      </c>
      <c r="I96" s="20" t="inlineStr">
        <is>
          <t>No</t>
        </is>
      </c>
      <c r="J96" s="20" t="inlineStr">
        <is>
          <t>No</t>
        </is>
      </c>
      <c r="K96" s="20" t="n"/>
      <c r="L96" s="20" t="n">
        <v>1200</v>
      </c>
      <c r="M96" s="20" t="inlineStr">
        <is>
          <t>No</t>
        </is>
      </c>
      <c r="N96" s="20" t="inlineStr">
        <is>
          <t>No</t>
        </is>
      </c>
      <c r="O96" s="20" t="inlineStr">
        <is>
          <t>No</t>
        </is>
      </c>
      <c r="P96" s="20" t="n"/>
      <c r="Q96" s="20" t="inlineStr">
        <is>
          <t>No</t>
        </is>
      </c>
      <c r="R96" s="20" t="n"/>
      <c r="S96" s="20" t="n">
        <v>0.388</v>
      </c>
      <c r="T96" s="22" t="n">
        <v>1.31</v>
      </c>
      <c r="U96" s="20" t="n"/>
      <c r="V96" s="20" t="n"/>
      <c r="W96" s="20" t="n"/>
      <c r="X96" s="20" t="n"/>
      <c r="Y96" s="24" t="inlineStr">
        <is>
          <t>[25]</t>
        </is>
      </c>
    </row>
    <row r="97" ht="15" customHeight="1">
      <c r="A97" s="20" t="inlineStr">
        <is>
          <t>Coconut endocarp</t>
        </is>
      </c>
      <c r="B97" s="21" t="inlineStr">
        <is>
          <t>Biomass (H2O)</t>
        </is>
      </c>
      <c r="C97" s="21" t="inlineStr">
        <is>
          <t>Water wash</t>
        </is>
      </c>
      <c r="D97" s="21" t="inlineStr">
        <is>
          <t>No</t>
        </is>
      </c>
      <c r="E97" s="21" t="inlineStr">
        <is>
          <t>No wash</t>
        </is>
      </c>
      <c r="F97" s="21" t="inlineStr">
        <is>
          <t>No</t>
        </is>
      </c>
      <c r="G97" s="20" t="inlineStr">
        <is>
          <t>One step</t>
        </is>
      </c>
      <c r="H97" s="20" t="inlineStr">
        <is>
          <t xml:space="preserve">Pyrolysis </t>
        </is>
      </c>
      <c r="I97" s="20" t="inlineStr">
        <is>
          <t>No</t>
        </is>
      </c>
      <c r="J97" s="20" t="inlineStr">
        <is>
          <t>No</t>
        </is>
      </c>
      <c r="K97" s="20" t="n"/>
      <c r="L97" s="20" t="n">
        <v>1100</v>
      </c>
      <c r="M97" s="20" t="inlineStr">
        <is>
          <t>No</t>
        </is>
      </c>
      <c r="N97" s="20" t="inlineStr">
        <is>
          <t>No</t>
        </is>
      </c>
      <c r="O97" s="20" t="inlineStr">
        <is>
          <t>No</t>
        </is>
      </c>
      <c r="P97" s="20" t="n"/>
      <c r="Q97" s="20" t="inlineStr">
        <is>
          <t>No</t>
        </is>
      </c>
      <c r="R97" s="20" t="n">
        <v>78.97</v>
      </c>
      <c r="S97" s="20" t="n">
        <v>0.3941</v>
      </c>
      <c r="T97" s="22" t="n">
        <v>1.18</v>
      </c>
      <c r="U97" s="20" t="n"/>
      <c r="V97" s="20" t="n"/>
      <c r="W97" s="20" t="n"/>
      <c r="X97" s="20" t="n"/>
      <c r="Y97" s="24" t="inlineStr">
        <is>
          <t>[25]</t>
        </is>
      </c>
    </row>
    <row r="98" ht="15" customHeight="1">
      <c r="A98" s="20" t="inlineStr">
        <is>
          <t>Ginkgo leave</t>
        </is>
      </c>
      <c r="B98" s="21" t="inlineStr">
        <is>
          <t>Carbon (3M HCl + H2O)</t>
        </is>
      </c>
      <c r="C98" s="21" t="inlineStr">
        <is>
          <t>No wash</t>
        </is>
      </c>
      <c r="D98" s="21" t="inlineStr">
        <is>
          <t>No</t>
        </is>
      </c>
      <c r="E98" s="21" t="inlineStr">
        <is>
          <t>Acid wash</t>
        </is>
      </c>
      <c r="F98" s="21" t="inlineStr">
        <is>
          <t>Mild</t>
        </is>
      </c>
      <c r="G98" s="20" t="inlineStr">
        <is>
          <t>One step</t>
        </is>
      </c>
      <c r="H98" s="20" t="inlineStr">
        <is>
          <t xml:space="preserve">Pyrolysis </t>
        </is>
      </c>
      <c r="I98" s="20" t="inlineStr">
        <is>
          <t>No</t>
        </is>
      </c>
      <c r="J98" s="20" t="n">
        <v>120</v>
      </c>
      <c r="K98" s="20" t="n">
        <v>5</v>
      </c>
      <c r="L98" s="20" t="n">
        <v>600</v>
      </c>
      <c r="M98" s="20" t="inlineStr">
        <is>
          <t>No</t>
        </is>
      </c>
      <c r="N98" s="20" t="inlineStr">
        <is>
          <t>No</t>
        </is>
      </c>
      <c r="O98" s="20" t="inlineStr">
        <is>
          <t>No</t>
        </is>
      </c>
      <c r="P98" s="20" t="n"/>
      <c r="Q98" s="20" t="inlineStr">
        <is>
          <t>No</t>
        </is>
      </c>
      <c r="R98" s="20" t="n"/>
      <c r="S98" s="20" t="n">
        <v>0.408</v>
      </c>
      <c r="T98" s="22" t="n">
        <v>0.38</v>
      </c>
      <c r="U98" s="20" t="n">
        <v>3.71</v>
      </c>
      <c r="V98" s="20" t="n">
        <v>1.26</v>
      </c>
      <c r="W98" s="20" t="n"/>
      <c r="X98" s="20" t="n"/>
      <c r="Y98" s="24" t="inlineStr">
        <is>
          <t>[26]</t>
        </is>
      </c>
    </row>
    <row r="99" ht="15" customHeight="1">
      <c r="A99" s="20" t="inlineStr">
        <is>
          <t>Ginkgo leave</t>
        </is>
      </c>
      <c r="B99" s="21" t="inlineStr">
        <is>
          <t>Carbon (3M HCl + H2O)</t>
        </is>
      </c>
      <c r="C99" s="21" t="inlineStr">
        <is>
          <t>No wash</t>
        </is>
      </c>
      <c r="D99" s="21" t="inlineStr">
        <is>
          <t>No</t>
        </is>
      </c>
      <c r="E99" s="21" t="inlineStr">
        <is>
          <t>Acid wash</t>
        </is>
      </c>
      <c r="F99" s="21" t="inlineStr">
        <is>
          <t>Mild</t>
        </is>
      </c>
      <c r="G99" s="20" t="inlineStr">
        <is>
          <t>One step</t>
        </is>
      </c>
      <c r="H99" s="20" t="inlineStr">
        <is>
          <t xml:space="preserve">Pyrolysis </t>
        </is>
      </c>
      <c r="I99" s="20" t="inlineStr">
        <is>
          <t>No</t>
        </is>
      </c>
      <c r="J99" s="20" t="n">
        <v>120</v>
      </c>
      <c r="K99" s="20" t="n">
        <v>5</v>
      </c>
      <c r="L99" s="20" t="n">
        <v>800</v>
      </c>
      <c r="M99" s="20" t="inlineStr">
        <is>
          <t>No</t>
        </is>
      </c>
      <c r="N99" s="20" t="inlineStr">
        <is>
          <t>No</t>
        </is>
      </c>
      <c r="O99" s="20" t="inlineStr">
        <is>
          <t>No</t>
        </is>
      </c>
      <c r="P99" s="20" t="n"/>
      <c r="Q99" s="20" t="inlineStr">
        <is>
          <t>No</t>
        </is>
      </c>
      <c r="R99" s="20" t="n"/>
      <c r="S99" s="20" t="n">
        <v>0.405</v>
      </c>
      <c r="T99" s="22" t="n">
        <v>0.4</v>
      </c>
      <c r="U99" s="20" t="n">
        <v>4.39</v>
      </c>
      <c r="V99" s="20" t="n">
        <v>1.28</v>
      </c>
      <c r="W99" s="20" t="n"/>
      <c r="X99" s="20" t="n"/>
      <c r="Y99" s="24" t="inlineStr">
        <is>
          <t>[26]</t>
        </is>
      </c>
    </row>
    <row r="100" ht="15" customHeight="1">
      <c r="A100" s="20" t="inlineStr">
        <is>
          <t>Ginkgo leave</t>
        </is>
      </c>
      <c r="B100" s="21" t="inlineStr">
        <is>
          <t>Carbon (3M HCl + H2O)</t>
        </is>
      </c>
      <c r="C100" s="21" t="inlineStr">
        <is>
          <t>No wash</t>
        </is>
      </c>
      <c r="D100" s="21" t="inlineStr">
        <is>
          <t>No</t>
        </is>
      </c>
      <c r="E100" s="21" t="inlineStr">
        <is>
          <t>Acid wash</t>
        </is>
      </c>
      <c r="F100" s="21" t="inlineStr">
        <is>
          <t>Mild</t>
        </is>
      </c>
      <c r="G100" s="20" t="inlineStr">
        <is>
          <t>One step</t>
        </is>
      </c>
      <c r="H100" s="20" t="inlineStr">
        <is>
          <t xml:space="preserve">Pyrolysis </t>
        </is>
      </c>
      <c r="I100" s="20" t="inlineStr">
        <is>
          <t>No</t>
        </is>
      </c>
      <c r="J100" s="20" t="n">
        <v>120</v>
      </c>
      <c r="K100" s="20" t="n">
        <v>5</v>
      </c>
      <c r="L100" s="20" t="n">
        <v>1000</v>
      </c>
      <c r="M100" s="20" t="inlineStr">
        <is>
          <t>No</t>
        </is>
      </c>
      <c r="N100" s="20" t="inlineStr">
        <is>
          <t>No</t>
        </is>
      </c>
      <c r="O100" s="20" t="inlineStr">
        <is>
          <t>No</t>
        </is>
      </c>
      <c r="P100" s="20" t="n"/>
      <c r="Q100" s="20" t="inlineStr">
        <is>
          <t>No</t>
        </is>
      </c>
      <c r="R100" s="20" t="n"/>
      <c r="S100" s="20" t="n">
        <v>0.402</v>
      </c>
      <c r="T100" s="22" t="n">
        <v>0.45</v>
      </c>
      <c r="U100" s="20" t="n">
        <v>5.47</v>
      </c>
      <c r="V100" s="20" t="n">
        <v>1.51</v>
      </c>
      <c r="W100" s="20" t="n"/>
      <c r="X100" s="20" t="n"/>
      <c r="Y100" s="24" t="inlineStr">
        <is>
          <t>[26]</t>
        </is>
      </c>
    </row>
    <row r="101" ht="15" customHeight="1">
      <c r="A101" s="20" t="inlineStr">
        <is>
          <t>Ginkgo leave</t>
        </is>
      </c>
      <c r="B101" s="21" t="inlineStr">
        <is>
          <t>Carbon (3M HCl + H2O)</t>
        </is>
      </c>
      <c r="C101" s="21" t="inlineStr">
        <is>
          <t>No wash</t>
        </is>
      </c>
      <c r="D101" s="21" t="inlineStr">
        <is>
          <t>No</t>
        </is>
      </c>
      <c r="E101" s="21" t="inlineStr">
        <is>
          <t>Acid wash</t>
        </is>
      </c>
      <c r="F101" s="21" t="inlineStr">
        <is>
          <t>Mild</t>
        </is>
      </c>
      <c r="G101" s="20" t="inlineStr">
        <is>
          <t>One step</t>
        </is>
      </c>
      <c r="H101" s="20" t="inlineStr">
        <is>
          <t xml:space="preserve">Pyrolysis </t>
        </is>
      </c>
      <c r="I101" s="20" t="inlineStr">
        <is>
          <t>No</t>
        </is>
      </c>
      <c r="J101" s="20" t="n">
        <v>120</v>
      </c>
      <c r="K101" s="20" t="n">
        <v>5</v>
      </c>
      <c r="L101" s="20" t="n">
        <v>1200</v>
      </c>
      <c r="M101" s="20" t="inlineStr">
        <is>
          <t>No</t>
        </is>
      </c>
      <c r="N101" s="20" t="inlineStr">
        <is>
          <t>No</t>
        </is>
      </c>
      <c r="O101" s="20" t="inlineStr">
        <is>
          <t>No</t>
        </is>
      </c>
      <c r="P101" s="20" t="n"/>
      <c r="Q101" s="20" t="inlineStr">
        <is>
          <t>No</t>
        </is>
      </c>
      <c r="R101" s="20" t="n">
        <v>242</v>
      </c>
      <c r="S101" s="20" t="n">
        <v>0.387</v>
      </c>
      <c r="T101" s="22" t="n">
        <v>0.48</v>
      </c>
      <c r="U101" s="20" t="n">
        <v>6.18</v>
      </c>
      <c r="V101" s="20" t="n">
        <v>1.64</v>
      </c>
      <c r="W101" s="20" t="n">
        <v>0.231</v>
      </c>
      <c r="X101" s="20" t="n"/>
      <c r="Y101" s="24" t="inlineStr">
        <is>
          <t>[26]</t>
        </is>
      </c>
    </row>
    <row r="102" ht="15" customHeight="1">
      <c r="A102" s="20" t="inlineStr">
        <is>
          <t>Ginkgo leave</t>
        </is>
      </c>
      <c r="B102" s="21" t="inlineStr">
        <is>
          <t>Carbon (3M HCl + H2O)</t>
        </is>
      </c>
      <c r="C102" s="21" t="inlineStr">
        <is>
          <t>No wash</t>
        </is>
      </c>
      <c r="D102" s="21" t="inlineStr">
        <is>
          <t>No</t>
        </is>
      </c>
      <c r="E102" s="21" t="inlineStr">
        <is>
          <t>Acid wash</t>
        </is>
      </c>
      <c r="F102" s="21" t="inlineStr">
        <is>
          <t>Mild</t>
        </is>
      </c>
      <c r="G102" s="20" t="inlineStr">
        <is>
          <t>One step</t>
        </is>
      </c>
      <c r="H102" s="20" t="inlineStr">
        <is>
          <t xml:space="preserve">Pyrolysis </t>
        </is>
      </c>
      <c r="I102" s="20" t="inlineStr">
        <is>
          <t>No</t>
        </is>
      </c>
      <c r="J102" s="20" t="n">
        <v>120</v>
      </c>
      <c r="K102" s="20" t="n">
        <v>5</v>
      </c>
      <c r="L102" s="20" t="n">
        <v>1300</v>
      </c>
      <c r="M102" s="20" t="inlineStr">
        <is>
          <t>No</t>
        </is>
      </c>
      <c r="N102" s="20" t="inlineStr">
        <is>
          <t>No</t>
        </is>
      </c>
      <c r="O102" s="20" t="inlineStr">
        <is>
          <t>No</t>
        </is>
      </c>
      <c r="P102" s="20" t="n"/>
      <c r="Q102" s="20" t="inlineStr">
        <is>
          <t>No</t>
        </is>
      </c>
      <c r="R102" s="20" t="n"/>
      <c r="S102" s="20" t="n">
        <v>0.385</v>
      </c>
      <c r="T102" s="22" t="n">
        <v>0.59</v>
      </c>
      <c r="U102" s="20" t="n">
        <v>6.41</v>
      </c>
      <c r="V102" s="20" t="n">
        <v>2.242</v>
      </c>
      <c r="W102" s="20" t="n"/>
      <c r="X102" s="20" t="n"/>
      <c r="Y102" s="24" t="inlineStr">
        <is>
          <t>[26]</t>
        </is>
      </c>
    </row>
    <row r="103" ht="15" customHeight="1">
      <c r="A103" s="20" t="inlineStr">
        <is>
          <t>Ginkgo leave</t>
        </is>
      </c>
      <c r="B103" s="21" t="inlineStr">
        <is>
          <t>Carbon (3M HCl + H2O)</t>
        </is>
      </c>
      <c r="C103" s="21" t="inlineStr">
        <is>
          <t>No wash</t>
        </is>
      </c>
      <c r="D103" s="21" t="inlineStr">
        <is>
          <t>No</t>
        </is>
      </c>
      <c r="E103" s="21" t="inlineStr">
        <is>
          <t>Acid wash</t>
        </is>
      </c>
      <c r="F103" s="21" t="inlineStr">
        <is>
          <t>Mild</t>
        </is>
      </c>
      <c r="G103" s="20" t="inlineStr">
        <is>
          <t>One step</t>
        </is>
      </c>
      <c r="H103" s="20" t="inlineStr">
        <is>
          <t xml:space="preserve">Pyrolysis </t>
        </is>
      </c>
      <c r="I103" s="20" t="inlineStr">
        <is>
          <t>No</t>
        </is>
      </c>
      <c r="J103" s="20" t="n">
        <v>120</v>
      </c>
      <c r="K103" s="20" t="n">
        <v>5</v>
      </c>
      <c r="L103" s="20" t="n">
        <v>1400</v>
      </c>
      <c r="M103" s="20" t="inlineStr">
        <is>
          <t>No</t>
        </is>
      </c>
      <c r="N103" s="20" t="inlineStr">
        <is>
          <t>No</t>
        </is>
      </c>
      <c r="O103" s="20" t="inlineStr">
        <is>
          <t>No</t>
        </is>
      </c>
      <c r="P103" s="20" t="n"/>
      <c r="Q103" s="20" t="inlineStr">
        <is>
          <t>No</t>
        </is>
      </c>
      <c r="R103" s="20" t="n"/>
      <c r="S103" s="20" t="n">
        <v>0.382</v>
      </c>
      <c r="T103" s="22" t="n">
        <v>0.64</v>
      </c>
      <c r="U103" s="20" t="n">
        <v>6.94</v>
      </c>
      <c r="V103" s="20" t="n">
        <v>4.11</v>
      </c>
      <c r="W103" s="20" t="n"/>
      <c r="X103" s="20" t="n"/>
      <c r="Y103" s="24" t="inlineStr">
        <is>
          <t>[26]</t>
        </is>
      </c>
    </row>
    <row r="104" ht="15" customHeight="1">
      <c r="A104" s="20" t="inlineStr">
        <is>
          <t>Ginkgo leave</t>
        </is>
      </c>
      <c r="B104" s="21" t="inlineStr">
        <is>
          <t>Carbon (3M HCl + H2O)</t>
        </is>
      </c>
      <c r="C104" s="21" t="inlineStr">
        <is>
          <t>No wash</t>
        </is>
      </c>
      <c r="D104" s="21" t="inlineStr">
        <is>
          <t>No</t>
        </is>
      </c>
      <c r="E104" s="21" t="inlineStr">
        <is>
          <t>Acid wash</t>
        </is>
      </c>
      <c r="F104" s="21" t="inlineStr">
        <is>
          <t>Mild</t>
        </is>
      </c>
      <c r="G104" s="20" t="inlineStr">
        <is>
          <t>One step</t>
        </is>
      </c>
      <c r="H104" s="20" t="inlineStr">
        <is>
          <t xml:space="preserve">Pyrolysis </t>
        </is>
      </c>
      <c r="I104" s="20" t="inlineStr">
        <is>
          <t>No</t>
        </is>
      </c>
      <c r="J104" s="20" t="n">
        <v>120</v>
      </c>
      <c r="K104" s="20" t="n">
        <v>5</v>
      </c>
      <c r="L104" s="20" t="n">
        <v>1500</v>
      </c>
      <c r="M104" s="20" t="inlineStr">
        <is>
          <t>No</t>
        </is>
      </c>
      <c r="N104" s="20" t="inlineStr">
        <is>
          <t>No</t>
        </is>
      </c>
      <c r="O104" s="20" t="inlineStr">
        <is>
          <t>No</t>
        </is>
      </c>
      <c r="P104" s="20" t="n"/>
      <c r="Q104" s="20" t="inlineStr">
        <is>
          <t>No</t>
        </is>
      </c>
      <c r="R104" s="20" t="n"/>
      <c r="S104" s="20" t="n">
        <v>0.337</v>
      </c>
      <c r="T104" s="22" t="n">
        <v>0.65</v>
      </c>
      <c r="U104" s="20" t="n">
        <v>7.32</v>
      </c>
      <c r="V104" s="20" t="n">
        <v>7.27</v>
      </c>
      <c r="W104" s="20" t="n"/>
      <c r="X104" s="20" t="n"/>
      <c r="Y104" s="24" t="inlineStr">
        <is>
          <t>[26]</t>
        </is>
      </c>
    </row>
    <row r="105" ht="15" customHeight="1">
      <c r="A105" s="20" t="inlineStr">
        <is>
          <t>Ginkgo leave</t>
        </is>
      </c>
      <c r="B105" s="21" t="inlineStr">
        <is>
          <t>Carbon (3M HCl + H2O)</t>
        </is>
      </c>
      <c r="C105" s="21" t="inlineStr">
        <is>
          <t>No wash</t>
        </is>
      </c>
      <c r="D105" s="21" t="inlineStr">
        <is>
          <t>No</t>
        </is>
      </c>
      <c r="E105" s="21" t="inlineStr">
        <is>
          <t>Acid wash</t>
        </is>
      </c>
      <c r="F105" s="21" t="inlineStr">
        <is>
          <t>Mild</t>
        </is>
      </c>
      <c r="G105" s="20" t="inlineStr">
        <is>
          <t>One step</t>
        </is>
      </c>
      <c r="H105" s="20" t="inlineStr">
        <is>
          <t xml:space="preserve">Pyrolysis </t>
        </is>
      </c>
      <c r="I105" s="20" t="inlineStr">
        <is>
          <t>No</t>
        </is>
      </c>
      <c r="J105" s="20" t="n">
        <v>120</v>
      </c>
      <c r="K105" s="20" t="n">
        <v>5</v>
      </c>
      <c r="L105" s="20" t="n">
        <v>1700</v>
      </c>
      <c r="M105" s="20" t="inlineStr">
        <is>
          <t>No</t>
        </is>
      </c>
      <c r="N105" s="20" t="inlineStr">
        <is>
          <t>No</t>
        </is>
      </c>
      <c r="O105" s="20" t="inlineStr">
        <is>
          <t>No</t>
        </is>
      </c>
      <c r="P105" s="20" t="n"/>
      <c r="Q105" s="20" t="inlineStr">
        <is>
          <t>No</t>
        </is>
      </c>
      <c r="R105" s="20" t="n"/>
      <c r="S105" s="20" t="n">
        <v>0.336</v>
      </c>
      <c r="T105" s="22" t="n">
        <v>0.76</v>
      </c>
      <c r="U105" s="20" t="n">
        <v>8.390000000000001</v>
      </c>
      <c r="V105" s="20" t="n">
        <v>8.119999999999999</v>
      </c>
      <c r="W105" s="20" t="n"/>
      <c r="X105" s="20" t="n"/>
      <c r="Y105" s="24" t="inlineStr">
        <is>
          <t>[26]</t>
        </is>
      </c>
    </row>
    <row r="106" ht="15" customHeight="1">
      <c r="A106" s="20" t="inlineStr">
        <is>
          <t>Ginkgo leave</t>
        </is>
      </c>
      <c r="B106" s="21" t="inlineStr">
        <is>
          <t>Carbon (3M HCl + H2O)</t>
        </is>
      </c>
      <c r="C106" s="21" t="inlineStr">
        <is>
          <t>No wash</t>
        </is>
      </c>
      <c r="D106" s="21" t="inlineStr">
        <is>
          <t>No</t>
        </is>
      </c>
      <c r="E106" s="21" t="inlineStr">
        <is>
          <t>Acid wash</t>
        </is>
      </c>
      <c r="F106" s="21" t="inlineStr">
        <is>
          <t>Mild</t>
        </is>
      </c>
      <c r="G106" s="20" t="inlineStr">
        <is>
          <t>One step</t>
        </is>
      </c>
      <c r="H106" s="20" t="inlineStr">
        <is>
          <t xml:space="preserve">Pyrolysis </t>
        </is>
      </c>
      <c r="I106" s="20" t="inlineStr">
        <is>
          <t>No</t>
        </is>
      </c>
      <c r="J106" s="20" t="n">
        <v>120</v>
      </c>
      <c r="K106" s="20" t="n">
        <v>5</v>
      </c>
      <c r="L106" s="20" t="n">
        <v>2000</v>
      </c>
      <c r="M106" s="20" t="inlineStr">
        <is>
          <t>No</t>
        </is>
      </c>
      <c r="N106" s="20" t="inlineStr">
        <is>
          <t>No</t>
        </is>
      </c>
      <c r="O106" s="20" t="inlineStr">
        <is>
          <t>No</t>
        </is>
      </c>
      <c r="P106" s="20" t="n"/>
      <c r="Q106" s="20" t="inlineStr">
        <is>
          <t>No</t>
        </is>
      </c>
      <c r="R106" s="20" t="n"/>
      <c r="S106" s="20" t="n">
        <v>0.335</v>
      </c>
      <c r="T106" s="22" t="n">
        <v>1.87</v>
      </c>
      <c r="U106" s="20" t="n">
        <v>12.67</v>
      </c>
      <c r="V106" s="20" t="n">
        <v>8.82</v>
      </c>
      <c r="W106" s="20" t="n"/>
      <c r="X106" s="20" t="n"/>
      <c r="Y106" s="24" t="inlineStr">
        <is>
          <t>[26]</t>
        </is>
      </c>
    </row>
    <row r="107" ht="15" customHeight="1">
      <c r="A107" s="20" t="inlineStr">
        <is>
          <t>Ginkgo leave</t>
        </is>
      </c>
      <c r="B107" s="21" t="inlineStr">
        <is>
          <t>Carbon (3M HCl + H2O)</t>
        </is>
      </c>
      <c r="C107" s="21" t="inlineStr">
        <is>
          <t>No wash</t>
        </is>
      </c>
      <c r="D107" s="21" t="inlineStr">
        <is>
          <t>No</t>
        </is>
      </c>
      <c r="E107" s="21" t="inlineStr">
        <is>
          <t>Acid wash</t>
        </is>
      </c>
      <c r="F107" s="21" t="inlineStr">
        <is>
          <t>Mild</t>
        </is>
      </c>
      <c r="G107" s="20" t="inlineStr">
        <is>
          <t>One step</t>
        </is>
      </c>
      <c r="H107" s="20" t="inlineStr">
        <is>
          <t xml:space="preserve">Pyrolysis </t>
        </is>
      </c>
      <c r="I107" s="20" t="inlineStr">
        <is>
          <t>No</t>
        </is>
      </c>
      <c r="J107" s="20" t="n">
        <v>120</v>
      </c>
      <c r="K107" s="20" t="n">
        <v>5</v>
      </c>
      <c r="L107" s="20" t="n">
        <v>2500</v>
      </c>
      <c r="M107" s="20" t="inlineStr">
        <is>
          <t>No</t>
        </is>
      </c>
      <c r="N107" s="20" t="inlineStr">
        <is>
          <t>No</t>
        </is>
      </c>
      <c r="O107" s="20" t="inlineStr">
        <is>
          <t>No</t>
        </is>
      </c>
      <c r="P107" s="20" t="n"/>
      <c r="Q107" s="20" t="inlineStr">
        <is>
          <t>No</t>
        </is>
      </c>
      <c r="R107" s="20" t="n">
        <v>16</v>
      </c>
      <c r="S107" s="20" t="n">
        <v>0.335</v>
      </c>
      <c r="T107" s="22" t="n">
        <v>9.19</v>
      </c>
      <c r="U107" s="20" t="n">
        <v>16.89</v>
      </c>
      <c r="V107" s="20" t="n">
        <v>9.119999999999999</v>
      </c>
      <c r="W107" s="20" t="n">
        <v>0.08</v>
      </c>
      <c r="X107" s="20" t="n"/>
      <c r="Y107" s="24" t="inlineStr">
        <is>
          <t>[26]</t>
        </is>
      </c>
    </row>
    <row r="108" ht="15" customHeight="1">
      <c r="A108" s="20" t="inlineStr">
        <is>
          <t>Rice husk</t>
        </is>
      </c>
      <c r="B108" s="21" t="inlineStr">
        <is>
          <t>Carbon (4M NH4HF2 + H2O)</t>
        </is>
      </c>
      <c r="C108" s="21" t="inlineStr">
        <is>
          <t>No wash</t>
        </is>
      </c>
      <c r="D108" s="21" t="inlineStr">
        <is>
          <t>No</t>
        </is>
      </c>
      <c r="E108" s="21" t="inlineStr">
        <is>
          <t>Acid wash</t>
        </is>
      </c>
      <c r="F108" s="21" t="inlineStr">
        <is>
          <t>Mild</t>
        </is>
      </c>
      <c r="G108" s="20" t="inlineStr">
        <is>
          <t>One step</t>
        </is>
      </c>
      <c r="H108" s="20" t="inlineStr">
        <is>
          <t xml:space="preserve">Pyrolysis </t>
        </is>
      </c>
      <c r="I108" s="20" t="inlineStr">
        <is>
          <t>No</t>
        </is>
      </c>
      <c r="J108" s="20" t="inlineStr">
        <is>
          <t>No</t>
        </is>
      </c>
      <c r="K108" s="20" t="n">
        <v>3</v>
      </c>
      <c r="L108" s="20" t="n">
        <v>900</v>
      </c>
      <c r="M108" s="20" t="inlineStr">
        <is>
          <t>No</t>
        </is>
      </c>
      <c r="N108" s="20" t="inlineStr">
        <is>
          <t>No</t>
        </is>
      </c>
      <c r="O108" s="20" t="inlineStr">
        <is>
          <t>No</t>
        </is>
      </c>
      <c r="P108" s="20" t="n"/>
      <c r="Q108" s="20" t="inlineStr">
        <is>
          <t>No</t>
        </is>
      </c>
      <c r="R108" s="20" t="n">
        <v>265</v>
      </c>
      <c r="S108" s="20" t="n">
        <v>0.382</v>
      </c>
      <c r="T108" s="22" t="n">
        <v>0.98</v>
      </c>
      <c r="U108" s="20" t="n">
        <v>5.12</v>
      </c>
      <c r="V108" s="20" t="n"/>
      <c r="W108" s="20" t="n">
        <v>0.46</v>
      </c>
      <c r="X108" s="20" t="n"/>
      <c r="Y108" s="24" t="inlineStr">
        <is>
          <t>[27]</t>
        </is>
      </c>
    </row>
    <row r="109" ht="15" customHeight="1">
      <c r="A109" s="20" t="inlineStr">
        <is>
          <t>Rice husk</t>
        </is>
      </c>
      <c r="B109" s="21" t="inlineStr">
        <is>
          <t>Carbon (4M NH4HF2 + H2O)</t>
        </is>
      </c>
      <c r="C109" s="21" t="inlineStr">
        <is>
          <t>No wash</t>
        </is>
      </c>
      <c r="D109" s="21" t="inlineStr">
        <is>
          <t>No</t>
        </is>
      </c>
      <c r="E109" s="21" t="inlineStr">
        <is>
          <t>Acid wash</t>
        </is>
      </c>
      <c r="F109" s="21" t="inlineStr">
        <is>
          <t>Mild</t>
        </is>
      </c>
      <c r="G109" s="20" t="inlineStr">
        <is>
          <t>One step</t>
        </is>
      </c>
      <c r="H109" s="20" t="inlineStr">
        <is>
          <t xml:space="preserve">Pyrolysis </t>
        </is>
      </c>
      <c r="I109" s="20" t="inlineStr">
        <is>
          <t>No</t>
        </is>
      </c>
      <c r="J109" s="20" t="inlineStr">
        <is>
          <t>No</t>
        </is>
      </c>
      <c r="K109" s="20" t="n">
        <v>3</v>
      </c>
      <c r="L109" s="20" t="n">
        <v>1300</v>
      </c>
      <c r="M109" s="20" t="inlineStr">
        <is>
          <t>No</t>
        </is>
      </c>
      <c r="N109" s="20" t="inlineStr">
        <is>
          <t>No</t>
        </is>
      </c>
      <c r="O109" s="20" t="inlineStr">
        <is>
          <t>No</t>
        </is>
      </c>
      <c r="P109" s="20" t="n"/>
      <c r="Q109" s="20" t="inlineStr">
        <is>
          <t>No</t>
        </is>
      </c>
      <c r="R109" s="20" t="n">
        <v>285</v>
      </c>
      <c r="S109" s="20" t="n">
        <v>0.386</v>
      </c>
      <c r="T109" s="22" t="n">
        <v>1.02</v>
      </c>
      <c r="U109" s="20" t="n">
        <v>5.68</v>
      </c>
      <c r="V109" s="20" t="n"/>
      <c r="W109" s="20" t="n">
        <v>0.44</v>
      </c>
      <c r="X109" s="20" t="n"/>
      <c r="Y109" s="24" t="inlineStr">
        <is>
          <t>[27]</t>
        </is>
      </c>
    </row>
    <row r="110" ht="15" customHeight="1">
      <c r="A110" s="20" t="inlineStr">
        <is>
          <t>Rice husk</t>
        </is>
      </c>
      <c r="B110" s="21" t="inlineStr">
        <is>
          <t>Carbon (4M NH4HF2 + H2O)</t>
        </is>
      </c>
      <c r="C110" s="21" t="inlineStr">
        <is>
          <t>No wash</t>
        </is>
      </c>
      <c r="D110" s="21" t="inlineStr">
        <is>
          <t>No</t>
        </is>
      </c>
      <c r="E110" s="21" t="inlineStr">
        <is>
          <t>Acid wash</t>
        </is>
      </c>
      <c r="F110" s="21" t="inlineStr">
        <is>
          <t>Mild</t>
        </is>
      </c>
      <c r="G110" s="20" t="inlineStr">
        <is>
          <t>One step</t>
        </is>
      </c>
      <c r="H110" s="20" t="inlineStr">
        <is>
          <t xml:space="preserve">Pyrolysis </t>
        </is>
      </c>
      <c r="I110" s="20" t="inlineStr">
        <is>
          <t>No</t>
        </is>
      </c>
      <c r="J110" s="20" t="inlineStr">
        <is>
          <t>No</t>
        </is>
      </c>
      <c r="K110" s="20" t="n">
        <v>3</v>
      </c>
      <c r="L110" s="20" t="n">
        <v>1600</v>
      </c>
      <c r="M110" s="20" t="inlineStr">
        <is>
          <t>No</t>
        </is>
      </c>
      <c r="N110" s="20" t="inlineStr">
        <is>
          <t>No</t>
        </is>
      </c>
      <c r="O110" s="20" t="inlineStr">
        <is>
          <t>No</t>
        </is>
      </c>
      <c r="P110" s="20" t="n"/>
      <c r="Q110" s="20" t="inlineStr">
        <is>
          <t>No</t>
        </is>
      </c>
      <c r="R110" s="20" t="n">
        <v>218</v>
      </c>
      <c r="S110" s="20" t="n">
        <v>0.401</v>
      </c>
      <c r="T110" s="22" t="n">
        <v>1.18</v>
      </c>
      <c r="U110" s="20" t="n">
        <v>7.14</v>
      </c>
      <c r="V110" s="20" t="n"/>
      <c r="W110" s="20" t="n">
        <v>0.41</v>
      </c>
      <c r="X110" s="20" t="n"/>
      <c r="Y110" s="24" t="inlineStr">
        <is>
          <t>[27]</t>
        </is>
      </c>
    </row>
    <row r="111" ht="15" customHeight="1">
      <c r="A111" s="20" t="inlineStr">
        <is>
          <t>Lyche seed</t>
        </is>
      </c>
      <c r="B111" s="21" t="inlineStr">
        <is>
          <t>Biomass (H2O) / Carbon (H2O)</t>
        </is>
      </c>
      <c r="C111" s="21" t="inlineStr">
        <is>
          <t>Water wash</t>
        </is>
      </c>
      <c r="D111" s="21" t="inlineStr">
        <is>
          <t>No</t>
        </is>
      </c>
      <c r="E111" s="21" t="inlineStr">
        <is>
          <t>Water wash</t>
        </is>
      </c>
      <c r="F111" s="21" t="inlineStr">
        <is>
          <t>No</t>
        </is>
      </c>
      <c r="G111" s="20" t="inlineStr">
        <is>
          <t>One step</t>
        </is>
      </c>
      <c r="H111" s="20" t="inlineStr">
        <is>
          <t xml:space="preserve">Pyrolysis </t>
        </is>
      </c>
      <c r="I111" s="20" t="inlineStr">
        <is>
          <t>No</t>
        </is>
      </c>
      <c r="J111" s="20" t="n">
        <v>120</v>
      </c>
      <c r="K111" s="20" t="n"/>
      <c r="L111" s="20" t="n">
        <v>500</v>
      </c>
      <c r="M111" s="20" t="inlineStr">
        <is>
          <t>No</t>
        </is>
      </c>
      <c r="N111" s="20" t="inlineStr">
        <is>
          <t>No</t>
        </is>
      </c>
      <c r="O111" s="20" t="inlineStr">
        <is>
          <t>No</t>
        </is>
      </c>
      <c r="P111" s="20" t="n"/>
      <c r="Q111" s="20" t="inlineStr">
        <is>
          <t>No</t>
        </is>
      </c>
      <c r="R111" s="20" t="n">
        <v>6.6</v>
      </c>
      <c r="S111" s="20" t="n"/>
      <c r="T111" s="22" t="n"/>
      <c r="U111" s="20" t="n"/>
      <c r="V111" s="20" t="n"/>
      <c r="W111" s="20" t="n"/>
      <c r="X111" s="20" t="n"/>
      <c r="Y111" s="24" t="inlineStr">
        <is>
          <t>[28]</t>
        </is>
      </c>
    </row>
    <row r="112" ht="15" customHeight="1">
      <c r="A112" s="20" t="inlineStr">
        <is>
          <t>Water caltrop</t>
        </is>
      </c>
      <c r="B112" s="21" t="inlineStr">
        <is>
          <t>Biomass (EtOH + H2O) / Carbon (1M HCl + H2O)</t>
        </is>
      </c>
      <c r="C112" s="21" t="inlineStr">
        <is>
          <t>Organic wash</t>
        </is>
      </c>
      <c r="D112" s="21" t="inlineStr">
        <is>
          <t>No</t>
        </is>
      </c>
      <c r="E112" s="21" t="inlineStr">
        <is>
          <t>Acid wash</t>
        </is>
      </c>
      <c r="F112" s="21" t="inlineStr">
        <is>
          <t>Mild</t>
        </is>
      </c>
      <c r="G112" s="20" t="inlineStr">
        <is>
          <t>One step</t>
        </is>
      </c>
      <c r="H112" s="20" t="inlineStr">
        <is>
          <t xml:space="preserve">Pyrolysis </t>
        </is>
      </c>
      <c r="I112" s="20" t="inlineStr">
        <is>
          <t>No</t>
        </is>
      </c>
      <c r="J112" s="20" t="n">
        <v>180</v>
      </c>
      <c r="K112" s="20" t="n">
        <v>5</v>
      </c>
      <c r="L112" s="20" t="n">
        <v>900</v>
      </c>
      <c r="M112" s="20" t="inlineStr">
        <is>
          <t>No</t>
        </is>
      </c>
      <c r="N112" s="20" t="inlineStr">
        <is>
          <t>No</t>
        </is>
      </c>
      <c r="O112" s="20" t="inlineStr">
        <is>
          <t>No</t>
        </is>
      </c>
      <c r="P112" s="20" t="n"/>
      <c r="Q112" s="20" t="inlineStr">
        <is>
          <t>No</t>
        </is>
      </c>
      <c r="R112" s="20" t="n">
        <v>48.09</v>
      </c>
      <c r="S112" s="20" t="n">
        <v>0.39</v>
      </c>
      <c r="T112" s="22" t="n">
        <v>0.12</v>
      </c>
      <c r="U112" s="20" t="n">
        <v>3.14</v>
      </c>
      <c r="V112" s="20" t="n">
        <v>1.52</v>
      </c>
      <c r="W112" s="20" t="n"/>
      <c r="X112" s="20" t="n">
        <v>90.56</v>
      </c>
      <c r="Y112" s="24" t="inlineStr">
        <is>
          <t>[29]</t>
        </is>
      </c>
    </row>
    <row r="113" ht="15" customHeight="1">
      <c r="A113" s="20" t="inlineStr">
        <is>
          <t>Water caltrop</t>
        </is>
      </c>
      <c r="B113" s="21" t="inlineStr">
        <is>
          <t>Biomass (EtOH + H2O) / Carbon (1M HCl + H2O)</t>
        </is>
      </c>
      <c r="C113" s="21" t="inlineStr">
        <is>
          <t>Organic wash</t>
        </is>
      </c>
      <c r="D113" s="21" t="inlineStr">
        <is>
          <t>No</t>
        </is>
      </c>
      <c r="E113" s="21" t="inlineStr">
        <is>
          <t>Acid wash</t>
        </is>
      </c>
      <c r="F113" s="21" t="inlineStr">
        <is>
          <t>Mild</t>
        </is>
      </c>
      <c r="G113" s="20" t="inlineStr">
        <is>
          <t>One step</t>
        </is>
      </c>
      <c r="H113" s="20" t="inlineStr">
        <is>
          <t xml:space="preserve">Pyrolysis </t>
        </is>
      </c>
      <c r="I113" s="20" t="inlineStr">
        <is>
          <t>No</t>
        </is>
      </c>
      <c r="J113" s="20" t="n">
        <v>180</v>
      </c>
      <c r="K113" s="20" t="n">
        <v>5</v>
      </c>
      <c r="L113" s="20" t="n">
        <v>1100</v>
      </c>
      <c r="M113" s="20" t="inlineStr">
        <is>
          <t>No</t>
        </is>
      </c>
      <c r="N113" s="20" t="inlineStr">
        <is>
          <t>No</t>
        </is>
      </c>
      <c r="O113" s="20" t="inlineStr">
        <is>
          <t>No</t>
        </is>
      </c>
      <c r="P113" s="20" t="n"/>
      <c r="Q113" s="20" t="inlineStr">
        <is>
          <t>No</t>
        </is>
      </c>
      <c r="R113" s="20" t="n">
        <v>42.68</v>
      </c>
      <c r="S113" s="20" t="n">
        <v>0.39</v>
      </c>
      <c r="T113" s="22" t="n">
        <v>0.29</v>
      </c>
      <c r="U113" s="20" t="n">
        <v>3.16</v>
      </c>
      <c r="V113" s="20" t="n">
        <v>1.53</v>
      </c>
      <c r="W113" s="20" t="n"/>
      <c r="X113" s="20" t="n">
        <v>94.09</v>
      </c>
      <c r="Y113" s="24" t="inlineStr">
        <is>
          <t>[29]</t>
        </is>
      </c>
    </row>
    <row r="114" ht="15" customHeight="1">
      <c r="A114" s="20" t="inlineStr">
        <is>
          <t>Water caltrop</t>
        </is>
      </c>
      <c r="B114" s="21" t="inlineStr">
        <is>
          <t>Biomass (EtOH + H2O) / Carbon (1M HCl + H2O)</t>
        </is>
      </c>
      <c r="C114" s="21" t="inlineStr">
        <is>
          <t>Organic wash</t>
        </is>
      </c>
      <c r="D114" s="21" t="inlineStr">
        <is>
          <t>No</t>
        </is>
      </c>
      <c r="E114" s="21" t="inlineStr">
        <is>
          <t>Acid wash</t>
        </is>
      </c>
      <c r="F114" s="21" t="inlineStr">
        <is>
          <t>Mild</t>
        </is>
      </c>
      <c r="G114" s="20" t="inlineStr">
        <is>
          <t>One step</t>
        </is>
      </c>
      <c r="H114" s="20" t="inlineStr">
        <is>
          <t xml:space="preserve">Pyrolysis </t>
        </is>
      </c>
      <c r="I114" s="20" t="inlineStr">
        <is>
          <t>No</t>
        </is>
      </c>
      <c r="J114" s="20" t="n">
        <v>180</v>
      </c>
      <c r="K114" s="20" t="n">
        <v>5</v>
      </c>
      <c r="L114" s="20" t="n">
        <v>1300</v>
      </c>
      <c r="M114" s="20" t="inlineStr">
        <is>
          <t>No</t>
        </is>
      </c>
      <c r="N114" s="20" t="inlineStr">
        <is>
          <t>No</t>
        </is>
      </c>
      <c r="O114" s="20" t="inlineStr">
        <is>
          <t>No</t>
        </is>
      </c>
      <c r="P114" s="20" t="n"/>
      <c r="Q114" s="20" t="inlineStr">
        <is>
          <t>No</t>
        </is>
      </c>
      <c r="R114" s="20" t="n">
        <v>9.58</v>
      </c>
      <c r="S114" s="20" t="n">
        <v>0.38</v>
      </c>
      <c r="T114" s="22" t="n">
        <v>0.43</v>
      </c>
      <c r="U114" s="20" t="n">
        <v>3.26</v>
      </c>
      <c r="V114" s="20" t="n">
        <v>1.58</v>
      </c>
      <c r="W114" s="20" t="n"/>
      <c r="X114" s="20" t="n">
        <v>95.98</v>
      </c>
      <c r="Y114" s="24" t="inlineStr">
        <is>
          <t>[29]</t>
        </is>
      </c>
    </row>
    <row r="115" ht="15" customHeight="1">
      <c r="A115" s="20" t="inlineStr">
        <is>
          <t>Water caltrop</t>
        </is>
      </c>
      <c r="B115" s="21" t="inlineStr">
        <is>
          <t>Biomass (EtOH + H2O) / Carbon (1M HCl + H2O)</t>
        </is>
      </c>
      <c r="C115" s="21" t="inlineStr">
        <is>
          <t>Organic wash</t>
        </is>
      </c>
      <c r="D115" s="21" t="inlineStr">
        <is>
          <t>No</t>
        </is>
      </c>
      <c r="E115" s="21" t="inlineStr">
        <is>
          <t>Acid wash</t>
        </is>
      </c>
      <c r="F115" s="21" t="inlineStr">
        <is>
          <t>Mild</t>
        </is>
      </c>
      <c r="G115" s="20" t="inlineStr">
        <is>
          <t>One step</t>
        </is>
      </c>
      <c r="H115" s="20" t="inlineStr">
        <is>
          <t xml:space="preserve">Pyrolysis </t>
        </is>
      </c>
      <c r="I115" s="20" t="inlineStr">
        <is>
          <t>No</t>
        </is>
      </c>
      <c r="J115" s="20" t="n">
        <v>180</v>
      </c>
      <c r="K115" s="20" t="n">
        <v>5</v>
      </c>
      <c r="L115" s="20" t="n">
        <v>1500</v>
      </c>
      <c r="M115" s="20" t="inlineStr">
        <is>
          <t>No</t>
        </is>
      </c>
      <c r="N115" s="20" t="inlineStr">
        <is>
          <t>No</t>
        </is>
      </c>
      <c r="O115" s="20" t="inlineStr">
        <is>
          <t>No</t>
        </is>
      </c>
      <c r="P115" s="20" t="n"/>
      <c r="Q115" s="20" t="inlineStr">
        <is>
          <t>No</t>
        </is>
      </c>
      <c r="R115" s="20" t="n">
        <v>7.39</v>
      </c>
      <c r="S115" s="20" t="n">
        <v>0.37</v>
      </c>
      <c r="T115" s="22" t="n">
        <v>0.61</v>
      </c>
      <c r="U115" s="20" t="n">
        <v>3.5</v>
      </c>
      <c r="V115" s="20" t="n">
        <v>1.7</v>
      </c>
      <c r="W115" s="20" t="n"/>
      <c r="X115" s="20" t="n">
        <v>98.34</v>
      </c>
      <c r="Y115" s="24" t="inlineStr">
        <is>
          <t>[29]</t>
        </is>
      </c>
    </row>
    <row r="116" ht="15" customHeight="1">
      <c r="A116" s="20" t="inlineStr">
        <is>
          <t>Waste cork</t>
        </is>
      </c>
      <c r="B116" s="21" t="inlineStr">
        <is>
          <t>Carbon (9.45M HCl + H2O)</t>
        </is>
      </c>
      <c r="C116" s="21" t="inlineStr">
        <is>
          <t>No wash</t>
        </is>
      </c>
      <c r="D116" s="21" t="inlineStr">
        <is>
          <t>No</t>
        </is>
      </c>
      <c r="E116" s="21" t="inlineStr">
        <is>
          <t>Acid wash</t>
        </is>
      </c>
      <c r="F116" s="21" t="inlineStr">
        <is>
          <t>Conc</t>
        </is>
      </c>
      <c r="G116" s="20" t="inlineStr">
        <is>
          <t>One step</t>
        </is>
      </c>
      <c r="H116" s="20" t="inlineStr">
        <is>
          <t xml:space="preserve">Pyrolysis </t>
        </is>
      </c>
      <c r="I116" s="20" t="inlineStr">
        <is>
          <t>No</t>
        </is>
      </c>
      <c r="J116" s="20" t="inlineStr">
        <is>
          <t>No</t>
        </is>
      </c>
      <c r="K116" s="20" t="n"/>
      <c r="L116" s="20" t="n">
        <v>800</v>
      </c>
      <c r="M116" s="20" t="inlineStr">
        <is>
          <t>No</t>
        </is>
      </c>
      <c r="N116" s="20" t="inlineStr">
        <is>
          <t>No</t>
        </is>
      </c>
      <c r="O116" s="20" t="inlineStr">
        <is>
          <t>No</t>
        </is>
      </c>
      <c r="P116" s="20" t="n"/>
      <c r="Q116" s="20" t="inlineStr">
        <is>
          <t>No</t>
        </is>
      </c>
      <c r="R116" s="20" t="n">
        <v>11.67</v>
      </c>
      <c r="S116" s="27" t="n">
        <v>0.403</v>
      </c>
      <c r="T116" s="22">
        <f>1/2.87</f>
        <v/>
      </c>
      <c r="U116" s="20" t="n">
        <v>6.7</v>
      </c>
      <c r="V116" s="20" t="n">
        <v>1.28</v>
      </c>
      <c r="W116" s="20" t="n">
        <v>0.013</v>
      </c>
      <c r="X116" s="20" t="n">
        <v>86.09999999999999</v>
      </c>
      <c r="Y116" s="24" t="inlineStr">
        <is>
          <t>[30]</t>
        </is>
      </c>
    </row>
    <row r="117" ht="15" customHeight="1">
      <c r="A117" s="20" t="inlineStr">
        <is>
          <t>Waste cork</t>
        </is>
      </c>
      <c r="B117" s="21" t="inlineStr">
        <is>
          <t>Carbon (9.45M HCl + H2O)</t>
        </is>
      </c>
      <c r="C117" s="21" t="inlineStr">
        <is>
          <t>No wash</t>
        </is>
      </c>
      <c r="D117" s="21" t="inlineStr">
        <is>
          <t>No</t>
        </is>
      </c>
      <c r="E117" s="21" t="inlineStr">
        <is>
          <t>Acid wash</t>
        </is>
      </c>
      <c r="F117" s="21" t="inlineStr">
        <is>
          <t>Conc</t>
        </is>
      </c>
      <c r="G117" s="20" t="inlineStr">
        <is>
          <t>One step</t>
        </is>
      </c>
      <c r="H117" s="20" t="inlineStr">
        <is>
          <t xml:space="preserve">Pyrolysis </t>
        </is>
      </c>
      <c r="I117" s="20" t="inlineStr">
        <is>
          <t>No</t>
        </is>
      </c>
      <c r="J117" s="20" t="inlineStr">
        <is>
          <t>No</t>
        </is>
      </c>
      <c r="K117" s="20" t="n"/>
      <c r="L117" s="20" t="n">
        <v>1200</v>
      </c>
      <c r="M117" s="20" t="inlineStr">
        <is>
          <t>No</t>
        </is>
      </c>
      <c r="N117" s="20" t="inlineStr">
        <is>
          <t>No</t>
        </is>
      </c>
      <c r="O117" s="20" t="inlineStr">
        <is>
          <t>No</t>
        </is>
      </c>
      <c r="P117" s="20" t="n"/>
      <c r="Q117" s="20" t="inlineStr">
        <is>
          <t>No</t>
        </is>
      </c>
      <c r="R117" s="20" t="n">
        <v>9.23</v>
      </c>
      <c r="S117" s="27" t="n">
        <v>0.397</v>
      </c>
      <c r="T117" s="22">
        <f>1/2.47</f>
        <v/>
      </c>
      <c r="U117" s="20" t="n">
        <v>7.8</v>
      </c>
      <c r="V117" s="20" t="n">
        <v>1.25</v>
      </c>
      <c r="W117" s="20" t="n">
        <v>0.014</v>
      </c>
      <c r="X117" s="20" t="n">
        <v>92.3</v>
      </c>
      <c r="Y117" s="24" t="inlineStr">
        <is>
          <t>[30]</t>
        </is>
      </c>
    </row>
    <row r="118" ht="15" customHeight="1">
      <c r="A118" s="20" t="inlineStr">
        <is>
          <t>Waste cork</t>
        </is>
      </c>
      <c r="B118" s="21" t="inlineStr">
        <is>
          <t>Carbon (9.45M HCl + H2O)</t>
        </is>
      </c>
      <c r="C118" s="21" t="inlineStr">
        <is>
          <t>No wash</t>
        </is>
      </c>
      <c r="D118" s="21" t="inlineStr">
        <is>
          <t>No</t>
        </is>
      </c>
      <c r="E118" s="21" t="inlineStr">
        <is>
          <t>Acid wash</t>
        </is>
      </c>
      <c r="F118" s="21" t="inlineStr">
        <is>
          <t>Conc</t>
        </is>
      </c>
      <c r="G118" s="20" t="inlineStr">
        <is>
          <t>One step</t>
        </is>
      </c>
      <c r="H118" s="20" t="inlineStr">
        <is>
          <t xml:space="preserve">Pyrolysis </t>
        </is>
      </c>
      <c r="I118" s="20" t="inlineStr">
        <is>
          <t>No</t>
        </is>
      </c>
      <c r="J118" s="20" t="inlineStr">
        <is>
          <t>No</t>
        </is>
      </c>
      <c r="K118" s="20" t="n"/>
      <c r="L118" s="20" t="n">
        <v>1400</v>
      </c>
      <c r="M118" s="20" t="inlineStr">
        <is>
          <t>No</t>
        </is>
      </c>
      <c r="N118" s="20" t="inlineStr">
        <is>
          <t>No</t>
        </is>
      </c>
      <c r="O118" s="20" t="inlineStr">
        <is>
          <t>No</t>
        </is>
      </c>
      <c r="P118" s="20" t="n"/>
      <c r="Q118" s="20" t="inlineStr">
        <is>
          <t>No</t>
        </is>
      </c>
      <c r="R118" s="20" t="n">
        <v>8.57</v>
      </c>
      <c r="S118" s="27" t="n">
        <v>0.392</v>
      </c>
      <c r="T118" s="22">
        <f>1/2.22</f>
        <v/>
      </c>
      <c r="U118" s="20" t="n">
        <v>8.66</v>
      </c>
      <c r="V118" s="20" t="n">
        <v>1.36</v>
      </c>
      <c r="W118" s="20" t="n">
        <v>0.011</v>
      </c>
      <c r="X118" s="20" t="n">
        <v>96.59999999999999</v>
      </c>
      <c r="Y118" s="24" t="inlineStr">
        <is>
          <t>[30]</t>
        </is>
      </c>
    </row>
    <row r="119" ht="15" customHeight="1">
      <c r="A119" s="20" t="inlineStr">
        <is>
          <t>Waste cork</t>
        </is>
      </c>
      <c r="B119" s="21" t="inlineStr">
        <is>
          <t>Carbon (9.45M HCl + H2O)</t>
        </is>
      </c>
      <c r="C119" s="21" t="inlineStr">
        <is>
          <t>No wash</t>
        </is>
      </c>
      <c r="D119" s="21" t="inlineStr">
        <is>
          <t>No</t>
        </is>
      </c>
      <c r="E119" s="21" t="inlineStr">
        <is>
          <t>Acid wash</t>
        </is>
      </c>
      <c r="F119" s="21" t="inlineStr">
        <is>
          <t>Conc</t>
        </is>
      </c>
      <c r="G119" s="20" t="inlineStr">
        <is>
          <t>One step</t>
        </is>
      </c>
      <c r="H119" s="20" t="inlineStr">
        <is>
          <t xml:space="preserve">Pyrolysis </t>
        </is>
      </c>
      <c r="I119" s="20" t="inlineStr">
        <is>
          <t>No</t>
        </is>
      </c>
      <c r="J119" s="20" t="inlineStr">
        <is>
          <t>No</t>
        </is>
      </c>
      <c r="K119" s="20" t="n"/>
      <c r="L119" s="20" t="n">
        <v>1600</v>
      </c>
      <c r="M119" s="20" t="inlineStr">
        <is>
          <t>No</t>
        </is>
      </c>
      <c r="N119" s="20" t="inlineStr">
        <is>
          <t>No</t>
        </is>
      </c>
      <c r="O119" s="20" t="inlineStr">
        <is>
          <t>No</t>
        </is>
      </c>
      <c r="P119" s="20" t="n"/>
      <c r="Q119" s="20" t="inlineStr">
        <is>
          <t>No</t>
        </is>
      </c>
      <c r="R119" s="20" t="n">
        <v>5.5</v>
      </c>
      <c r="S119" s="27" t="n">
        <v>0.376</v>
      </c>
      <c r="T119" s="22">
        <f>1/1.89</f>
        <v/>
      </c>
      <c r="U119" s="20" t="n">
        <v>10.17</v>
      </c>
      <c r="V119" s="20" t="n">
        <v>1.45</v>
      </c>
      <c r="W119" s="20" t="n">
        <v>0.015</v>
      </c>
      <c r="X119" s="20" t="n">
        <v>97.40000000000001</v>
      </c>
      <c r="Y119" s="24" t="inlineStr">
        <is>
          <t>[30]</t>
        </is>
      </c>
    </row>
    <row r="120" ht="15" customHeight="1">
      <c r="A120" s="20" t="inlineStr">
        <is>
          <t>Poplar wood</t>
        </is>
      </c>
      <c r="B120" s="21" t="inlineStr">
        <is>
          <t>No</t>
        </is>
      </c>
      <c r="C120" s="21" t="inlineStr">
        <is>
          <t>No wash</t>
        </is>
      </c>
      <c r="D120" s="21" t="inlineStr">
        <is>
          <t>No</t>
        </is>
      </c>
      <c r="E120" s="21" t="inlineStr">
        <is>
          <t>No wash</t>
        </is>
      </c>
      <c r="F120" s="21" t="inlineStr">
        <is>
          <t>No</t>
        </is>
      </c>
      <c r="G120" s="20" t="inlineStr">
        <is>
          <t>One step</t>
        </is>
      </c>
      <c r="H120" s="20" t="inlineStr">
        <is>
          <t xml:space="preserve">Pyrolysis </t>
        </is>
      </c>
      <c r="I120" s="20" t="inlineStr">
        <is>
          <t>No</t>
        </is>
      </c>
      <c r="J120" s="20" t="n">
        <v>120</v>
      </c>
      <c r="K120" s="20" t="n"/>
      <c r="L120" s="20" t="n">
        <v>1000</v>
      </c>
      <c r="M120" s="20" t="inlineStr">
        <is>
          <t>No</t>
        </is>
      </c>
      <c r="N120" s="20" t="inlineStr">
        <is>
          <t>No</t>
        </is>
      </c>
      <c r="O120" s="20" t="inlineStr">
        <is>
          <t>No</t>
        </is>
      </c>
      <c r="P120" s="20" t="n"/>
      <c r="Q120" s="20" t="inlineStr">
        <is>
          <t>No</t>
        </is>
      </c>
      <c r="R120" s="20" t="n">
        <v>5.8</v>
      </c>
      <c r="S120" s="20" t="n"/>
      <c r="T120" s="22" t="n"/>
      <c r="U120" s="20" t="n"/>
      <c r="V120" s="20" t="n"/>
      <c r="W120" s="20" t="n"/>
      <c r="X120" s="20" t="n"/>
      <c r="Y120" s="24" t="inlineStr">
        <is>
          <t>[31]</t>
        </is>
      </c>
    </row>
    <row r="121" ht="15" customHeight="1">
      <c r="A121" s="20" t="inlineStr">
        <is>
          <t>Poplar wood</t>
        </is>
      </c>
      <c r="B121" s="21" t="inlineStr">
        <is>
          <t>No</t>
        </is>
      </c>
      <c r="C121" s="21" t="inlineStr">
        <is>
          <t>No wash</t>
        </is>
      </c>
      <c r="D121" s="21" t="inlineStr">
        <is>
          <t>No</t>
        </is>
      </c>
      <c r="E121" s="21" t="inlineStr">
        <is>
          <t>No wash</t>
        </is>
      </c>
      <c r="F121" s="21" t="inlineStr">
        <is>
          <t>No</t>
        </is>
      </c>
      <c r="G121" s="20" t="inlineStr">
        <is>
          <t>One step</t>
        </is>
      </c>
      <c r="H121" s="20" t="inlineStr">
        <is>
          <t xml:space="preserve">Pyrolysis </t>
        </is>
      </c>
      <c r="I121" s="20" t="inlineStr">
        <is>
          <t>No</t>
        </is>
      </c>
      <c r="J121" s="20" t="n">
        <v>120</v>
      </c>
      <c r="K121" s="20" t="n"/>
      <c r="L121" s="20" t="n">
        <v>1200</v>
      </c>
      <c r="M121" s="20" t="inlineStr">
        <is>
          <t>No</t>
        </is>
      </c>
      <c r="N121" s="20" t="inlineStr">
        <is>
          <t>No</t>
        </is>
      </c>
      <c r="O121" s="20" t="inlineStr">
        <is>
          <t>No</t>
        </is>
      </c>
      <c r="P121" s="20" t="n"/>
      <c r="Q121" s="20" t="inlineStr">
        <is>
          <t>No</t>
        </is>
      </c>
      <c r="R121" s="20" t="n">
        <v>5.8</v>
      </c>
      <c r="S121" s="20" t="n"/>
      <c r="T121" s="22" t="n"/>
      <c r="U121" s="20" t="n"/>
      <c r="V121" s="20" t="n"/>
      <c r="W121" s="20" t="n"/>
      <c r="X121" s="20" t="n"/>
      <c r="Y121" s="24" t="inlineStr">
        <is>
          <t>[31]</t>
        </is>
      </c>
    </row>
    <row r="122" ht="15" customHeight="1">
      <c r="A122" s="20" t="inlineStr">
        <is>
          <t>Poplar wood</t>
        </is>
      </c>
      <c r="B122" s="21" t="inlineStr">
        <is>
          <t>No</t>
        </is>
      </c>
      <c r="C122" s="21" t="inlineStr">
        <is>
          <t>No wash</t>
        </is>
      </c>
      <c r="D122" s="21" t="inlineStr">
        <is>
          <t>No</t>
        </is>
      </c>
      <c r="E122" s="21" t="inlineStr">
        <is>
          <t>No wash</t>
        </is>
      </c>
      <c r="F122" s="21" t="inlineStr">
        <is>
          <t>No</t>
        </is>
      </c>
      <c r="G122" s="20" t="inlineStr">
        <is>
          <t>One step</t>
        </is>
      </c>
      <c r="H122" s="20" t="inlineStr">
        <is>
          <t xml:space="preserve">Pyrolysis </t>
        </is>
      </c>
      <c r="I122" s="20" t="inlineStr">
        <is>
          <t>No</t>
        </is>
      </c>
      <c r="J122" s="20" t="n">
        <v>120</v>
      </c>
      <c r="K122" s="20" t="n"/>
      <c r="L122" s="20" t="n">
        <v>1400</v>
      </c>
      <c r="M122" s="20" t="inlineStr">
        <is>
          <t>No</t>
        </is>
      </c>
      <c r="N122" s="20" t="inlineStr">
        <is>
          <t>No</t>
        </is>
      </c>
      <c r="O122" s="20" t="inlineStr">
        <is>
          <t>No</t>
        </is>
      </c>
      <c r="P122" s="20" t="n"/>
      <c r="Q122" s="20" t="inlineStr">
        <is>
          <t>No</t>
        </is>
      </c>
      <c r="R122" s="20" t="n">
        <v>5.8</v>
      </c>
      <c r="S122" s="20" t="n"/>
      <c r="T122" s="22" t="n"/>
      <c r="U122" s="20" t="n"/>
      <c r="V122" s="20" t="n"/>
      <c r="W122" s="20" t="n"/>
      <c r="X122" s="20" t="n"/>
      <c r="Y122" s="24" t="inlineStr">
        <is>
          <t>[31]</t>
        </is>
      </c>
    </row>
    <row r="123" ht="15" customHeight="1">
      <c r="A123" s="20" t="inlineStr">
        <is>
          <t>Poplar wood</t>
        </is>
      </c>
      <c r="B123" s="21" t="inlineStr">
        <is>
          <t>No</t>
        </is>
      </c>
      <c r="C123" s="21" t="inlineStr">
        <is>
          <t>No wash</t>
        </is>
      </c>
      <c r="D123" s="21" t="inlineStr">
        <is>
          <t>No</t>
        </is>
      </c>
      <c r="E123" s="21" t="inlineStr">
        <is>
          <t>No wash</t>
        </is>
      </c>
      <c r="F123" s="21" t="inlineStr">
        <is>
          <t>No</t>
        </is>
      </c>
      <c r="G123" s="20" t="inlineStr">
        <is>
          <t>One step</t>
        </is>
      </c>
      <c r="H123" s="20" t="inlineStr">
        <is>
          <t xml:space="preserve">Pyrolysis </t>
        </is>
      </c>
      <c r="I123" s="20" t="inlineStr">
        <is>
          <t>No</t>
        </is>
      </c>
      <c r="J123" s="20" t="n">
        <v>120</v>
      </c>
      <c r="K123" s="20" t="n"/>
      <c r="L123" s="20" t="n">
        <v>1600</v>
      </c>
      <c r="M123" s="20" t="inlineStr">
        <is>
          <t>No</t>
        </is>
      </c>
      <c r="N123" s="20" t="inlineStr">
        <is>
          <t>No</t>
        </is>
      </c>
      <c r="O123" s="20" t="inlineStr">
        <is>
          <t>No</t>
        </is>
      </c>
      <c r="P123" s="20" t="n"/>
      <c r="Q123" s="20" t="inlineStr">
        <is>
          <t>No</t>
        </is>
      </c>
      <c r="R123" s="20" t="n">
        <v>5.8</v>
      </c>
      <c r="S123" s="20" t="n"/>
      <c r="T123" s="22" t="n"/>
      <c r="U123" s="20" t="n"/>
      <c r="V123" s="20" t="n"/>
      <c r="W123" s="20" t="n"/>
      <c r="X123" s="20" t="n"/>
      <c r="Y123" s="24" t="inlineStr">
        <is>
          <t>[31]</t>
        </is>
      </c>
    </row>
    <row r="124" ht="15" customHeight="1">
      <c r="A124" s="20" t="inlineStr">
        <is>
          <t>Lotus seedpod</t>
        </is>
      </c>
      <c r="B124" s="21" t="inlineStr">
        <is>
          <t>Biomass (H2O) / Carbon (1M HCl + H2O)</t>
        </is>
      </c>
      <c r="C124" s="21" t="inlineStr">
        <is>
          <t>Water wash</t>
        </is>
      </c>
      <c r="D124" s="21" t="inlineStr">
        <is>
          <t>No</t>
        </is>
      </c>
      <c r="E124" s="21" t="inlineStr">
        <is>
          <t>Acid wash</t>
        </is>
      </c>
      <c r="F124" s="21" t="inlineStr">
        <is>
          <t>Mild</t>
        </is>
      </c>
      <c r="G124" s="20" t="inlineStr">
        <is>
          <t>One step</t>
        </is>
      </c>
      <c r="H124" s="20" t="inlineStr">
        <is>
          <t xml:space="preserve">Pyrolysis </t>
        </is>
      </c>
      <c r="I124" s="20" t="inlineStr">
        <is>
          <t>No</t>
        </is>
      </c>
      <c r="J124" s="20" t="n">
        <v>120</v>
      </c>
      <c r="K124" s="20" t="n"/>
      <c r="L124" s="20" t="n">
        <v>1000</v>
      </c>
      <c r="M124" s="20" t="inlineStr">
        <is>
          <t>No</t>
        </is>
      </c>
      <c r="N124" s="20" t="inlineStr">
        <is>
          <t>No</t>
        </is>
      </c>
      <c r="O124" s="20" t="inlineStr">
        <is>
          <t>No</t>
        </is>
      </c>
      <c r="P124" s="20" t="n"/>
      <c r="Q124" s="20" t="inlineStr">
        <is>
          <t>No</t>
        </is>
      </c>
      <c r="R124" s="20" t="n">
        <v>751.6</v>
      </c>
      <c r="S124" s="20" t="n">
        <v>0.391</v>
      </c>
      <c r="T124" s="22">
        <f>1/2.45</f>
        <v/>
      </c>
      <c r="U124" s="20" t="n"/>
      <c r="V124" s="20" t="n"/>
      <c r="W124" s="20" t="n">
        <v>0.233</v>
      </c>
      <c r="X124" s="20" t="n"/>
      <c r="Y124" s="24" t="inlineStr">
        <is>
          <t>[32]</t>
        </is>
      </c>
    </row>
    <row r="125" ht="15" customHeight="1">
      <c r="A125" s="20" t="inlineStr">
        <is>
          <t>Lotus seedpod</t>
        </is>
      </c>
      <c r="B125" s="21" t="inlineStr">
        <is>
          <t>Biomass (H2O) / Carbon (1M HCl + H2O)</t>
        </is>
      </c>
      <c r="C125" s="21" t="inlineStr">
        <is>
          <t>Water wash</t>
        </is>
      </c>
      <c r="D125" s="21" t="inlineStr">
        <is>
          <t>No</t>
        </is>
      </c>
      <c r="E125" s="21" t="inlineStr">
        <is>
          <t>Acid wash</t>
        </is>
      </c>
      <c r="F125" s="21" t="inlineStr">
        <is>
          <t>Mild</t>
        </is>
      </c>
      <c r="G125" s="20" t="inlineStr">
        <is>
          <t>One step</t>
        </is>
      </c>
      <c r="H125" s="20" t="inlineStr">
        <is>
          <t xml:space="preserve">Pyrolysis </t>
        </is>
      </c>
      <c r="I125" s="20" t="inlineStr">
        <is>
          <t>No</t>
        </is>
      </c>
      <c r="J125" s="20" t="n">
        <v>120</v>
      </c>
      <c r="K125" s="20" t="n"/>
      <c r="L125" s="20" t="n">
        <v>1200</v>
      </c>
      <c r="M125" s="20" t="inlineStr">
        <is>
          <t>No</t>
        </is>
      </c>
      <c r="N125" s="20" t="inlineStr">
        <is>
          <t>No</t>
        </is>
      </c>
      <c r="O125" s="20" t="inlineStr">
        <is>
          <t>No</t>
        </is>
      </c>
      <c r="P125" s="20" t="n"/>
      <c r="Q125" s="20" t="inlineStr">
        <is>
          <t>No</t>
        </is>
      </c>
      <c r="R125" s="20" t="n">
        <v>140.7</v>
      </c>
      <c r="S125" s="20" t="n">
        <v>0.386</v>
      </c>
      <c r="T125" s="22">
        <f>1/2.03</f>
        <v/>
      </c>
      <c r="U125" s="20" t="n"/>
      <c r="V125" s="20" t="n"/>
      <c r="W125" s="20" t="n">
        <v>0.055</v>
      </c>
      <c r="X125" s="20" t="n"/>
      <c r="Y125" s="24" t="inlineStr">
        <is>
          <t>[32]</t>
        </is>
      </c>
    </row>
    <row r="126" ht="15" customHeight="1">
      <c r="A126" s="20" t="inlineStr">
        <is>
          <t>Lotus seedpod</t>
        </is>
      </c>
      <c r="B126" s="21" t="inlineStr">
        <is>
          <t>Biomass (H2O) / Carbon (1M HCl + H2O)</t>
        </is>
      </c>
      <c r="C126" s="21" t="inlineStr">
        <is>
          <t>Water wash</t>
        </is>
      </c>
      <c r="D126" s="21" t="inlineStr">
        <is>
          <t>No</t>
        </is>
      </c>
      <c r="E126" s="21" t="inlineStr">
        <is>
          <t>Acid wash</t>
        </is>
      </c>
      <c r="F126" s="21" t="inlineStr">
        <is>
          <t>Mild</t>
        </is>
      </c>
      <c r="G126" s="20" t="inlineStr">
        <is>
          <t>One step</t>
        </is>
      </c>
      <c r="H126" s="20" t="inlineStr">
        <is>
          <t xml:space="preserve">Pyrolysis </t>
        </is>
      </c>
      <c r="I126" s="20" t="inlineStr">
        <is>
          <t>No</t>
        </is>
      </c>
      <c r="J126" s="20" t="n">
        <v>120</v>
      </c>
      <c r="K126" s="20" t="n"/>
      <c r="L126" s="20" t="n">
        <v>1400</v>
      </c>
      <c r="M126" s="20" t="inlineStr">
        <is>
          <t>No</t>
        </is>
      </c>
      <c r="N126" s="20" t="inlineStr">
        <is>
          <t>No</t>
        </is>
      </c>
      <c r="O126" s="20" t="inlineStr">
        <is>
          <t>No</t>
        </is>
      </c>
      <c r="P126" s="20" t="n"/>
      <c r="Q126" s="20" t="inlineStr">
        <is>
          <t>No</t>
        </is>
      </c>
      <c r="R126" s="20" t="n">
        <v>108.8</v>
      </c>
      <c r="S126" s="20" t="n">
        <v>0.37</v>
      </c>
      <c r="T126" s="22">
        <f>1/1.79</f>
        <v/>
      </c>
      <c r="U126" s="20" t="n"/>
      <c r="V126" s="20" t="n"/>
      <c r="W126" s="20" t="n">
        <v>0.041</v>
      </c>
      <c r="X126" s="20" t="n"/>
      <c r="Y126" s="24" t="inlineStr">
        <is>
          <t>[32]</t>
        </is>
      </c>
    </row>
    <row r="127" ht="15" customHeight="1">
      <c r="A127" s="20" t="inlineStr">
        <is>
          <t>Eucalyptus</t>
        </is>
      </c>
      <c r="B127" s="21" t="inlineStr">
        <is>
          <t>No</t>
        </is>
      </c>
      <c r="C127" s="21" t="inlineStr">
        <is>
          <t>No wash</t>
        </is>
      </c>
      <c r="D127" s="21" t="inlineStr">
        <is>
          <t>No</t>
        </is>
      </c>
      <c r="E127" s="21" t="inlineStr">
        <is>
          <t>No wash</t>
        </is>
      </c>
      <c r="F127" s="21" t="inlineStr">
        <is>
          <t>No</t>
        </is>
      </c>
      <c r="G127" s="20" t="inlineStr">
        <is>
          <t>One step</t>
        </is>
      </c>
      <c r="H127" s="20" t="inlineStr">
        <is>
          <t xml:space="preserve">Pyrolysis </t>
        </is>
      </c>
      <c r="I127" s="20" t="inlineStr">
        <is>
          <t>No</t>
        </is>
      </c>
      <c r="J127" s="20" t="inlineStr">
        <is>
          <t>No</t>
        </is>
      </c>
      <c r="K127" s="20" t="n"/>
      <c r="L127" s="20" t="n">
        <v>1000</v>
      </c>
      <c r="M127" s="20" t="inlineStr">
        <is>
          <t>No</t>
        </is>
      </c>
      <c r="N127" s="20" t="inlineStr">
        <is>
          <t>No</t>
        </is>
      </c>
      <c r="O127" s="20" t="inlineStr">
        <is>
          <t>No</t>
        </is>
      </c>
      <c r="P127" s="20" t="n"/>
      <c r="Q127" s="20" t="inlineStr">
        <is>
          <t>No</t>
        </is>
      </c>
      <c r="R127" s="20" t="inlineStr">
        <is>
          <t>n/a</t>
        </is>
      </c>
      <c r="S127" s="26" t="n">
        <v>0.376</v>
      </c>
      <c r="T127" s="22" t="n">
        <v>1.32</v>
      </c>
      <c r="U127" s="20" t="n"/>
      <c r="V127" s="20" t="n"/>
      <c r="W127" s="20" t="n">
        <v>0.119</v>
      </c>
      <c r="X127" s="20" t="n">
        <v>97.68000000000001</v>
      </c>
      <c r="Y127" s="24" t="inlineStr">
        <is>
          <t>[33]</t>
        </is>
      </c>
    </row>
    <row r="128" ht="15" customHeight="1">
      <c r="A128" s="20" t="inlineStr">
        <is>
          <t>Eucalyptus</t>
        </is>
      </c>
      <c r="B128" s="21" t="inlineStr">
        <is>
          <t>No</t>
        </is>
      </c>
      <c r="C128" s="21" t="inlineStr">
        <is>
          <t>No wash</t>
        </is>
      </c>
      <c r="D128" s="21" t="inlineStr">
        <is>
          <t>No</t>
        </is>
      </c>
      <c r="E128" s="21" t="inlineStr">
        <is>
          <t>No wash</t>
        </is>
      </c>
      <c r="F128" s="21" t="inlineStr">
        <is>
          <t>No</t>
        </is>
      </c>
      <c r="G128" s="20" t="inlineStr">
        <is>
          <t>One step</t>
        </is>
      </c>
      <c r="H128" s="20" t="inlineStr">
        <is>
          <t xml:space="preserve">Pyrolysis </t>
        </is>
      </c>
      <c r="I128" s="20" t="inlineStr">
        <is>
          <t>No</t>
        </is>
      </c>
      <c r="J128" s="20" t="inlineStr">
        <is>
          <t>No</t>
        </is>
      </c>
      <c r="K128" s="20" t="n"/>
      <c r="L128" s="20" t="n">
        <v>1200</v>
      </c>
      <c r="M128" s="20" t="inlineStr">
        <is>
          <t>No</t>
        </is>
      </c>
      <c r="N128" s="20" t="inlineStr">
        <is>
          <t>No</t>
        </is>
      </c>
      <c r="O128" s="20" t="inlineStr">
        <is>
          <t>No</t>
        </is>
      </c>
      <c r="P128" s="20" t="n"/>
      <c r="Q128" s="20" t="inlineStr">
        <is>
          <t>No</t>
        </is>
      </c>
      <c r="R128" s="20" t="inlineStr">
        <is>
          <t>n/a</t>
        </is>
      </c>
      <c r="S128" s="26" t="n">
        <v>0.375</v>
      </c>
      <c r="T128" s="22" t="n">
        <v>1.08</v>
      </c>
      <c r="U128" s="20" t="n"/>
      <c r="V128" s="20" t="n"/>
      <c r="W128" s="20" t="n">
        <v>0.066</v>
      </c>
      <c r="X128" s="20" t="n"/>
      <c r="Y128" s="24" t="inlineStr">
        <is>
          <t>[33]</t>
        </is>
      </c>
    </row>
    <row r="129" ht="15" customHeight="1">
      <c r="A129" s="20" t="inlineStr">
        <is>
          <t>Eucalyptus</t>
        </is>
      </c>
      <c r="B129" s="21" t="inlineStr">
        <is>
          <t>No</t>
        </is>
      </c>
      <c r="C129" s="21" t="inlineStr">
        <is>
          <t>No wash</t>
        </is>
      </c>
      <c r="D129" s="21" t="inlineStr">
        <is>
          <t>No</t>
        </is>
      </c>
      <c r="E129" s="21" t="inlineStr">
        <is>
          <t>No wash</t>
        </is>
      </c>
      <c r="F129" s="21" t="inlineStr">
        <is>
          <t>No</t>
        </is>
      </c>
      <c r="G129" s="20" t="inlineStr">
        <is>
          <t>One step</t>
        </is>
      </c>
      <c r="H129" s="20" t="inlineStr">
        <is>
          <t xml:space="preserve">Pyrolysis </t>
        </is>
      </c>
      <c r="I129" s="20" t="inlineStr">
        <is>
          <t>No</t>
        </is>
      </c>
      <c r="J129" s="20" t="inlineStr">
        <is>
          <t>No</t>
        </is>
      </c>
      <c r="K129" s="20" t="n"/>
      <c r="L129" s="20" t="n">
        <v>1400</v>
      </c>
      <c r="M129" s="20" t="inlineStr">
        <is>
          <t>No</t>
        </is>
      </c>
      <c r="N129" s="20" t="inlineStr">
        <is>
          <t>No</t>
        </is>
      </c>
      <c r="O129" s="20" t="inlineStr">
        <is>
          <t>No</t>
        </is>
      </c>
      <c r="P129" s="20" t="n"/>
      <c r="Q129" s="20" t="inlineStr">
        <is>
          <t>No</t>
        </is>
      </c>
      <c r="R129" s="20" t="inlineStr">
        <is>
          <t>n/a</t>
        </is>
      </c>
      <c r="S129" s="26" t="n">
        <v>0.37</v>
      </c>
      <c r="T129" s="22" t="n">
        <v>1.02</v>
      </c>
      <c r="U129" s="20" t="n"/>
      <c r="V129" s="20" t="n"/>
      <c r="W129" s="20" t="n">
        <v>0.068</v>
      </c>
      <c r="X129" s="20" t="n"/>
      <c r="Y129" s="24" t="inlineStr">
        <is>
          <t>[33]</t>
        </is>
      </c>
    </row>
    <row r="130" ht="15" customHeight="1">
      <c r="A130" s="20" t="inlineStr">
        <is>
          <t>Eucalyptus</t>
        </is>
      </c>
      <c r="B130" s="21" t="inlineStr">
        <is>
          <t>No</t>
        </is>
      </c>
      <c r="C130" s="21" t="inlineStr">
        <is>
          <t>No wash</t>
        </is>
      </c>
      <c r="D130" s="21" t="inlineStr">
        <is>
          <t>No</t>
        </is>
      </c>
      <c r="E130" s="21" t="inlineStr">
        <is>
          <t>No wash</t>
        </is>
      </c>
      <c r="F130" s="21" t="inlineStr">
        <is>
          <t>No</t>
        </is>
      </c>
      <c r="G130" s="20" t="inlineStr">
        <is>
          <t>One step</t>
        </is>
      </c>
      <c r="H130" s="20" t="inlineStr">
        <is>
          <t xml:space="preserve">Pyrolysis </t>
        </is>
      </c>
      <c r="I130" s="20" t="inlineStr">
        <is>
          <t>No</t>
        </is>
      </c>
      <c r="J130" s="20" t="inlineStr">
        <is>
          <t>No</t>
        </is>
      </c>
      <c r="K130" s="20" t="n"/>
      <c r="L130" s="20" t="n">
        <v>1600</v>
      </c>
      <c r="M130" s="20" t="inlineStr">
        <is>
          <t>No</t>
        </is>
      </c>
      <c r="N130" s="20" t="inlineStr">
        <is>
          <t>No</t>
        </is>
      </c>
      <c r="O130" s="20" t="inlineStr">
        <is>
          <t>No</t>
        </is>
      </c>
      <c r="P130" s="20" t="n"/>
      <c r="Q130" s="20" t="inlineStr">
        <is>
          <t>No</t>
        </is>
      </c>
      <c r="R130" s="20" t="inlineStr">
        <is>
          <t>n/a</t>
        </is>
      </c>
      <c r="S130" s="26" t="n">
        <v>0.365</v>
      </c>
      <c r="T130" s="22" t="n">
        <v>1</v>
      </c>
      <c r="U130" s="20" t="n"/>
      <c r="V130" s="20" t="n"/>
      <c r="W130" s="20" t="n">
        <v>0.059</v>
      </c>
      <c r="X130" s="20" t="n"/>
      <c r="Y130" s="24" t="inlineStr">
        <is>
          <t>[33]</t>
        </is>
      </c>
    </row>
    <row r="131" ht="15" customHeight="1">
      <c r="A131" s="20" t="inlineStr">
        <is>
          <t>Fir wood</t>
        </is>
      </c>
      <c r="B131" s="21" t="inlineStr">
        <is>
          <t>No</t>
        </is>
      </c>
      <c r="C131" s="21" t="inlineStr">
        <is>
          <t>No wash</t>
        </is>
      </c>
      <c r="D131" s="21" t="inlineStr">
        <is>
          <t>No</t>
        </is>
      </c>
      <c r="E131" s="21" t="inlineStr">
        <is>
          <t>No wash</t>
        </is>
      </c>
      <c r="F131" s="21" t="inlineStr">
        <is>
          <t>No</t>
        </is>
      </c>
      <c r="G131" s="20" t="inlineStr">
        <is>
          <t>One step</t>
        </is>
      </c>
      <c r="H131" s="20" t="inlineStr">
        <is>
          <t xml:space="preserve">Pyrolysis </t>
        </is>
      </c>
      <c r="I131" s="20" t="inlineStr">
        <is>
          <t>No</t>
        </is>
      </c>
      <c r="J131" s="20" t="n">
        <v>480</v>
      </c>
      <c r="K131" s="20" t="n">
        <v>10</v>
      </c>
      <c r="L131" s="20" t="n">
        <v>1100</v>
      </c>
      <c r="M131" s="20" t="inlineStr">
        <is>
          <t>No</t>
        </is>
      </c>
      <c r="N131" s="20" t="inlineStr">
        <is>
          <t>No</t>
        </is>
      </c>
      <c r="O131" s="20" t="inlineStr">
        <is>
          <t>No</t>
        </is>
      </c>
      <c r="P131" s="20" t="n"/>
      <c r="Q131" s="20" t="inlineStr">
        <is>
          <t>No</t>
        </is>
      </c>
      <c r="R131" s="20" t="n">
        <v>42.9</v>
      </c>
      <c r="S131" s="20" t="n">
        <v>0.383</v>
      </c>
      <c r="T131" s="22" t="n">
        <v>0.62</v>
      </c>
      <c r="U131" s="20" t="n">
        <v>3.07</v>
      </c>
      <c r="V131" s="20" t="n">
        <v>1.03</v>
      </c>
      <c r="W131" s="20" t="n">
        <v>0.08599999999999999</v>
      </c>
      <c r="X131" s="20" t="n">
        <v>94.08</v>
      </c>
      <c r="Y131" s="24" t="inlineStr">
        <is>
          <t>[34]</t>
        </is>
      </c>
    </row>
    <row r="132" ht="15" customHeight="1">
      <c r="A132" s="20" t="inlineStr">
        <is>
          <t>Fir wood</t>
        </is>
      </c>
      <c r="B132" s="21" t="inlineStr">
        <is>
          <t>No</t>
        </is>
      </c>
      <c r="C132" s="21" t="inlineStr">
        <is>
          <t>No wash</t>
        </is>
      </c>
      <c r="D132" s="21" t="inlineStr">
        <is>
          <t>No</t>
        </is>
      </c>
      <c r="E132" s="21" t="inlineStr">
        <is>
          <t>No wash</t>
        </is>
      </c>
      <c r="F132" s="21" t="inlineStr">
        <is>
          <t>No</t>
        </is>
      </c>
      <c r="G132" s="20" t="inlineStr">
        <is>
          <t>One step</t>
        </is>
      </c>
      <c r="H132" s="20" t="inlineStr">
        <is>
          <t xml:space="preserve">Pyrolysis </t>
        </is>
      </c>
      <c r="I132" s="20" t="inlineStr">
        <is>
          <t>No</t>
        </is>
      </c>
      <c r="J132" s="20" t="n">
        <v>480</v>
      </c>
      <c r="K132" s="20" t="n">
        <v>10</v>
      </c>
      <c r="L132" s="20" t="n">
        <v>1300</v>
      </c>
      <c r="M132" s="20" t="inlineStr">
        <is>
          <t>No</t>
        </is>
      </c>
      <c r="N132" s="20" t="inlineStr">
        <is>
          <t>No</t>
        </is>
      </c>
      <c r="O132" s="20" t="inlineStr">
        <is>
          <t>No</t>
        </is>
      </c>
      <c r="P132" s="20" t="n"/>
      <c r="Q132" s="20" t="inlineStr">
        <is>
          <t>No</t>
        </is>
      </c>
      <c r="R132" s="20" t="n">
        <v>23.7</v>
      </c>
      <c r="S132" s="20" t="n">
        <v>0.377</v>
      </c>
      <c r="T132" s="22" t="n">
        <v>0.66</v>
      </c>
      <c r="U132" s="20" t="n">
        <v>3.53</v>
      </c>
      <c r="V132" s="20" t="n">
        <v>1.11</v>
      </c>
      <c r="W132" s="20" t="n">
        <v>0.045</v>
      </c>
      <c r="X132" s="20" t="n">
        <v>95.59</v>
      </c>
      <c r="Y132" s="24" t="inlineStr">
        <is>
          <t>[34]</t>
        </is>
      </c>
    </row>
    <row r="133" ht="15" customHeight="1">
      <c r="A133" s="20" t="inlineStr">
        <is>
          <t>Fir wood</t>
        </is>
      </c>
      <c r="B133" s="21" t="inlineStr">
        <is>
          <t>No</t>
        </is>
      </c>
      <c r="C133" s="21" t="inlineStr">
        <is>
          <t>No wash</t>
        </is>
      </c>
      <c r="D133" s="21" t="inlineStr">
        <is>
          <t>No</t>
        </is>
      </c>
      <c r="E133" s="21" t="inlineStr">
        <is>
          <t>No wash</t>
        </is>
      </c>
      <c r="F133" s="21" t="inlineStr">
        <is>
          <t>No</t>
        </is>
      </c>
      <c r="G133" s="20" t="inlineStr">
        <is>
          <t>One step</t>
        </is>
      </c>
      <c r="H133" s="20" t="inlineStr">
        <is>
          <t xml:space="preserve">Pyrolysis </t>
        </is>
      </c>
      <c r="I133" s="20" t="inlineStr">
        <is>
          <t>No</t>
        </is>
      </c>
      <c r="J133" s="20" t="n">
        <v>480</v>
      </c>
      <c r="K133" s="20" t="n">
        <v>10</v>
      </c>
      <c r="L133" s="20" t="n">
        <v>1500</v>
      </c>
      <c r="M133" s="20" t="inlineStr">
        <is>
          <t>No</t>
        </is>
      </c>
      <c r="N133" s="20" t="inlineStr">
        <is>
          <t>No</t>
        </is>
      </c>
      <c r="O133" s="20" t="inlineStr">
        <is>
          <t>No</t>
        </is>
      </c>
      <c r="P133" s="20" t="n"/>
      <c r="Q133" s="20" t="inlineStr">
        <is>
          <t>No</t>
        </is>
      </c>
      <c r="R133" s="20" t="n">
        <v>20.4</v>
      </c>
      <c r="S133" s="20" t="n">
        <v>0.375</v>
      </c>
      <c r="T133" s="22" t="n">
        <v>0.67</v>
      </c>
      <c r="U133" s="20" t="n">
        <v>3.55</v>
      </c>
      <c r="V133" s="20" t="n">
        <v>1.14</v>
      </c>
      <c r="W133" s="20" t="n">
        <v>0.049</v>
      </c>
      <c r="X133" s="20" t="n">
        <v>99.97</v>
      </c>
      <c r="Y133" s="24" t="inlineStr">
        <is>
          <t>[34]</t>
        </is>
      </c>
    </row>
    <row r="134" ht="15" customHeight="1">
      <c r="A134" s="4" t="inlineStr">
        <is>
          <t>Asparagus peel</t>
        </is>
      </c>
      <c r="B134" s="5" t="inlineStr">
        <is>
          <t>No</t>
        </is>
      </c>
      <c r="C134" s="5" t="inlineStr">
        <is>
          <t>No wash</t>
        </is>
      </c>
      <c r="D134" s="5" t="inlineStr">
        <is>
          <t>No wash</t>
        </is>
      </c>
      <c r="E134" s="5" t="inlineStr">
        <is>
          <t>No wash</t>
        </is>
      </c>
      <c r="F134" s="5" t="inlineStr">
        <is>
          <t>No wash</t>
        </is>
      </c>
      <c r="G134" s="4" t="inlineStr">
        <is>
          <t>One step</t>
        </is>
      </c>
      <c r="H134" s="4" t="inlineStr">
        <is>
          <t>Pyrolysis</t>
        </is>
      </c>
      <c r="I134" s="4" t="inlineStr">
        <is>
          <t>No</t>
        </is>
      </c>
      <c r="J134" s="4" t="n">
        <v>60</v>
      </c>
      <c r="K134" s="4" t="n">
        <v>5</v>
      </c>
      <c r="L134" s="4" t="n">
        <v>1300</v>
      </c>
      <c r="M134" s="4" t="inlineStr">
        <is>
          <t>No</t>
        </is>
      </c>
      <c r="N134" s="4" t="inlineStr">
        <is>
          <t>No</t>
        </is>
      </c>
      <c r="O134" s="4" t="inlineStr">
        <is>
          <t>No</t>
        </is>
      </c>
      <c r="P134" s="4" t="inlineStr">
        <is>
          <t>No</t>
        </is>
      </c>
      <c r="Q134" s="4" t="inlineStr">
        <is>
          <t>No</t>
        </is>
      </c>
      <c r="R134" s="4" t="n">
        <v>7</v>
      </c>
      <c r="S134" s="4" t="n">
        <v>0.382</v>
      </c>
      <c r="T134" s="23">
        <f>1/2.2</f>
        <v/>
      </c>
      <c r="U134" s="4" t="n"/>
      <c r="V134" s="4" t="n"/>
      <c r="W134" s="4" t="n">
        <v>0.01</v>
      </c>
      <c r="X134" s="4" t="n">
        <v>87.5</v>
      </c>
      <c r="Y134" s="29" t="inlineStr">
        <is>
          <t>[34]</t>
        </is>
      </c>
    </row>
    <row r="135" ht="15" customHeight="1">
      <c r="A135" s="4" t="inlineStr">
        <is>
          <t>Asparagus peel</t>
        </is>
      </c>
      <c r="B135" s="5" t="inlineStr">
        <is>
          <t>18.5% HCl</t>
        </is>
      </c>
      <c r="C135" s="5" t="inlineStr">
        <is>
          <t>Acid wash</t>
        </is>
      </c>
      <c r="D135" s="5" t="inlineStr">
        <is>
          <t>Mild</t>
        </is>
      </c>
      <c r="E135" s="5" t="inlineStr">
        <is>
          <t>No wash</t>
        </is>
      </c>
      <c r="F135" s="5" t="inlineStr">
        <is>
          <t>No wash</t>
        </is>
      </c>
      <c r="G135" s="4" t="inlineStr">
        <is>
          <t>One step</t>
        </is>
      </c>
      <c r="H135" s="4" t="inlineStr">
        <is>
          <t>Pyrolysis</t>
        </is>
      </c>
      <c r="I135" s="4" t="inlineStr">
        <is>
          <t>No</t>
        </is>
      </c>
      <c r="J135" s="4" t="n">
        <v>60</v>
      </c>
      <c r="K135" s="4" t="n">
        <v>5</v>
      </c>
      <c r="L135" s="4" t="n">
        <v>1300</v>
      </c>
      <c r="M135" s="4" t="inlineStr">
        <is>
          <t>No</t>
        </is>
      </c>
      <c r="N135" s="4" t="inlineStr">
        <is>
          <t>No</t>
        </is>
      </c>
      <c r="O135" s="4" t="inlineStr">
        <is>
          <t>No</t>
        </is>
      </c>
      <c r="P135" s="4" t="inlineStr">
        <is>
          <t>No</t>
        </is>
      </c>
      <c r="Q135" s="4" t="inlineStr">
        <is>
          <t>No</t>
        </is>
      </c>
      <c r="R135" s="4" t="n">
        <v>6</v>
      </c>
      <c r="S135" s="4" t="n">
        <v>0.379</v>
      </c>
      <c r="T135" s="23">
        <f>1/1.5</f>
        <v/>
      </c>
      <c r="U135" s="4" t="n"/>
      <c r="V135" s="4" t="n"/>
      <c r="W135" s="4" t="n">
        <v>0.01</v>
      </c>
      <c r="X135" s="4" t="n">
        <v>85.40000000000001</v>
      </c>
      <c r="Y135" s="29" t="inlineStr">
        <is>
          <t>[34]</t>
        </is>
      </c>
    </row>
    <row r="136" ht="15" customHeight="1">
      <c r="A136" s="4" t="inlineStr">
        <is>
          <t>Grape waste</t>
        </is>
      </c>
      <c r="B136" s="5" t="inlineStr">
        <is>
          <t>No</t>
        </is>
      </c>
      <c r="C136" s="5" t="inlineStr">
        <is>
          <t>No wash</t>
        </is>
      </c>
      <c r="D136" s="5" t="inlineStr">
        <is>
          <t>No wash</t>
        </is>
      </c>
      <c r="E136" s="5" t="inlineStr">
        <is>
          <t>No wash</t>
        </is>
      </c>
      <c r="F136" s="5" t="inlineStr">
        <is>
          <t>No wash</t>
        </is>
      </c>
      <c r="G136" s="4" t="inlineStr">
        <is>
          <t>One step</t>
        </is>
      </c>
      <c r="H136" s="4" t="inlineStr">
        <is>
          <t>Pyrolysis</t>
        </is>
      </c>
      <c r="I136" s="4" t="inlineStr">
        <is>
          <t>No</t>
        </is>
      </c>
      <c r="J136" s="4" t="n">
        <v>60</v>
      </c>
      <c r="K136" s="4" t="n">
        <v>5</v>
      </c>
      <c r="L136" s="4" t="n">
        <v>1300</v>
      </c>
      <c r="M136" s="4" t="inlineStr">
        <is>
          <t>No</t>
        </is>
      </c>
      <c r="N136" s="4" t="inlineStr">
        <is>
          <t>No</t>
        </is>
      </c>
      <c r="O136" s="4" t="inlineStr">
        <is>
          <t>No</t>
        </is>
      </c>
      <c r="P136" s="4" t="inlineStr">
        <is>
          <t>No</t>
        </is>
      </c>
      <c r="Q136" s="4" t="inlineStr">
        <is>
          <t>No</t>
        </is>
      </c>
      <c r="R136" s="4" t="n">
        <v>11.5</v>
      </c>
      <c r="S136" s="4" t="n">
        <v>0.398</v>
      </c>
      <c r="T136" s="23">
        <f>1/2.5</f>
        <v/>
      </c>
      <c r="U136" s="4" t="n"/>
      <c r="V136" s="4" t="n"/>
      <c r="W136" s="4" t="n">
        <v>0.02</v>
      </c>
      <c r="X136" s="4" t="n">
        <v>82.8</v>
      </c>
      <c r="Y136" s="29" t="inlineStr">
        <is>
          <t>[34]</t>
        </is>
      </c>
    </row>
    <row r="137" ht="15" customHeight="1">
      <c r="A137" s="4" t="inlineStr">
        <is>
          <t>Grape waste</t>
        </is>
      </c>
      <c r="B137" s="5" t="inlineStr">
        <is>
          <t>18.5% HCl</t>
        </is>
      </c>
      <c r="C137" s="5" t="inlineStr">
        <is>
          <t>Acid wash</t>
        </is>
      </c>
      <c r="D137" s="5" t="inlineStr">
        <is>
          <t>Mild</t>
        </is>
      </c>
      <c r="E137" s="5" t="inlineStr">
        <is>
          <t>No wash</t>
        </is>
      </c>
      <c r="F137" s="5" t="inlineStr">
        <is>
          <t>No wash</t>
        </is>
      </c>
      <c r="G137" s="4" t="inlineStr">
        <is>
          <t>One step</t>
        </is>
      </c>
      <c r="H137" s="4" t="inlineStr">
        <is>
          <t>Pyrolysis</t>
        </is>
      </c>
      <c r="I137" s="4" t="inlineStr">
        <is>
          <t>No</t>
        </is>
      </c>
      <c r="J137" s="4" t="n">
        <v>60</v>
      </c>
      <c r="K137" s="4" t="n">
        <v>5</v>
      </c>
      <c r="L137" s="4" t="n">
        <v>1300</v>
      </c>
      <c r="M137" s="4" t="inlineStr">
        <is>
          <t>No</t>
        </is>
      </c>
      <c r="N137" s="4" t="inlineStr">
        <is>
          <t>No</t>
        </is>
      </c>
      <c r="O137" s="4" t="inlineStr">
        <is>
          <t>No</t>
        </is>
      </c>
      <c r="P137" s="4" t="inlineStr">
        <is>
          <t>No</t>
        </is>
      </c>
      <c r="Q137" s="4" t="inlineStr">
        <is>
          <t>No</t>
        </is>
      </c>
      <c r="R137" s="4" t="n">
        <v>40</v>
      </c>
      <c r="S137" s="4" t="n">
        <v>0.377</v>
      </c>
      <c r="T137" s="23">
        <f>1/2.2</f>
        <v/>
      </c>
      <c r="U137" s="4" t="n"/>
      <c r="V137" s="4" t="n"/>
      <c r="W137" s="4" t="n"/>
      <c r="X137" s="4" t="n">
        <v>68.09999999999999</v>
      </c>
      <c r="Y137" s="29" t="inlineStr">
        <is>
          <t>[34]</t>
        </is>
      </c>
    </row>
    <row r="138" ht="15" customHeight="1">
      <c r="A138" s="4" t="inlineStr">
        <is>
          <t>Potato peel</t>
        </is>
      </c>
      <c r="B138" s="5" t="inlineStr">
        <is>
          <t>No</t>
        </is>
      </c>
      <c r="C138" s="5" t="inlineStr">
        <is>
          <t>No wash</t>
        </is>
      </c>
      <c r="D138" s="5" t="inlineStr">
        <is>
          <t>No wash</t>
        </is>
      </c>
      <c r="E138" s="5" t="inlineStr">
        <is>
          <t>No wash</t>
        </is>
      </c>
      <c r="F138" s="5" t="inlineStr">
        <is>
          <t>No wash</t>
        </is>
      </c>
      <c r="G138" s="4" t="inlineStr">
        <is>
          <t>One step</t>
        </is>
      </c>
      <c r="H138" s="4" t="inlineStr">
        <is>
          <t>Pyrolysis</t>
        </is>
      </c>
      <c r="I138" s="4" t="inlineStr">
        <is>
          <t>No</t>
        </is>
      </c>
      <c r="J138" s="4" t="n">
        <v>60</v>
      </c>
      <c r="K138" s="4" t="n">
        <v>5</v>
      </c>
      <c r="L138" s="4" t="n">
        <v>1300</v>
      </c>
      <c r="M138" s="4" t="inlineStr">
        <is>
          <t>No</t>
        </is>
      </c>
      <c r="N138" s="4" t="inlineStr">
        <is>
          <t>No</t>
        </is>
      </c>
      <c r="O138" s="4" t="inlineStr">
        <is>
          <t>No</t>
        </is>
      </c>
      <c r="P138" s="4" t="inlineStr">
        <is>
          <t>No</t>
        </is>
      </c>
      <c r="Q138" s="4" t="inlineStr">
        <is>
          <t>No</t>
        </is>
      </c>
      <c r="R138" s="4" t="n">
        <v>8.5</v>
      </c>
      <c r="S138" s="4" t="n">
        <v>0.38</v>
      </c>
      <c r="T138" s="23">
        <f>1/1/3</f>
        <v/>
      </c>
      <c r="U138" s="4" t="n"/>
      <c r="V138" s="4" t="n"/>
      <c r="W138" s="4" t="n"/>
      <c r="X138" s="4" t="n">
        <v>63.7</v>
      </c>
      <c r="Y138" s="29" t="inlineStr">
        <is>
          <t>[34]</t>
        </is>
      </c>
    </row>
    <row r="139" ht="15" customHeight="1">
      <c r="A139" s="4" t="inlineStr">
        <is>
          <t>Potato peel</t>
        </is>
      </c>
      <c r="B139" s="5" t="inlineStr">
        <is>
          <t>18.5% HCl</t>
        </is>
      </c>
      <c r="C139" s="5" t="inlineStr">
        <is>
          <t>Acid wash</t>
        </is>
      </c>
      <c r="D139" s="5" t="inlineStr">
        <is>
          <t>Mild</t>
        </is>
      </c>
      <c r="E139" s="5" t="inlineStr">
        <is>
          <t>No wash</t>
        </is>
      </c>
      <c r="F139" s="5" t="inlineStr">
        <is>
          <t>No wash</t>
        </is>
      </c>
      <c r="G139" s="4" t="inlineStr">
        <is>
          <t>One step</t>
        </is>
      </c>
      <c r="H139" s="4" t="inlineStr">
        <is>
          <t>Pyrolysis</t>
        </is>
      </c>
      <c r="I139" s="4" t="inlineStr">
        <is>
          <t>No</t>
        </is>
      </c>
      <c r="J139" s="4" t="n">
        <v>60</v>
      </c>
      <c r="K139" s="4" t="n">
        <v>5</v>
      </c>
      <c r="L139" s="4" t="n">
        <v>1300</v>
      </c>
      <c r="M139" s="4" t="inlineStr">
        <is>
          <t>No</t>
        </is>
      </c>
      <c r="N139" s="4" t="inlineStr">
        <is>
          <t>No</t>
        </is>
      </c>
      <c r="O139" s="4" t="inlineStr">
        <is>
          <t>No</t>
        </is>
      </c>
      <c r="P139" s="4" t="inlineStr">
        <is>
          <t>No</t>
        </is>
      </c>
      <c r="Q139" s="4" t="inlineStr">
        <is>
          <t>No</t>
        </is>
      </c>
      <c r="R139" s="4" t="n">
        <v>35</v>
      </c>
      <c r="S139" s="4" t="n">
        <v>0.387</v>
      </c>
      <c r="T139" s="23">
        <f>1/2</f>
        <v/>
      </c>
      <c r="U139" s="4" t="n"/>
      <c r="V139" s="4" t="n"/>
      <c r="W139" s="4" t="n"/>
      <c r="X139" s="4" t="n">
        <v>80</v>
      </c>
      <c r="Y139" s="29" t="inlineStr">
        <is>
          <t>[34]</t>
        </is>
      </c>
    </row>
    <row r="140" ht="15" customHeight="1">
      <c r="A140" s="4" t="inlineStr">
        <is>
          <t>Shaddok peel</t>
        </is>
      </c>
      <c r="B140" s="5" t="inlineStr">
        <is>
          <t>No</t>
        </is>
      </c>
      <c r="C140" s="5" t="inlineStr">
        <is>
          <t>No wash</t>
        </is>
      </c>
      <c r="D140" s="5" t="inlineStr">
        <is>
          <t>No wash</t>
        </is>
      </c>
      <c r="E140" s="5" t="inlineStr">
        <is>
          <t>No wash</t>
        </is>
      </c>
      <c r="F140" s="5" t="inlineStr">
        <is>
          <t>No wash</t>
        </is>
      </c>
      <c r="G140" s="4" t="inlineStr">
        <is>
          <t>Two step</t>
        </is>
      </c>
      <c r="H140" s="4" t="inlineStr">
        <is>
          <t>HTC</t>
        </is>
      </c>
      <c r="I140" s="4" t="inlineStr">
        <is>
          <t>H2SO4</t>
        </is>
      </c>
      <c r="J140" s="4" t="n">
        <v>1440</v>
      </c>
      <c r="K140" s="4" t="n"/>
      <c r="L140" s="4" t="n">
        <v>180</v>
      </c>
      <c r="M140" s="4" t="inlineStr">
        <is>
          <t>pyrolysis</t>
        </is>
      </c>
      <c r="N140" s="4" t="inlineStr">
        <is>
          <t>KOH</t>
        </is>
      </c>
      <c r="O140" s="4" t="n"/>
      <c r="P140" s="4" t="n">
        <v>5</v>
      </c>
      <c r="Q140" s="4" t="n">
        <v>600</v>
      </c>
      <c r="R140" s="4" t="n">
        <v>536</v>
      </c>
      <c r="S140" s="4" t="n">
        <v>0.376</v>
      </c>
      <c r="T140" s="23" t="n">
        <v>0.72</v>
      </c>
      <c r="U140" s="4" t="n"/>
      <c r="V140" s="4" t="n"/>
      <c r="W140" s="4" t="n"/>
      <c r="X140" s="4" t="n">
        <v>80</v>
      </c>
      <c r="Y140" s="29" t="inlineStr">
        <is>
          <t>[35]</t>
        </is>
      </c>
    </row>
    <row r="141" ht="15" customHeight="1">
      <c r="A141" s="4" t="inlineStr">
        <is>
          <t>Shaddok peel</t>
        </is>
      </c>
      <c r="B141" s="5" t="inlineStr">
        <is>
          <t>No</t>
        </is>
      </c>
      <c r="C141" s="5" t="inlineStr">
        <is>
          <t>No wash</t>
        </is>
      </c>
      <c r="D141" s="5" t="inlineStr">
        <is>
          <t>No wash</t>
        </is>
      </c>
      <c r="E141" s="5" t="inlineStr">
        <is>
          <t>No wash</t>
        </is>
      </c>
      <c r="F141" s="5" t="inlineStr">
        <is>
          <t>No wash</t>
        </is>
      </c>
      <c r="G141" s="4" t="inlineStr">
        <is>
          <t>Two step</t>
        </is>
      </c>
      <c r="H141" s="4" t="inlineStr">
        <is>
          <t>HTC</t>
        </is>
      </c>
      <c r="I141" s="4" t="inlineStr">
        <is>
          <t>H2SO4</t>
        </is>
      </c>
      <c r="J141" s="4" t="n">
        <v>1440</v>
      </c>
      <c r="K141" s="4" t="n"/>
      <c r="L141" s="4" t="n">
        <v>180</v>
      </c>
      <c r="M141" s="4" t="inlineStr">
        <is>
          <t>pyrolysis</t>
        </is>
      </c>
      <c r="N141" s="4" t="inlineStr">
        <is>
          <t>KOH</t>
        </is>
      </c>
      <c r="O141" s="4" t="n"/>
      <c r="P141" s="4" t="n">
        <v>5</v>
      </c>
      <c r="Q141" s="4" t="n">
        <v>700</v>
      </c>
      <c r="R141" s="4" t="n">
        <v>435</v>
      </c>
      <c r="S141" s="4" t="n">
        <v>0.371</v>
      </c>
      <c r="T141" s="23" t="n">
        <v>0.53</v>
      </c>
      <c r="U141" s="4" t="n"/>
      <c r="V141" s="4" t="n"/>
      <c r="W141" s="4" t="n"/>
      <c r="X141" s="4" t="n">
        <v>85</v>
      </c>
      <c r="Y141" s="29" t="inlineStr">
        <is>
          <t>[35]</t>
        </is>
      </c>
    </row>
    <row r="142" ht="15" customHeight="1">
      <c r="A142" s="20" t="inlineStr">
        <is>
          <t>Sugarcane bagasse</t>
        </is>
      </c>
      <c r="B142" s="21" t="inlineStr">
        <is>
          <t>Biomass (H2O)</t>
        </is>
      </c>
      <c r="C142" s="21" t="inlineStr">
        <is>
          <t>Water wash</t>
        </is>
      </c>
      <c r="D142" s="21" t="inlineStr">
        <is>
          <t>No</t>
        </is>
      </c>
      <c r="E142" s="21" t="inlineStr">
        <is>
          <t>No wash</t>
        </is>
      </c>
      <c r="F142" s="21" t="inlineStr">
        <is>
          <t>No</t>
        </is>
      </c>
      <c r="G142" s="20" t="inlineStr">
        <is>
          <t>One step</t>
        </is>
      </c>
      <c r="H142" s="20" t="inlineStr">
        <is>
          <t xml:space="preserve">Pyrolysis </t>
        </is>
      </c>
      <c r="I142" s="20" t="inlineStr">
        <is>
          <t>No</t>
        </is>
      </c>
      <c r="J142" s="20" t="inlineStr">
        <is>
          <t>No</t>
        </is>
      </c>
      <c r="K142" s="20" t="n"/>
      <c r="L142" s="20" t="n">
        <v>750</v>
      </c>
      <c r="M142" s="20" t="inlineStr">
        <is>
          <t>No</t>
        </is>
      </c>
      <c r="N142" s="20" t="inlineStr">
        <is>
          <t>No</t>
        </is>
      </c>
      <c r="O142" s="20" t="inlineStr">
        <is>
          <t>No</t>
        </is>
      </c>
      <c r="P142" s="20" t="n"/>
      <c r="Q142" s="20" t="inlineStr">
        <is>
          <t>No</t>
        </is>
      </c>
      <c r="R142" s="20" t="n">
        <v>8</v>
      </c>
      <c r="S142" s="20" t="n">
        <v>0.391</v>
      </c>
      <c r="T142" s="22" t="n">
        <v>1.33</v>
      </c>
      <c r="U142" s="20" t="n"/>
      <c r="V142" s="20" t="n"/>
      <c r="W142" s="20" t="n"/>
      <c r="X142" s="20" t="n">
        <v>84.09999999999999</v>
      </c>
      <c r="Y142" s="24" t="inlineStr">
        <is>
          <t>[35]</t>
        </is>
      </c>
    </row>
    <row r="143" ht="15" customHeight="1">
      <c r="A143" s="20" t="inlineStr">
        <is>
          <t>Sugarcane bagasse</t>
        </is>
      </c>
      <c r="B143" s="21" t="inlineStr">
        <is>
          <t>Biomass (H2O)</t>
        </is>
      </c>
      <c r="C143" s="21" t="inlineStr">
        <is>
          <t>Water wash</t>
        </is>
      </c>
      <c r="D143" s="21" t="inlineStr">
        <is>
          <t>No</t>
        </is>
      </c>
      <c r="E143" s="21" t="inlineStr">
        <is>
          <t>No wash</t>
        </is>
      </c>
      <c r="F143" s="21" t="inlineStr">
        <is>
          <t>No</t>
        </is>
      </c>
      <c r="G143" s="20" t="inlineStr">
        <is>
          <t>One step</t>
        </is>
      </c>
      <c r="H143" s="20" t="inlineStr">
        <is>
          <t xml:space="preserve">Pyrolysis </t>
        </is>
      </c>
      <c r="I143" s="20" t="inlineStr">
        <is>
          <t>No</t>
        </is>
      </c>
      <c r="J143" s="20" t="inlineStr">
        <is>
          <t>No</t>
        </is>
      </c>
      <c r="K143" s="20" t="n"/>
      <c r="L143" s="20" t="n">
        <v>850</v>
      </c>
      <c r="M143" s="20" t="inlineStr">
        <is>
          <t>No</t>
        </is>
      </c>
      <c r="N143" s="20" t="inlineStr">
        <is>
          <t>No</t>
        </is>
      </c>
      <c r="O143" s="20" t="inlineStr">
        <is>
          <t>No</t>
        </is>
      </c>
      <c r="P143" s="20" t="n"/>
      <c r="Q143" s="20" t="inlineStr">
        <is>
          <t>No</t>
        </is>
      </c>
      <c r="R143" s="20" t="n">
        <v>5</v>
      </c>
      <c r="S143" s="20" t="n">
        <v>0.389</v>
      </c>
      <c r="T143" s="22" t="n">
        <v>1.15</v>
      </c>
      <c r="U143" s="20" t="n"/>
      <c r="V143" s="20" t="n"/>
      <c r="W143" s="20" t="n"/>
      <c r="X143" s="20" t="n">
        <v>85.09999999999999</v>
      </c>
      <c r="Y143" s="24" t="inlineStr">
        <is>
          <t>[35]</t>
        </is>
      </c>
    </row>
    <row r="144" ht="15" customHeight="1">
      <c r="A144" s="20" t="inlineStr">
        <is>
          <t>Sugarcane bagasse</t>
        </is>
      </c>
      <c r="B144" s="21" t="inlineStr">
        <is>
          <t>Biomass (H2O)</t>
        </is>
      </c>
      <c r="C144" s="21" t="inlineStr">
        <is>
          <t>Water wash</t>
        </is>
      </c>
      <c r="D144" s="21" t="inlineStr">
        <is>
          <t>No</t>
        </is>
      </c>
      <c r="E144" s="21" t="inlineStr">
        <is>
          <t>No wash</t>
        </is>
      </c>
      <c r="F144" s="21" t="inlineStr">
        <is>
          <t>No</t>
        </is>
      </c>
      <c r="G144" s="20" t="inlineStr">
        <is>
          <t>One step</t>
        </is>
      </c>
      <c r="H144" s="20" t="inlineStr">
        <is>
          <t xml:space="preserve">Pyrolysis </t>
        </is>
      </c>
      <c r="I144" s="20" t="inlineStr">
        <is>
          <t>No</t>
        </is>
      </c>
      <c r="J144" s="20" t="inlineStr">
        <is>
          <t>No</t>
        </is>
      </c>
      <c r="K144" s="20" t="n"/>
      <c r="L144" s="20" t="n">
        <v>950</v>
      </c>
      <c r="M144" s="20" t="inlineStr">
        <is>
          <t>No</t>
        </is>
      </c>
      <c r="N144" s="20" t="inlineStr">
        <is>
          <t>No</t>
        </is>
      </c>
      <c r="O144" s="20" t="inlineStr">
        <is>
          <t>No</t>
        </is>
      </c>
      <c r="P144" s="20" t="n"/>
      <c r="Q144" s="20" t="inlineStr">
        <is>
          <t>No</t>
        </is>
      </c>
      <c r="R144" s="20" t="n">
        <v>3</v>
      </c>
      <c r="S144" s="20" t="n">
        <v>0.386</v>
      </c>
      <c r="T144" s="22" t="n">
        <v>0.86</v>
      </c>
      <c r="U144" s="20" t="n"/>
      <c r="V144" s="20" t="n"/>
      <c r="W144" s="20" t="n"/>
      <c r="X144" s="20" t="n">
        <v>86</v>
      </c>
      <c r="Y144" s="24" t="inlineStr">
        <is>
          <t>[35]</t>
        </is>
      </c>
    </row>
    <row r="145" ht="15" customHeight="1">
      <c r="A145" s="20" t="inlineStr">
        <is>
          <t>Sugarcane bagasse</t>
        </is>
      </c>
      <c r="B145" s="21" t="inlineStr">
        <is>
          <t>Biomass (H2O)</t>
        </is>
      </c>
      <c r="C145" s="21" t="inlineStr">
        <is>
          <t>Water wash</t>
        </is>
      </c>
      <c r="D145" s="21" t="inlineStr">
        <is>
          <t>No</t>
        </is>
      </c>
      <c r="E145" s="21" t="inlineStr">
        <is>
          <t>No wash</t>
        </is>
      </c>
      <c r="F145" s="21" t="inlineStr">
        <is>
          <t>No</t>
        </is>
      </c>
      <c r="G145" s="20" t="inlineStr">
        <is>
          <t>One step</t>
        </is>
      </c>
      <c r="H145" s="20" t="inlineStr">
        <is>
          <t xml:space="preserve">Pyrolysis </t>
        </is>
      </c>
      <c r="I145" s="20" t="inlineStr">
        <is>
          <t>No</t>
        </is>
      </c>
      <c r="J145" s="20" t="inlineStr">
        <is>
          <t>No</t>
        </is>
      </c>
      <c r="K145" s="20" t="n"/>
      <c r="L145" s="20" t="n">
        <v>1050</v>
      </c>
      <c r="M145" s="20" t="inlineStr">
        <is>
          <t>No</t>
        </is>
      </c>
      <c r="N145" s="20" t="inlineStr">
        <is>
          <t>No</t>
        </is>
      </c>
      <c r="O145" s="20" t="inlineStr">
        <is>
          <t>No</t>
        </is>
      </c>
      <c r="P145" s="20" t="n"/>
      <c r="Q145" s="20" t="inlineStr">
        <is>
          <t>No</t>
        </is>
      </c>
      <c r="R145" s="20" t="n">
        <v>2</v>
      </c>
      <c r="S145" s="20" t="n">
        <v>0.382</v>
      </c>
      <c r="T145" s="22" t="n">
        <v>0.75</v>
      </c>
      <c r="U145" s="20" t="n"/>
      <c r="V145" s="20" t="n"/>
      <c r="W145" s="20" t="n"/>
      <c r="X145" s="20" t="n">
        <v>86.59999999999999</v>
      </c>
      <c r="Y145" s="24" t="inlineStr">
        <is>
          <t>[35]</t>
        </is>
      </c>
    </row>
    <row r="146" ht="15" customHeight="1">
      <c r="A146" s="20" t="inlineStr">
        <is>
          <t>Waste coffee</t>
        </is>
      </c>
      <c r="B146" s="21" t="inlineStr">
        <is>
          <t>Biomass (H2O)</t>
        </is>
      </c>
      <c r="C146" s="21" t="inlineStr">
        <is>
          <t>Water wash</t>
        </is>
      </c>
      <c r="D146" s="21" t="inlineStr">
        <is>
          <t>No</t>
        </is>
      </c>
      <c r="E146" s="21" t="inlineStr">
        <is>
          <t>No wash</t>
        </is>
      </c>
      <c r="F146" s="21" t="inlineStr">
        <is>
          <t>No</t>
        </is>
      </c>
      <c r="G146" s="20" t="inlineStr">
        <is>
          <t>One step</t>
        </is>
      </c>
      <c r="H146" s="20" t="inlineStr">
        <is>
          <t xml:space="preserve">Pyrolysis </t>
        </is>
      </c>
      <c r="I146" s="20" t="inlineStr">
        <is>
          <t>No</t>
        </is>
      </c>
      <c r="J146" s="20" t="inlineStr">
        <is>
          <t>No</t>
        </is>
      </c>
      <c r="K146" s="20" t="n">
        <v>5</v>
      </c>
      <c r="L146" s="20" t="n">
        <v>1600</v>
      </c>
      <c r="M146" s="20" t="inlineStr">
        <is>
          <t>No</t>
        </is>
      </c>
      <c r="N146" s="20" t="inlineStr">
        <is>
          <t>No</t>
        </is>
      </c>
      <c r="O146" s="20" t="inlineStr">
        <is>
          <t>No</t>
        </is>
      </c>
      <c r="P146" s="20" t="n"/>
      <c r="Q146" s="20" t="inlineStr">
        <is>
          <t>No</t>
        </is>
      </c>
      <c r="R146" s="20" t="n">
        <v>3.2</v>
      </c>
      <c r="S146" s="20" t="n"/>
      <c r="T146" s="22" t="n"/>
      <c r="U146" s="20" t="n"/>
      <c r="V146" s="20" t="n"/>
      <c r="W146" s="20" t="n"/>
      <c r="X146" s="20" t="n">
        <v>94.59999999999999</v>
      </c>
      <c r="Y146" s="24" t="inlineStr">
        <is>
          <t>[36]</t>
        </is>
      </c>
    </row>
    <row r="147" ht="15" customHeight="1">
      <c r="A147" s="20" t="inlineStr">
        <is>
          <t>Waste coffee</t>
        </is>
      </c>
      <c r="B147" s="21" t="inlineStr">
        <is>
          <t>Biomass (H2O)</t>
        </is>
      </c>
      <c r="C147" s="21" t="inlineStr">
        <is>
          <t>Water wash</t>
        </is>
      </c>
      <c r="D147" s="21" t="inlineStr">
        <is>
          <t>No</t>
        </is>
      </c>
      <c r="E147" s="21" t="inlineStr">
        <is>
          <t>No wash</t>
        </is>
      </c>
      <c r="F147" s="21" t="inlineStr">
        <is>
          <t>No</t>
        </is>
      </c>
      <c r="G147" s="20" t="inlineStr">
        <is>
          <t>One step</t>
        </is>
      </c>
      <c r="H147" s="20" t="inlineStr">
        <is>
          <t xml:space="preserve">Pyrolysis </t>
        </is>
      </c>
      <c r="I147" s="20" t="inlineStr">
        <is>
          <t>No</t>
        </is>
      </c>
      <c r="J147" s="20" t="inlineStr">
        <is>
          <t>No</t>
        </is>
      </c>
      <c r="K147" s="20" t="n">
        <v>5</v>
      </c>
      <c r="L147" s="20" t="n">
        <v>2000</v>
      </c>
      <c r="M147" s="20" t="inlineStr">
        <is>
          <t>No</t>
        </is>
      </c>
      <c r="N147" s="20" t="inlineStr">
        <is>
          <t>No</t>
        </is>
      </c>
      <c r="O147" s="20" t="inlineStr">
        <is>
          <t>No</t>
        </is>
      </c>
      <c r="P147" s="20" t="n"/>
      <c r="Q147" s="20" t="inlineStr">
        <is>
          <t>No</t>
        </is>
      </c>
      <c r="R147" s="20" t="n">
        <v>3</v>
      </c>
      <c r="S147" s="20" t="n"/>
      <c r="T147" s="22" t="n"/>
      <c r="U147" s="20" t="n"/>
      <c r="V147" s="20" t="n"/>
      <c r="W147" s="20" t="n"/>
      <c r="X147" s="20" t="n">
        <v>96.59999999999999</v>
      </c>
      <c r="Y147" s="24" t="inlineStr">
        <is>
          <t>[36]</t>
        </is>
      </c>
    </row>
    <row r="148" ht="15" customHeight="1">
      <c r="A148" s="20" t="inlineStr">
        <is>
          <t>Waste coffee</t>
        </is>
      </c>
      <c r="B148" s="21" t="inlineStr">
        <is>
          <t>Biomass (H2O)</t>
        </is>
      </c>
      <c r="C148" s="21" t="inlineStr">
        <is>
          <t>Water wash</t>
        </is>
      </c>
      <c r="D148" s="21" t="inlineStr">
        <is>
          <t>No</t>
        </is>
      </c>
      <c r="E148" s="21" t="inlineStr">
        <is>
          <t>No wash</t>
        </is>
      </c>
      <c r="F148" s="21" t="inlineStr">
        <is>
          <t>No</t>
        </is>
      </c>
      <c r="G148" s="20" t="inlineStr">
        <is>
          <t>One step</t>
        </is>
      </c>
      <c r="H148" s="20" t="inlineStr">
        <is>
          <t xml:space="preserve">Pyrolysis </t>
        </is>
      </c>
      <c r="I148" s="20" t="inlineStr">
        <is>
          <t>No</t>
        </is>
      </c>
      <c r="J148" s="20" t="inlineStr">
        <is>
          <t>No</t>
        </is>
      </c>
      <c r="K148" s="20" t="n">
        <v>5</v>
      </c>
      <c r="L148" s="20" t="n">
        <v>2400</v>
      </c>
      <c r="M148" s="20" t="inlineStr">
        <is>
          <t>No</t>
        </is>
      </c>
      <c r="N148" s="20" t="inlineStr">
        <is>
          <t>No</t>
        </is>
      </c>
      <c r="O148" s="20" t="inlineStr">
        <is>
          <t>No</t>
        </is>
      </c>
      <c r="P148" s="20" t="n"/>
      <c r="Q148" s="20" t="inlineStr">
        <is>
          <t>No</t>
        </is>
      </c>
      <c r="R148" s="20" t="n">
        <v>2.6</v>
      </c>
      <c r="S148" s="20" t="n"/>
      <c r="T148" s="22" t="n"/>
      <c r="U148" s="20" t="n"/>
      <c r="V148" s="20" t="n"/>
      <c r="W148" s="20" t="n"/>
      <c r="X148" s="20" t="n">
        <v>97</v>
      </c>
      <c r="Y148" s="24" t="inlineStr">
        <is>
          <t>[36]</t>
        </is>
      </c>
    </row>
    <row r="149" ht="15" customHeight="1">
      <c r="A149" s="20" t="inlineStr">
        <is>
          <t>Waste coffee</t>
        </is>
      </c>
      <c r="B149" s="21" t="inlineStr">
        <is>
          <t>Biomass (H2O)</t>
        </is>
      </c>
      <c r="C149" s="21" t="inlineStr">
        <is>
          <t>Water wash</t>
        </is>
      </c>
      <c r="D149" s="21" t="inlineStr">
        <is>
          <t>No</t>
        </is>
      </c>
      <c r="E149" s="21" t="inlineStr">
        <is>
          <t>No wash</t>
        </is>
      </c>
      <c r="F149" s="21" t="inlineStr">
        <is>
          <t>No</t>
        </is>
      </c>
      <c r="G149" s="20" t="inlineStr">
        <is>
          <t>One step</t>
        </is>
      </c>
      <c r="H149" s="20" t="inlineStr">
        <is>
          <t xml:space="preserve">Pyrolysis </t>
        </is>
      </c>
      <c r="I149" s="20" t="inlineStr">
        <is>
          <t>No</t>
        </is>
      </c>
      <c r="J149" s="20" t="inlineStr">
        <is>
          <t>No</t>
        </is>
      </c>
      <c r="K149" s="20" t="n">
        <v>5</v>
      </c>
      <c r="L149" s="20" t="n">
        <v>2800</v>
      </c>
      <c r="M149" s="20" t="inlineStr">
        <is>
          <t>No</t>
        </is>
      </c>
      <c r="N149" s="20" t="inlineStr">
        <is>
          <t>No</t>
        </is>
      </c>
      <c r="O149" s="20" t="inlineStr">
        <is>
          <t>No</t>
        </is>
      </c>
      <c r="P149" s="20" t="n"/>
      <c r="Q149" s="20" t="inlineStr">
        <is>
          <t>No</t>
        </is>
      </c>
      <c r="R149" s="20" t="n">
        <v>2.2</v>
      </c>
      <c r="S149" s="20" t="n"/>
      <c r="T149" s="22" t="n"/>
      <c r="U149" s="20" t="n"/>
      <c r="V149" s="20" t="n"/>
      <c r="W149" s="20" t="n"/>
      <c r="X149" s="20" t="n">
        <v>97.59999999999999</v>
      </c>
      <c r="Y149" s="24" t="inlineStr">
        <is>
          <t>[36]</t>
        </is>
      </c>
    </row>
    <row r="150" ht="15" customFormat="1" customHeight="1" s="7">
      <c r="A150" s="21" t="inlineStr">
        <is>
          <t>Oatmeal</t>
        </is>
      </c>
      <c r="B150" s="21" t="inlineStr">
        <is>
          <t>Biomass (EtOH) / Carbon (30% KOH + 3M HCl)</t>
        </is>
      </c>
      <c r="C150" s="21" t="inlineStr">
        <is>
          <t>Organic wash</t>
        </is>
      </c>
      <c r="D150" s="21" t="inlineStr">
        <is>
          <t>No</t>
        </is>
      </c>
      <c r="E150" s="21" t="inlineStr">
        <is>
          <t>Alkali wash</t>
        </is>
      </c>
      <c r="F150" s="21" t="inlineStr">
        <is>
          <t>Moderate</t>
        </is>
      </c>
      <c r="G150" s="21" t="inlineStr">
        <is>
          <t>One step</t>
        </is>
      </c>
      <c r="H150" s="21" t="inlineStr">
        <is>
          <t xml:space="preserve">Pyrolysis </t>
        </is>
      </c>
      <c r="I150" s="21" t="inlineStr">
        <is>
          <t>No</t>
        </is>
      </c>
      <c r="J150" s="21" t="n">
        <v>120</v>
      </c>
      <c r="K150" s="21" t="n">
        <v>10</v>
      </c>
      <c r="L150" s="21" t="n">
        <v>1200</v>
      </c>
      <c r="M150" s="21" t="inlineStr">
        <is>
          <t>No</t>
        </is>
      </c>
      <c r="N150" s="21" t="inlineStr">
        <is>
          <t>No</t>
        </is>
      </c>
      <c r="O150" s="21" t="inlineStr">
        <is>
          <t>No</t>
        </is>
      </c>
      <c r="P150" s="21" t="n"/>
      <c r="Q150" s="21" t="inlineStr">
        <is>
          <t>No</t>
        </is>
      </c>
      <c r="R150" s="21" t="n">
        <v>69.8</v>
      </c>
      <c r="S150" s="21" t="n"/>
      <c r="T150" s="35" t="n"/>
      <c r="U150" s="21" t="n"/>
      <c r="V150" s="21" t="n"/>
      <c r="W150" s="21" t="n"/>
      <c r="X150" s="21" t="n"/>
      <c r="Y150" s="39" t="inlineStr">
        <is>
          <t>[37]</t>
        </is>
      </c>
    </row>
    <row r="151" ht="15" customHeight="1">
      <c r="A151" s="20" t="inlineStr">
        <is>
          <t>Jackfruit rag</t>
        </is>
      </c>
      <c r="B151" s="21" t="inlineStr">
        <is>
          <t>Biomass (H2O) / Carbon (0.2M HCl + H2O)</t>
        </is>
      </c>
      <c r="C151" s="21" t="inlineStr">
        <is>
          <t>Water wash</t>
        </is>
      </c>
      <c r="D151" s="21" t="inlineStr">
        <is>
          <t>No</t>
        </is>
      </c>
      <c r="E151" s="21" t="inlineStr">
        <is>
          <t>Acid wash</t>
        </is>
      </c>
      <c r="F151" s="21" t="inlineStr">
        <is>
          <t>Mild</t>
        </is>
      </c>
      <c r="G151" s="20" t="inlineStr">
        <is>
          <t>One step</t>
        </is>
      </c>
      <c r="H151" s="20" t="inlineStr">
        <is>
          <t xml:space="preserve">Pyrolysis </t>
        </is>
      </c>
      <c r="I151" s="20" t="inlineStr">
        <is>
          <t>No</t>
        </is>
      </c>
      <c r="J151" s="20" t="n">
        <v>120</v>
      </c>
      <c r="K151" s="20" t="n">
        <v>10</v>
      </c>
      <c r="L151" s="20" t="n">
        <v>700</v>
      </c>
      <c r="M151" s="20" t="inlineStr">
        <is>
          <t>No</t>
        </is>
      </c>
      <c r="N151" s="20" t="inlineStr">
        <is>
          <t>No</t>
        </is>
      </c>
      <c r="O151" s="20" t="inlineStr">
        <is>
          <t>No</t>
        </is>
      </c>
      <c r="P151" s="20" t="n"/>
      <c r="Q151" s="20" t="inlineStr">
        <is>
          <t>No</t>
        </is>
      </c>
      <c r="R151" s="20" t="n">
        <v>443.35</v>
      </c>
      <c r="S151" s="20" t="n"/>
      <c r="T151" s="22" t="n">
        <v>1.02</v>
      </c>
      <c r="U151" s="20" t="n"/>
      <c r="V151" s="20" t="n"/>
      <c r="W151" s="20" t="n">
        <v>0.262</v>
      </c>
      <c r="X151" s="20" t="n"/>
      <c r="Y151" s="24" t="inlineStr">
        <is>
          <t>[38]</t>
        </is>
      </c>
    </row>
    <row r="152" ht="15" customHeight="1">
      <c r="A152" s="20" t="inlineStr">
        <is>
          <t>Jackfruit rag</t>
        </is>
      </c>
      <c r="B152" s="21" t="inlineStr">
        <is>
          <t>Biomass (H2O) / Carbon (0.2M HCl + H2O)</t>
        </is>
      </c>
      <c r="C152" s="21" t="inlineStr">
        <is>
          <t>Water wash</t>
        </is>
      </c>
      <c r="D152" s="21" t="inlineStr">
        <is>
          <t>No</t>
        </is>
      </c>
      <c r="E152" s="21" t="inlineStr">
        <is>
          <t>Acid wash</t>
        </is>
      </c>
      <c r="F152" s="21" t="inlineStr">
        <is>
          <t>Mild</t>
        </is>
      </c>
      <c r="G152" s="20" t="inlineStr">
        <is>
          <t>One step</t>
        </is>
      </c>
      <c r="H152" s="20" t="inlineStr">
        <is>
          <t xml:space="preserve">Pyrolysis </t>
        </is>
      </c>
      <c r="I152" s="20" t="inlineStr">
        <is>
          <t>No</t>
        </is>
      </c>
      <c r="J152" s="20" t="n">
        <v>120</v>
      </c>
      <c r="K152" s="20" t="n">
        <v>10</v>
      </c>
      <c r="L152" s="20" t="n">
        <v>800</v>
      </c>
      <c r="M152" s="20" t="inlineStr">
        <is>
          <t>No</t>
        </is>
      </c>
      <c r="N152" s="20" t="inlineStr">
        <is>
          <t>No</t>
        </is>
      </c>
      <c r="O152" s="20" t="inlineStr">
        <is>
          <t>No</t>
        </is>
      </c>
      <c r="P152" s="20" t="n"/>
      <c r="Q152" s="20" t="inlineStr">
        <is>
          <t>No</t>
        </is>
      </c>
      <c r="R152" s="20" t="n">
        <v>957.3</v>
      </c>
      <c r="S152" s="20" t="n"/>
      <c r="T152" s="22" t="n">
        <v>1.08</v>
      </c>
      <c r="U152" s="20" t="n"/>
      <c r="V152" s="20" t="n"/>
      <c r="W152" s="20" t="n">
        <v>0.887</v>
      </c>
      <c r="X152" s="20" t="n"/>
      <c r="Y152" s="24" t="inlineStr">
        <is>
          <t>[38]</t>
        </is>
      </c>
    </row>
    <row r="153" ht="15" customHeight="1">
      <c r="A153" s="20" t="inlineStr">
        <is>
          <t>Jackfruit rag</t>
        </is>
      </c>
      <c r="B153" s="21" t="inlineStr">
        <is>
          <t>Biomass (H2O) / Carbon (0.2M HCl + H2O)</t>
        </is>
      </c>
      <c r="C153" s="21" t="inlineStr">
        <is>
          <t>Water wash</t>
        </is>
      </c>
      <c r="D153" s="21" t="inlineStr">
        <is>
          <t>No</t>
        </is>
      </c>
      <c r="E153" s="21" t="inlineStr">
        <is>
          <t>Acid wash</t>
        </is>
      </c>
      <c r="F153" s="21" t="inlineStr">
        <is>
          <t>Mild</t>
        </is>
      </c>
      <c r="G153" s="20" t="inlineStr">
        <is>
          <t>One step</t>
        </is>
      </c>
      <c r="H153" s="20" t="inlineStr">
        <is>
          <t xml:space="preserve">Pyrolysis </t>
        </is>
      </c>
      <c r="I153" s="20" t="inlineStr">
        <is>
          <t>No</t>
        </is>
      </c>
      <c r="J153" s="20" t="n">
        <v>120</v>
      </c>
      <c r="K153" s="20" t="n">
        <v>10</v>
      </c>
      <c r="L153" s="20" t="n">
        <v>900</v>
      </c>
      <c r="M153" s="20" t="inlineStr">
        <is>
          <t>No</t>
        </is>
      </c>
      <c r="N153" s="20" t="inlineStr">
        <is>
          <t>No</t>
        </is>
      </c>
      <c r="O153" s="20" t="inlineStr">
        <is>
          <t>No</t>
        </is>
      </c>
      <c r="P153" s="20" t="n"/>
      <c r="Q153" s="20" t="inlineStr">
        <is>
          <t>No</t>
        </is>
      </c>
      <c r="R153" s="20" t="n">
        <v>563.6</v>
      </c>
      <c r="S153" s="20" t="n"/>
      <c r="T153" s="22" t="n">
        <v>1</v>
      </c>
      <c r="U153" s="20" t="n"/>
      <c r="V153" s="20" t="n"/>
      <c r="W153" s="20" t="n">
        <v>0.293</v>
      </c>
      <c r="X153" s="20" t="n"/>
      <c r="Y153" s="24" t="inlineStr">
        <is>
          <t>[38]</t>
        </is>
      </c>
    </row>
    <row r="154" ht="15" customHeight="1">
      <c r="A154" s="20" t="inlineStr">
        <is>
          <t>Olive stone</t>
        </is>
      </c>
      <c r="B154" s="21" t="inlineStr">
        <is>
          <t>No</t>
        </is>
      </c>
      <c r="C154" s="21" t="inlineStr">
        <is>
          <t>No wash</t>
        </is>
      </c>
      <c r="D154" s="21" t="inlineStr">
        <is>
          <t>No</t>
        </is>
      </c>
      <c r="E154" s="21" t="inlineStr">
        <is>
          <t>No wash</t>
        </is>
      </c>
      <c r="F154" s="21" t="inlineStr">
        <is>
          <t>No</t>
        </is>
      </c>
      <c r="G154" s="20" t="inlineStr">
        <is>
          <t>One step</t>
        </is>
      </c>
      <c r="H154" s="20" t="inlineStr">
        <is>
          <t xml:space="preserve">Pyrolysis </t>
        </is>
      </c>
      <c r="I154" s="20" t="inlineStr">
        <is>
          <t>No</t>
        </is>
      </c>
      <c r="J154" s="20" t="inlineStr">
        <is>
          <t>No</t>
        </is>
      </c>
      <c r="K154" s="20" t="n"/>
      <c r="L154" s="20" t="n">
        <v>800</v>
      </c>
      <c r="M154" s="20" t="inlineStr">
        <is>
          <t>No</t>
        </is>
      </c>
      <c r="N154" s="20" t="inlineStr">
        <is>
          <t>No</t>
        </is>
      </c>
      <c r="O154" s="20" t="inlineStr">
        <is>
          <t>No</t>
        </is>
      </c>
      <c r="P154" s="20" t="n"/>
      <c r="Q154" s="20" t="inlineStr">
        <is>
          <t>No</t>
        </is>
      </c>
      <c r="R154" s="20" t="n">
        <v>189.5</v>
      </c>
      <c r="S154" s="20" t="n">
        <v>0.367</v>
      </c>
      <c r="T154" s="22">
        <f>1/3.63</f>
        <v/>
      </c>
      <c r="U154" s="20" t="n">
        <v>15.2</v>
      </c>
      <c r="V154" s="20" t="n"/>
      <c r="W154" s="20" t="n">
        <v>0.177</v>
      </c>
      <c r="X154" s="20" t="n">
        <v>86.40000000000001</v>
      </c>
      <c r="Y154" s="24" t="inlineStr">
        <is>
          <t>[39]</t>
        </is>
      </c>
    </row>
    <row r="155" ht="15" customHeight="1">
      <c r="A155" s="20" t="inlineStr">
        <is>
          <t>Olive stone</t>
        </is>
      </c>
      <c r="B155" s="21" t="inlineStr">
        <is>
          <t>No</t>
        </is>
      </c>
      <c r="C155" s="21" t="inlineStr">
        <is>
          <t>No wash</t>
        </is>
      </c>
      <c r="D155" s="21" t="inlineStr">
        <is>
          <t>No</t>
        </is>
      </c>
      <c r="E155" s="21" t="inlineStr">
        <is>
          <t>No wash</t>
        </is>
      </c>
      <c r="F155" s="21" t="inlineStr">
        <is>
          <t>No</t>
        </is>
      </c>
      <c r="G155" s="20" t="inlineStr">
        <is>
          <t>One step</t>
        </is>
      </c>
      <c r="H155" s="20" t="inlineStr">
        <is>
          <t xml:space="preserve">Pyrolysis </t>
        </is>
      </c>
      <c r="I155" s="20" t="inlineStr">
        <is>
          <t>No</t>
        </is>
      </c>
      <c r="J155" s="20" t="inlineStr">
        <is>
          <t>No</t>
        </is>
      </c>
      <c r="K155" s="20" t="n"/>
      <c r="L155" s="20" t="n">
        <v>1000</v>
      </c>
      <c r="M155" s="20" t="inlineStr">
        <is>
          <t>No</t>
        </is>
      </c>
      <c r="N155" s="20" t="inlineStr">
        <is>
          <t>No</t>
        </is>
      </c>
      <c r="O155" s="20" t="inlineStr">
        <is>
          <t>No</t>
        </is>
      </c>
      <c r="P155" s="20" t="n"/>
      <c r="Q155" s="20" t="inlineStr">
        <is>
          <t>No</t>
        </is>
      </c>
      <c r="R155" s="20" t="n">
        <v>64.8</v>
      </c>
      <c r="S155" s="20" t="n">
        <v>0.373</v>
      </c>
      <c r="T155" s="22">
        <f>1/3.76</f>
        <v/>
      </c>
      <c r="U155" s="20" t="n">
        <v>16.9</v>
      </c>
      <c r="V155" s="20" t="n"/>
      <c r="W155" s="20" t="n">
        <v>0.063</v>
      </c>
      <c r="X155" s="20" t="n">
        <v>86.5</v>
      </c>
      <c r="Y155" s="24" t="inlineStr">
        <is>
          <t>[39]</t>
        </is>
      </c>
    </row>
    <row r="156" ht="15" customHeight="1">
      <c r="A156" s="20" t="inlineStr">
        <is>
          <t>Olive stone</t>
        </is>
      </c>
      <c r="B156" s="21" t="inlineStr">
        <is>
          <t>No</t>
        </is>
      </c>
      <c r="C156" s="21" t="inlineStr">
        <is>
          <t>No wash</t>
        </is>
      </c>
      <c r="D156" s="21" t="inlineStr">
        <is>
          <t>No</t>
        </is>
      </c>
      <c r="E156" s="21" t="inlineStr">
        <is>
          <t>No wash</t>
        </is>
      </c>
      <c r="F156" s="21" t="inlineStr">
        <is>
          <t>No</t>
        </is>
      </c>
      <c r="G156" s="20" t="inlineStr">
        <is>
          <t>One step</t>
        </is>
      </c>
      <c r="H156" s="20" t="inlineStr">
        <is>
          <t xml:space="preserve">Pyrolysis </t>
        </is>
      </c>
      <c r="I156" s="20" t="inlineStr">
        <is>
          <t>No</t>
        </is>
      </c>
      <c r="J156" s="20" t="inlineStr">
        <is>
          <t>No</t>
        </is>
      </c>
      <c r="K156" s="20" t="n"/>
      <c r="L156" s="20" t="n">
        <v>1200</v>
      </c>
      <c r="M156" s="20" t="inlineStr">
        <is>
          <t>No</t>
        </is>
      </c>
      <c r="N156" s="20" t="inlineStr">
        <is>
          <t>No</t>
        </is>
      </c>
      <c r="O156" s="20" t="inlineStr">
        <is>
          <t>No</t>
        </is>
      </c>
      <c r="P156" s="20" t="n"/>
      <c r="Q156" s="20" t="inlineStr">
        <is>
          <t>No</t>
        </is>
      </c>
      <c r="R156" s="20" t="n">
        <v>48.7</v>
      </c>
      <c r="S156" s="20" t="n">
        <v>0.377</v>
      </c>
      <c r="T156" s="22">
        <f>1/3.58</f>
        <v/>
      </c>
      <c r="U156" s="20" t="n">
        <v>18.9</v>
      </c>
      <c r="V156" s="20" t="n"/>
      <c r="W156" s="20" t="n">
        <v>0.049</v>
      </c>
      <c r="X156" s="20" t="n">
        <v>94.8</v>
      </c>
      <c r="Y156" s="24" t="inlineStr">
        <is>
          <t>[39]</t>
        </is>
      </c>
    </row>
    <row r="157" ht="15" customHeight="1">
      <c r="A157" s="20" t="inlineStr">
        <is>
          <t>Olive stone</t>
        </is>
      </c>
      <c r="B157" s="21" t="inlineStr">
        <is>
          <t>No</t>
        </is>
      </c>
      <c r="C157" s="21" t="inlineStr">
        <is>
          <t>No wash</t>
        </is>
      </c>
      <c r="D157" s="21" t="inlineStr">
        <is>
          <t>No</t>
        </is>
      </c>
      <c r="E157" s="21" t="inlineStr">
        <is>
          <t>No wash</t>
        </is>
      </c>
      <c r="F157" s="21" t="inlineStr">
        <is>
          <t>No</t>
        </is>
      </c>
      <c r="G157" s="20" t="inlineStr">
        <is>
          <t>One step</t>
        </is>
      </c>
      <c r="H157" s="20" t="inlineStr">
        <is>
          <t xml:space="preserve">Pyrolysis </t>
        </is>
      </c>
      <c r="I157" s="20" t="inlineStr">
        <is>
          <t>No</t>
        </is>
      </c>
      <c r="J157" s="20" t="inlineStr">
        <is>
          <t>No</t>
        </is>
      </c>
      <c r="K157" s="20" t="n"/>
      <c r="L157" s="20" t="n">
        <v>1400</v>
      </c>
      <c r="M157" s="20" t="inlineStr">
        <is>
          <t>No</t>
        </is>
      </c>
      <c r="N157" s="20" t="inlineStr">
        <is>
          <t>No</t>
        </is>
      </c>
      <c r="O157" s="20" t="inlineStr">
        <is>
          <t>No</t>
        </is>
      </c>
      <c r="P157" s="20" t="n"/>
      <c r="Q157" s="20" t="inlineStr">
        <is>
          <t>No</t>
        </is>
      </c>
      <c r="R157" s="20" t="n">
        <v>4.1</v>
      </c>
      <c r="S157" s="20" t="n">
        <v>0.38</v>
      </c>
      <c r="T157" s="22">
        <f>1/2.47</f>
        <v/>
      </c>
      <c r="U157" s="20" t="n">
        <v>20.3</v>
      </c>
      <c r="V157" s="20" t="n"/>
      <c r="W157" s="20" t="n">
        <v>0.0091</v>
      </c>
      <c r="X157" s="20" t="n">
        <v>98.7</v>
      </c>
      <c r="Y157" s="24" t="inlineStr">
        <is>
          <t>[39]</t>
        </is>
      </c>
    </row>
    <row r="158" ht="15" customHeight="1">
      <c r="A158" s="20" t="inlineStr">
        <is>
          <t>Olive stone</t>
        </is>
      </c>
      <c r="B158" s="21" t="inlineStr">
        <is>
          <t>No</t>
        </is>
      </c>
      <c r="C158" s="21" t="inlineStr">
        <is>
          <t>No wash</t>
        </is>
      </c>
      <c r="D158" s="21" t="inlineStr">
        <is>
          <t>No</t>
        </is>
      </c>
      <c r="E158" s="21" t="inlineStr">
        <is>
          <t>No wash</t>
        </is>
      </c>
      <c r="F158" s="21" t="inlineStr">
        <is>
          <t>No</t>
        </is>
      </c>
      <c r="G158" s="20" t="inlineStr">
        <is>
          <t>One step</t>
        </is>
      </c>
      <c r="H158" s="20" t="inlineStr">
        <is>
          <t xml:space="preserve">Pyrolysis </t>
        </is>
      </c>
      <c r="I158" s="20" t="inlineStr">
        <is>
          <t>No</t>
        </is>
      </c>
      <c r="J158" s="20" t="inlineStr">
        <is>
          <t>No</t>
        </is>
      </c>
      <c r="K158" s="20" t="n"/>
      <c r="L158" s="20" t="n">
        <v>1600</v>
      </c>
      <c r="M158" s="20" t="inlineStr">
        <is>
          <t>No</t>
        </is>
      </c>
      <c r="N158" s="20" t="inlineStr">
        <is>
          <t>No</t>
        </is>
      </c>
      <c r="O158" s="20" t="inlineStr">
        <is>
          <t>No</t>
        </is>
      </c>
      <c r="P158" s="20" t="n"/>
      <c r="Q158" s="20" t="inlineStr">
        <is>
          <t>No</t>
        </is>
      </c>
      <c r="R158" s="20" t="n">
        <v>3.6</v>
      </c>
      <c r="S158" s="20" t="n">
        <v>0.378</v>
      </c>
      <c r="T158" s="22">
        <f>1/2.49</f>
        <v/>
      </c>
      <c r="U158" s="20" t="n">
        <v>22.9</v>
      </c>
      <c r="V158" s="20" t="n"/>
      <c r="W158" s="20" t="n">
        <v>0.0107</v>
      </c>
      <c r="X158" s="20" t="n">
        <v>98.2</v>
      </c>
      <c r="Y158" s="24" t="inlineStr">
        <is>
          <t>[39]</t>
        </is>
      </c>
    </row>
    <row r="159" ht="15" customHeight="1">
      <c r="A159" s="20" t="inlineStr">
        <is>
          <t>Olive stone</t>
        </is>
      </c>
      <c r="B159" s="21" t="inlineStr">
        <is>
          <t>No</t>
        </is>
      </c>
      <c r="C159" s="21" t="inlineStr">
        <is>
          <t>No wash</t>
        </is>
      </c>
      <c r="D159" s="21" t="inlineStr">
        <is>
          <t>No</t>
        </is>
      </c>
      <c r="E159" s="21" t="inlineStr">
        <is>
          <t>No wash</t>
        </is>
      </c>
      <c r="F159" s="21" t="inlineStr">
        <is>
          <t>No</t>
        </is>
      </c>
      <c r="G159" s="20" t="inlineStr">
        <is>
          <t>One step</t>
        </is>
      </c>
      <c r="H159" s="20" t="inlineStr">
        <is>
          <t xml:space="preserve">Pyrolysis </t>
        </is>
      </c>
      <c r="I159" s="20" t="inlineStr">
        <is>
          <t>No</t>
        </is>
      </c>
      <c r="J159" s="20" t="inlineStr">
        <is>
          <t>No</t>
        </is>
      </c>
      <c r="K159" s="20" t="n"/>
      <c r="L159" s="20" t="n">
        <v>2000</v>
      </c>
      <c r="M159" s="20" t="inlineStr">
        <is>
          <t>No</t>
        </is>
      </c>
      <c r="N159" s="20" t="inlineStr">
        <is>
          <t>No</t>
        </is>
      </c>
      <c r="O159" s="20" t="inlineStr">
        <is>
          <t>No</t>
        </is>
      </c>
      <c r="P159" s="20" t="n"/>
      <c r="Q159" s="20" t="inlineStr">
        <is>
          <t>No</t>
        </is>
      </c>
      <c r="R159" s="20" t="n">
        <v>6.8</v>
      </c>
      <c r="S159" s="20" t="n">
        <v>0.372</v>
      </c>
      <c r="T159" s="22">
        <f>1/1.97</f>
        <v/>
      </c>
      <c r="U159" s="20" t="n">
        <v>28.2</v>
      </c>
      <c r="V159" s="20" t="n"/>
      <c r="W159" s="20" t="n">
        <v>0.0135</v>
      </c>
      <c r="X159" s="20" t="n">
        <v>99.3</v>
      </c>
      <c r="Y159" s="24" t="inlineStr">
        <is>
          <t>[39]</t>
        </is>
      </c>
    </row>
    <row r="160" ht="15" customHeight="1">
      <c r="A160" s="20" t="inlineStr">
        <is>
          <t>Kapok fiber</t>
        </is>
      </c>
      <c r="B160" s="21" t="inlineStr">
        <is>
          <t>No</t>
        </is>
      </c>
      <c r="C160" s="21" t="inlineStr">
        <is>
          <t>No wash</t>
        </is>
      </c>
      <c r="D160" s="21" t="inlineStr">
        <is>
          <t>No</t>
        </is>
      </c>
      <c r="E160" s="21" t="inlineStr">
        <is>
          <t>No wash</t>
        </is>
      </c>
      <c r="F160" s="21" t="inlineStr">
        <is>
          <t>No</t>
        </is>
      </c>
      <c r="G160" s="20" t="inlineStr">
        <is>
          <t>One step</t>
        </is>
      </c>
      <c r="H160" s="20" t="inlineStr">
        <is>
          <t xml:space="preserve">Pyrolysis </t>
        </is>
      </c>
      <c r="I160" s="20" t="inlineStr">
        <is>
          <t>No</t>
        </is>
      </c>
      <c r="J160" s="20" t="inlineStr">
        <is>
          <t>No</t>
        </is>
      </c>
      <c r="K160" s="20" t="n"/>
      <c r="L160" s="20" t="n">
        <v>1200</v>
      </c>
      <c r="M160" s="20" t="inlineStr">
        <is>
          <t>No</t>
        </is>
      </c>
      <c r="N160" s="20" t="inlineStr">
        <is>
          <t>No</t>
        </is>
      </c>
      <c r="O160" s="20" t="inlineStr">
        <is>
          <t>No</t>
        </is>
      </c>
      <c r="P160" s="20" t="n"/>
      <c r="Q160" s="20" t="inlineStr">
        <is>
          <t>No</t>
        </is>
      </c>
      <c r="R160" s="20" t="n">
        <v>10.06</v>
      </c>
      <c r="S160" s="20" t="n">
        <v>0.39</v>
      </c>
      <c r="T160" s="22">
        <f>1/1.63</f>
        <v/>
      </c>
      <c r="U160" s="20" t="n">
        <v>23.56</v>
      </c>
      <c r="V160" s="20" t="n">
        <v>1.9</v>
      </c>
      <c r="W160" s="20" t="n"/>
      <c r="X160" s="20" t="n"/>
      <c r="Y160" s="24" t="inlineStr">
        <is>
          <t>[40]</t>
        </is>
      </c>
    </row>
    <row r="161" ht="15" customHeight="1">
      <c r="A161" s="20" t="inlineStr">
        <is>
          <t>Kapok fiber</t>
        </is>
      </c>
      <c r="B161" s="21" t="inlineStr">
        <is>
          <t>No</t>
        </is>
      </c>
      <c r="C161" s="21" t="inlineStr">
        <is>
          <t>No wash</t>
        </is>
      </c>
      <c r="D161" s="21" t="inlineStr">
        <is>
          <t>No</t>
        </is>
      </c>
      <c r="E161" s="21" t="inlineStr">
        <is>
          <t>No wash</t>
        </is>
      </c>
      <c r="F161" s="21" t="inlineStr">
        <is>
          <t>No</t>
        </is>
      </c>
      <c r="G161" s="20" t="inlineStr">
        <is>
          <t>One step</t>
        </is>
      </c>
      <c r="H161" s="20" t="inlineStr">
        <is>
          <t xml:space="preserve">Pyrolysis </t>
        </is>
      </c>
      <c r="I161" s="20" t="inlineStr">
        <is>
          <t>No</t>
        </is>
      </c>
      <c r="J161" s="20" t="inlineStr">
        <is>
          <t>No</t>
        </is>
      </c>
      <c r="K161" s="20" t="n"/>
      <c r="L161" s="20" t="n">
        <v>1400</v>
      </c>
      <c r="M161" s="20" t="inlineStr">
        <is>
          <t>No</t>
        </is>
      </c>
      <c r="N161" s="20" t="inlineStr">
        <is>
          <t>No</t>
        </is>
      </c>
      <c r="O161" s="20" t="inlineStr">
        <is>
          <t>No</t>
        </is>
      </c>
      <c r="P161" s="20" t="n"/>
      <c r="Q161" s="20" t="inlineStr">
        <is>
          <t>No</t>
        </is>
      </c>
      <c r="R161" s="20" t="n">
        <v>9.199999999999999</v>
      </c>
      <c r="S161" s="20" t="n">
        <v>0.38</v>
      </c>
      <c r="T161" s="22">
        <f>1/1.71</f>
        <v/>
      </c>
      <c r="U161" s="20" t="n">
        <v>22.49</v>
      </c>
      <c r="V161" s="20" t="n">
        <v>1.8</v>
      </c>
      <c r="W161" s="20" t="n"/>
      <c r="X161" s="20" t="n">
        <v>93.59</v>
      </c>
      <c r="Y161" s="24" t="inlineStr">
        <is>
          <t>[40]</t>
        </is>
      </c>
    </row>
    <row r="162" ht="15" customHeight="1">
      <c r="A162" s="20" t="inlineStr">
        <is>
          <t>Beech wood</t>
        </is>
      </c>
      <c r="B162" s="21" t="inlineStr">
        <is>
          <t>No</t>
        </is>
      </c>
      <c r="C162" s="21" t="inlineStr">
        <is>
          <t>No wash</t>
        </is>
      </c>
      <c r="D162" s="21" t="inlineStr">
        <is>
          <t>No</t>
        </is>
      </c>
      <c r="E162" s="21" t="inlineStr">
        <is>
          <t>No wash</t>
        </is>
      </c>
      <c r="F162" s="21" t="inlineStr">
        <is>
          <t>No</t>
        </is>
      </c>
      <c r="G162" s="20" t="inlineStr">
        <is>
          <t>One step</t>
        </is>
      </c>
      <c r="H162" s="20" t="inlineStr">
        <is>
          <t xml:space="preserve">Pyrolysis </t>
        </is>
      </c>
      <c r="I162" s="20" t="inlineStr">
        <is>
          <t>No</t>
        </is>
      </c>
      <c r="J162" s="20" t="n">
        <v>60</v>
      </c>
      <c r="K162" s="20" t="n">
        <v>3.3</v>
      </c>
      <c r="L162" s="20" t="n">
        <v>1000</v>
      </c>
      <c r="M162" s="20" t="inlineStr">
        <is>
          <t>No</t>
        </is>
      </c>
      <c r="N162" s="20" t="inlineStr">
        <is>
          <t>No</t>
        </is>
      </c>
      <c r="O162" s="20" t="inlineStr">
        <is>
          <t>No</t>
        </is>
      </c>
      <c r="P162" s="20" t="n"/>
      <c r="Q162" s="20" t="inlineStr">
        <is>
          <t>No</t>
        </is>
      </c>
      <c r="R162" s="20" t="n">
        <v>16</v>
      </c>
      <c r="S162" s="20" t="n">
        <v>0.399</v>
      </c>
      <c r="T162" s="22">
        <f>1/3.41</f>
        <v/>
      </c>
      <c r="U162" s="20" t="n"/>
      <c r="V162" s="20" t="n"/>
      <c r="W162" s="20" t="n"/>
      <c r="X162" s="20" t="n">
        <v>92.8</v>
      </c>
      <c r="Y162" s="24" t="inlineStr">
        <is>
          <t>[41]</t>
        </is>
      </c>
    </row>
    <row r="163" ht="15" customHeight="1">
      <c r="A163" s="20" t="inlineStr">
        <is>
          <t>Beech wood</t>
        </is>
      </c>
      <c r="B163" s="21" t="inlineStr">
        <is>
          <t>No</t>
        </is>
      </c>
      <c r="C163" s="21" t="inlineStr">
        <is>
          <t>No wash</t>
        </is>
      </c>
      <c r="D163" s="21" t="inlineStr">
        <is>
          <t>No</t>
        </is>
      </c>
      <c r="E163" s="21" t="inlineStr">
        <is>
          <t>No wash</t>
        </is>
      </c>
      <c r="F163" s="21" t="inlineStr">
        <is>
          <t>No</t>
        </is>
      </c>
      <c r="G163" s="20" t="inlineStr">
        <is>
          <t>One step</t>
        </is>
      </c>
      <c r="H163" s="20" t="inlineStr">
        <is>
          <t xml:space="preserve">Pyrolysis </t>
        </is>
      </c>
      <c r="I163" s="20" t="inlineStr">
        <is>
          <t>No</t>
        </is>
      </c>
      <c r="J163" s="20" t="n">
        <v>60</v>
      </c>
      <c r="K163" s="20" t="n">
        <v>3.3</v>
      </c>
      <c r="L163" s="20" t="n">
        <v>1200</v>
      </c>
      <c r="M163" s="20" t="inlineStr">
        <is>
          <t>No</t>
        </is>
      </c>
      <c r="N163" s="20" t="inlineStr">
        <is>
          <t>No</t>
        </is>
      </c>
      <c r="O163" s="20" t="inlineStr">
        <is>
          <t>No</t>
        </is>
      </c>
      <c r="P163" s="20" t="n"/>
      <c r="Q163" s="20" t="inlineStr">
        <is>
          <t>No</t>
        </is>
      </c>
      <c r="R163" s="20" t="n">
        <v>6</v>
      </c>
      <c r="S163" s="20" t="n">
        <v>0.3881</v>
      </c>
      <c r="T163" s="22">
        <f>1/2.41</f>
        <v/>
      </c>
      <c r="U163" s="20" t="n"/>
      <c r="V163" s="20" t="n"/>
      <c r="W163" s="20" t="n"/>
      <c r="X163" s="20" t="n">
        <v>92.2</v>
      </c>
      <c r="Y163" s="24" t="inlineStr">
        <is>
          <t>[41]</t>
        </is>
      </c>
    </row>
    <row r="164" ht="15" customHeight="1">
      <c r="A164" s="20" t="inlineStr">
        <is>
          <t>Beech wood</t>
        </is>
      </c>
      <c r="B164" s="21" t="inlineStr">
        <is>
          <t>No</t>
        </is>
      </c>
      <c r="C164" s="21" t="inlineStr">
        <is>
          <t>No wash</t>
        </is>
      </c>
      <c r="D164" s="21" t="inlineStr">
        <is>
          <t>No</t>
        </is>
      </c>
      <c r="E164" s="21" t="inlineStr">
        <is>
          <t>No wash</t>
        </is>
      </c>
      <c r="F164" s="21" t="inlineStr">
        <is>
          <t>No</t>
        </is>
      </c>
      <c r="G164" s="20" t="inlineStr">
        <is>
          <t>One step</t>
        </is>
      </c>
      <c r="H164" s="20" t="inlineStr">
        <is>
          <t xml:space="preserve">Pyrolysis </t>
        </is>
      </c>
      <c r="I164" s="20" t="inlineStr">
        <is>
          <t>No</t>
        </is>
      </c>
      <c r="J164" s="20" t="n">
        <v>60</v>
      </c>
      <c r="K164" s="20" t="n">
        <v>3.3</v>
      </c>
      <c r="L164" s="20" t="n">
        <v>1400</v>
      </c>
      <c r="M164" s="20" t="inlineStr">
        <is>
          <t>No</t>
        </is>
      </c>
      <c r="N164" s="20" t="inlineStr">
        <is>
          <t>No</t>
        </is>
      </c>
      <c r="O164" s="20" t="inlineStr">
        <is>
          <t>No</t>
        </is>
      </c>
      <c r="P164" s="20" t="n"/>
      <c r="Q164" s="20" t="inlineStr">
        <is>
          <t>No</t>
        </is>
      </c>
      <c r="R164" s="20" t="n">
        <v>4.8</v>
      </c>
      <c r="S164" s="20" t="n">
        <v>0.37754</v>
      </c>
      <c r="T164" s="22">
        <f>1/2.01</f>
        <v/>
      </c>
      <c r="U164" s="20" t="n"/>
      <c r="V164" s="20" t="n"/>
      <c r="W164" s="20" t="n"/>
      <c r="X164" s="20" t="n">
        <v>97</v>
      </c>
      <c r="Y164" s="24" t="inlineStr">
        <is>
          <t>[41]</t>
        </is>
      </c>
    </row>
    <row r="165" ht="15" customHeight="1">
      <c r="A165" s="20" t="inlineStr">
        <is>
          <t>Pine</t>
        </is>
      </c>
      <c r="B165" s="21" t="inlineStr">
        <is>
          <t>No</t>
        </is>
      </c>
      <c r="C165" s="21" t="inlineStr">
        <is>
          <t>No wash</t>
        </is>
      </c>
      <c r="D165" s="21" t="inlineStr">
        <is>
          <t>No</t>
        </is>
      </c>
      <c r="E165" s="21" t="inlineStr">
        <is>
          <t>No wash</t>
        </is>
      </c>
      <c r="F165" s="21" t="inlineStr">
        <is>
          <t>No</t>
        </is>
      </c>
      <c r="G165" s="20" t="inlineStr">
        <is>
          <t>One step</t>
        </is>
      </c>
      <c r="H165" s="20" t="inlineStr">
        <is>
          <t xml:space="preserve">Pyrolysis </t>
        </is>
      </c>
      <c r="I165" s="20" t="inlineStr">
        <is>
          <t>No</t>
        </is>
      </c>
      <c r="J165" s="20" t="n">
        <v>60</v>
      </c>
      <c r="K165" s="20" t="n">
        <v>3.3</v>
      </c>
      <c r="L165" s="20" t="n">
        <v>1000</v>
      </c>
      <c r="M165" s="20" t="inlineStr">
        <is>
          <t>No</t>
        </is>
      </c>
      <c r="N165" s="20" t="inlineStr">
        <is>
          <t>No</t>
        </is>
      </c>
      <c r="O165" s="20" t="inlineStr">
        <is>
          <t>No</t>
        </is>
      </c>
      <c r="P165" s="20" t="n"/>
      <c r="Q165" s="20" t="inlineStr">
        <is>
          <t>No</t>
        </is>
      </c>
      <c r="R165" s="20" t="n">
        <v>141</v>
      </c>
      <c r="S165" s="20" t="n">
        <v>0.3786</v>
      </c>
      <c r="T165" s="22">
        <f>1/2.28</f>
        <v/>
      </c>
      <c r="U165" s="20" t="n"/>
      <c r="V165" s="20" t="n"/>
      <c r="W165" s="20" t="n"/>
      <c r="X165" s="20" t="n">
        <v>93.90000000000001</v>
      </c>
      <c r="Y165" s="24" t="inlineStr">
        <is>
          <t>[41]</t>
        </is>
      </c>
    </row>
    <row r="166" ht="15" customHeight="1">
      <c r="A166" s="20" t="inlineStr">
        <is>
          <t>Pine</t>
        </is>
      </c>
      <c r="B166" s="21" t="inlineStr">
        <is>
          <t>No</t>
        </is>
      </c>
      <c r="C166" s="21" t="inlineStr">
        <is>
          <t>No wash</t>
        </is>
      </c>
      <c r="D166" s="21" t="inlineStr">
        <is>
          <t>No</t>
        </is>
      </c>
      <c r="E166" s="21" t="inlineStr">
        <is>
          <t>No wash</t>
        </is>
      </c>
      <c r="F166" s="21" t="inlineStr">
        <is>
          <t>No</t>
        </is>
      </c>
      <c r="G166" s="20" t="inlineStr">
        <is>
          <t>One step</t>
        </is>
      </c>
      <c r="H166" s="20" t="inlineStr">
        <is>
          <t xml:space="preserve">Pyrolysis </t>
        </is>
      </c>
      <c r="I166" s="20" t="inlineStr">
        <is>
          <t>No</t>
        </is>
      </c>
      <c r="J166" s="20" t="n">
        <v>60</v>
      </c>
      <c r="K166" s="20" t="n">
        <v>3.3</v>
      </c>
      <c r="L166" s="20" t="n">
        <v>1200</v>
      </c>
      <c r="M166" s="20" t="inlineStr">
        <is>
          <t>No</t>
        </is>
      </c>
      <c r="N166" s="20" t="inlineStr">
        <is>
          <t>No</t>
        </is>
      </c>
      <c r="O166" s="20" t="inlineStr">
        <is>
          <t>No</t>
        </is>
      </c>
      <c r="P166" s="20" t="n"/>
      <c r="Q166" s="20" t="inlineStr">
        <is>
          <t>No</t>
        </is>
      </c>
      <c r="R166" s="20" t="n">
        <v>3.8</v>
      </c>
      <c r="S166" s="20" t="n">
        <v>0.3868</v>
      </c>
      <c r="T166" s="22">
        <f>1/2.23</f>
        <v/>
      </c>
      <c r="U166" s="20" t="n"/>
      <c r="V166" s="20" t="n"/>
      <c r="W166" s="20" t="n"/>
      <c r="X166" s="20" t="n">
        <v>92.40000000000001</v>
      </c>
      <c r="Y166" s="24" t="inlineStr">
        <is>
          <t>[41]</t>
        </is>
      </c>
    </row>
    <row r="167" ht="15" customHeight="1">
      <c r="A167" s="20" t="inlineStr">
        <is>
          <t>Pine</t>
        </is>
      </c>
      <c r="B167" s="21" t="inlineStr">
        <is>
          <t>No</t>
        </is>
      </c>
      <c r="C167" s="21" t="inlineStr">
        <is>
          <t>No wash</t>
        </is>
      </c>
      <c r="D167" s="21" t="inlineStr">
        <is>
          <t>No</t>
        </is>
      </c>
      <c r="E167" s="21" t="inlineStr">
        <is>
          <t>No wash</t>
        </is>
      </c>
      <c r="F167" s="21" t="inlineStr">
        <is>
          <t>No</t>
        </is>
      </c>
      <c r="G167" s="20" t="inlineStr">
        <is>
          <t>One step</t>
        </is>
      </c>
      <c r="H167" s="20" t="inlineStr">
        <is>
          <t xml:space="preserve">Pyrolysis </t>
        </is>
      </c>
      <c r="I167" s="20" t="inlineStr">
        <is>
          <t>No</t>
        </is>
      </c>
      <c r="J167" s="20" t="n">
        <v>60</v>
      </c>
      <c r="K167" s="20" t="n">
        <v>3.3</v>
      </c>
      <c r="L167" s="20" t="n">
        <v>1400</v>
      </c>
      <c r="M167" s="20" t="inlineStr">
        <is>
          <t>No</t>
        </is>
      </c>
      <c r="N167" s="20" t="inlineStr">
        <is>
          <t>No</t>
        </is>
      </c>
      <c r="O167" s="20" t="inlineStr">
        <is>
          <t>No</t>
        </is>
      </c>
      <c r="P167" s="20" t="n"/>
      <c r="Q167" s="20" t="inlineStr">
        <is>
          <t>No</t>
        </is>
      </c>
      <c r="R167" s="20" t="n">
        <v>5</v>
      </c>
      <c r="S167" s="20" t="n">
        <v>0.3759</v>
      </c>
      <c r="T167" s="22">
        <f>1/2.04</f>
        <v/>
      </c>
      <c r="U167" s="20" t="n"/>
      <c r="V167" s="20" t="n"/>
      <c r="W167" s="20" t="n"/>
      <c r="X167" s="20" t="n">
        <v>98</v>
      </c>
      <c r="Y167" s="24" t="inlineStr">
        <is>
          <t>[41]</t>
        </is>
      </c>
    </row>
    <row r="168" ht="15" customHeight="1">
      <c r="A168" s="20" t="inlineStr">
        <is>
          <t>Wheat straw</t>
        </is>
      </c>
      <c r="B168" s="21" t="inlineStr">
        <is>
          <t>No</t>
        </is>
      </c>
      <c r="C168" s="21" t="inlineStr">
        <is>
          <t>No wash</t>
        </is>
      </c>
      <c r="D168" s="21" t="inlineStr">
        <is>
          <t>No</t>
        </is>
      </c>
      <c r="E168" s="21" t="inlineStr">
        <is>
          <t>No wash</t>
        </is>
      </c>
      <c r="F168" s="21" t="inlineStr">
        <is>
          <t>No</t>
        </is>
      </c>
      <c r="G168" s="20" t="inlineStr">
        <is>
          <t>One step</t>
        </is>
      </c>
      <c r="H168" s="20" t="inlineStr">
        <is>
          <t xml:space="preserve">Pyrolysis </t>
        </is>
      </c>
      <c r="I168" s="20" t="inlineStr">
        <is>
          <t>No</t>
        </is>
      </c>
      <c r="J168" s="20" t="n">
        <v>60</v>
      </c>
      <c r="K168" s="20" t="n">
        <v>3.3</v>
      </c>
      <c r="L168" s="20" t="n">
        <v>1000</v>
      </c>
      <c r="M168" s="20" t="inlineStr">
        <is>
          <t>No</t>
        </is>
      </c>
      <c r="N168" s="20" t="inlineStr">
        <is>
          <t>No</t>
        </is>
      </c>
      <c r="O168" s="20" t="inlineStr">
        <is>
          <t>No</t>
        </is>
      </c>
      <c r="P168" s="20" t="n"/>
      <c r="Q168" s="20" t="inlineStr">
        <is>
          <t>No</t>
        </is>
      </c>
      <c r="R168" s="20" t="n">
        <v>10.5</v>
      </c>
      <c r="S168" s="20" t="n"/>
      <c r="T168" s="22">
        <f>1/2.14</f>
        <v/>
      </c>
      <c r="U168" s="20" t="n"/>
      <c r="V168" s="20" t="n"/>
      <c r="W168" s="20" t="n"/>
      <c r="X168" s="20" t="n">
        <v>70.90000000000001</v>
      </c>
      <c r="Y168" s="24" t="inlineStr">
        <is>
          <t>[41]</t>
        </is>
      </c>
    </row>
    <row r="169" ht="15" customHeight="1">
      <c r="A169" s="20" t="inlineStr">
        <is>
          <t>Wheat straw</t>
        </is>
      </c>
      <c r="B169" s="21" t="inlineStr">
        <is>
          <t>No</t>
        </is>
      </c>
      <c r="C169" s="21" t="inlineStr">
        <is>
          <t>No wash</t>
        </is>
      </c>
      <c r="D169" s="21" t="inlineStr">
        <is>
          <t>No</t>
        </is>
      </c>
      <c r="E169" s="21" t="inlineStr">
        <is>
          <t>No wash</t>
        </is>
      </c>
      <c r="F169" s="21" t="inlineStr">
        <is>
          <t>No</t>
        </is>
      </c>
      <c r="G169" s="20" t="inlineStr">
        <is>
          <t>One step</t>
        </is>
      </c>
      <c r="H169" s="20" t="inlineStr">
        <is>
          <t xml:space="preserve">Pyrolysis </t>
        </is>
      </c>
      <c r="I169" s="20" t="inlineStr">
        <is>
          <t>No</t>
        </is>
      </c>
      <c r="J169" s="20" t="n">
        <v>60</v>
      </c>
      <c r="K169" s="20" t="n">
        <v>3.3</v>
      </c>
      <c r="L169" s="20" t="n">
        <v>1200</v>
      </c>
      <c r="M169" s="20" t="inlineStr">
        <is>
          <t>No</t>
        </is>
      </c>
      <c r="N169" s="20" t="inlineStr">
        <is>
          <t>No</t>
        </is>
      </c>
      <c r="O169" s="20" t="inlineStr">
        <is>
          <t>No</t>
        </is>
      </c>
      <c r="P169" s="20" t="n"/>
      <c r="Q169" s="20" t="inlineStr">
        <is>
          <t>No</t>
        </is>
      </c>
      <c r="R169" s="20" t="n">
        <v>22</v>
      </c>
      <c r="S169" s="20" t="n"/>
      <c r="T169" s="22">
        <f>1/2.52</f>
        <v/>
      </c>
      <c r="U169" s="20" t="n"/>
      <c r="V169" s="20" t="n"/>
      <c r="W169" s="20" t="n"/>
      <c r="X169" s="20" t="n">
        <v>75.09999999999999</v>
      </c>
      <c r="Y169" s="24" t="inlineStr">
        <is>
          <t>[41]</t>
        </is>
      </c>
    </row>
    <row r="170" ht="15" customHeight="1">
      <c r="A170" s="20" t="inlineStr">
        <is>
          <t>Wheat straw</t>
        </is>
      </c>
      <c r="B170" s="21" t="inlineStr">
        <is>
          <t>No</t>
        </is>
      </c>
      <c r="C170" s="21" t="inlineStr">
        <is>
          <t>No wash</t>
        </is>
      </c>
      <c r="D170" s="21" t="inlineStr">
        <is>
          <t>No</t>
        </is>
      </c>
      <c r="E170" s="21" t="inlineStr">
        <is>
          <t>No wash</t>
        </is>
      </c>
      <c r="F170" s="21" t="inlineStr">
        <is>
          <t>No</t>
        </is>
      </c>
      <c r="G170" s="20" t="inlineStr">
        <is>
          <t>One step</t>
        </is>
      </c>
      <c r="H170" s="20" t="inlineStr">
        <is>
          <t xml:space="preserve">Pyrolysis </t>
        </is>
      </c>
      <c r="I170" s="20" t="inlineStr">
        <is>
          <t>No</t>
        </is>
      </c>
      <c r="J170" s="20" t="n">
        <v>60</v>
      </c>
      <c r="K170" s="20" t="n">
        <v>3.3</v>
      </c>
      <c r="L170" s="20" t="n">
        <v>1400</v>
      </c>
      <c r="M170" s="20" t="inlineStr">
        <is>
          <t>No</t>
        </is>
      </c>
      <c r="N170" s="20" t="inlineStr">
        <is>
          <t>No</t>
        </is>
      </c>
      <c r="O170" s="20" t="inlineStr">
        <is>
          <t>No</t>
        </is>
      </c>
      <c r="P170" s="20" t="n"/>
      <c r="Q170" s="20" t="inlineStr">
        <is>
          <t>No</t>
        </is>
      </c>
      <c r="R170" s="20" t="n">
        <v>42</v>
      </c>
      <c r="S170" s="20" t="n"/>
      <c r="T170" s="22">
        <f>1/1.8</f>
        <v/>
      </c>
      <c r="U170" s="20" t="n"/>
      <c r="V170" s="20" t="n"/>
      <c r="W170" s="20" t="n"/>
      <c r="X170" s="20" t="n">
        <v>83.5</v>
      </c>
      <c r="Y170" s="24" t="inlineStr">
        <is>
          <t>[41]</t>
        </is>
      </c>
    </row>
    <row r="171" ht="15" customHeight="1">
      <c r="A171" s="20" t="inlineStr">
        <is>
          <t>Miscanthus</t>
        </is>
      </c>
      <c r="B171" s="21" t="inlineStr">
        <is>
          <t>No</t>
        </is>
      </c>
      <c r="C171" s="21" t="inlineStr">
        <is>
          <t>No wash</t>
        </is>
      </c>
      <c r="D171" s="21" t="inlineStr">
        <is>
          <t>No</t>
        </is>
      </c>
      <c r="E171" s="21" t="inlineStr">
        <is>
          <t>No wash</t>
        </is>
      </c>
      <c r="F171" s="21" t="inlineStr">
        <is>
          <t>No</t>
        </is>
      </c>
      <c r="G171" s="20" t="inlineStr">
        <is>
          <t>One step</t>
        </is>
      </c>
      <c r="H171" s="20" t="inlineStr">
        <is>
          <t xml:space="preserve">Pyrolysis </t>
        </is>
      </c>
      <c r="I171" s="20" t="inlineStr">
        <is>
          <t>No</t>
        </is>
      </c>
      <c r="J171" s="20" t="n">
        <v>60</v>
      </c>
      <c r="K171" s="20" t="n">
        <v>3.3</v>
      </c>
      <c r="L171" s="20" t="n">
        <v>1000</v>
      </c>
      <c r="M171" s="20" t="inlineStr">
        <is>
          <t>No</t>
        </is>
      </c>
      <c r="N171" s="20" t="inlineStr">
        <is>
          <t>No</t>
        </is>
      </c>
      <c r="O171" s="20" t="inlineStr">
        <is>
          <t>No</t>
        </is>
      </c>
      <c r="P171" s="20" t="n"/>
      <c r="Q171" s="20" t="inlineStr">
        <is>
          <t>No</t>
        </is>
      </c>
      <c r="R171" s="20" t="n">
        <v>11</v>
      </c>
      <c r="S171" s="20" t="n"/>
      <c r="T171" s="22">
        <f>1/3.63</f>
        <v/>
      </c>
      <c r="U171" s="20" t="n"/>
      <c r="V171" s="20" t="n"/>
      <c r="W171" s="20" t="n"/>
      <c r="X171" s="20" t="n">
        <v>87.09999999999999</v>
      </c>
      <c r="Y171" s="24" t="inlineStr">
        <is>
          <t>[41]</t>
        </is>
      </c>
    </row>
    <row r="172" ht="15" customHeight="1">
      <c r="A172" s="20" t="inlineStr">
        <is>
          <t>Miscanthus</t>
        </is>
      </c>
      <c r="B172" s="21" t="inlineStr">
        <is>
          <t>No</t>
        </is>
      </c>
      <c r="C172" s="21" t="inlineStr">
        <is>
          <t>No wash</t>
        </is>
      </c>
      <c r="D172" s="21" t="inlineStr">
        <is>
          <t>No</t>
        </is>
      </c>
      <c r="E172" s="21" t="inlineStr">
        <is>
          <t>No wash</t>
        </is>
      </c>
      <c r="F172" s="21" t="inlineStr">
        <is>
          <t>No</t>
        </is>
      </c>
      <c r="G172" s="20" t="inlineStr">
        <is>
          <t>One step</t>
        </is>
      </c>
      <c r="H172" s="20" t="inlineStr">
        <is>
          <t xml:space="preserve">Pyrolysis </t>
        </is>
      </c>
      <c r="I172" s="20" t="inlineStr">
        <is>
          <t>No</t>
        </is>
      </c>
      <c r="J172" s="20" t="n">
        <v>60</v>
      </c>
      <c r="K172" s="20" t="n">
        <v>3.3</v>
      </c>
      <c r="L172" s="20" t="n">
        <v>1200</v>
      </c>
      <c r="M172" s="20" t="inlineStr">
        <is>
          <t>No</t>
        </is>
      </c>
      <c r="N172" s="20" t="inlineStr">
        <is>
          <t>No</t>
        </is>
      </c>
      <c r="O172" s="20" t="inlineStr">
        <is>
          <t>No</t>
        </is>
      </c>
      <c r="P172" s="20" t="n"/>
      <c r="Q172" s="20" t="inlineStr">
        <is>
          <t>No</t>
        </is>
      </c>
      <c r="R172" s="20" t="n">
        <v>8</v>
      </c>
      <c r="S172" s="20" t="n"/>
      <c r="T172" s="22">
        <f>1/2.48</f>
        <v/>
      </c>
      <c r="U172" s="20" t="n"/>
      <c r="V172" s="20" t="n"/>
      <c r="W172" s="20" t="n"/>
      <c r="X172" s="20" t="n">
        <v>84.7</v>
      </c>
      <c r="Y172" s="24" t="inlineStr">
        <is>
          <t>[41]</t>
        </is>
      </c>
    </row>
    <row r="173" ht="15" customHeight="1">
      <c r="A173" s="20" t="inlineStr">
        <is>
          <t>Miscanthus</t>
        </is>
      </c>
      <c r="B173" s="21" t="inlineStr">
        <is>
          <t>No</t>
        </is>
      </c>
      <c r="C173" s="21" t="inlineStr">
        <is>
          <t>No wash</t>
        </is>
      </c>
      <c r="D173" s="21" t="inlineStr">
        <is>
          <t>No</t>
        </is>
      </c>
      <c r="E173" s="21" t="inlineStr">
        <is>
          <t>No wash</t>
        </is>
      </c>
      <c r="F173" s="21" t="inlineStr">
        <is>
          <t>No</t>
        </is>
      </c>
      <c r="G173" s="20" t="inlineStr">
        <is>
          <t>One step</t>
        </is>
      </c>
      <c r="H173" s="20" t="inlineStr">
        <is>
          <t xml:space="preserve">Pyrolysis </t>
        </is>
      </c>
      <c r="I173" s="20" t="inlineStr">
        <is>
          <t>No</t>
        </is>
      </c>
      <c r="J173" s="20" t="n">
        <v>60</v>
      </c>
      <c r="K173" s="20" t="n">
        <v>3.3</v>
      </c>
      <c r="L173" s="20" t="n">
        <v>1400</v>
      </c>
      <c r="M173" s="20" t="inlineStr">
        <is>
          <t>No</t>
        </is>
      </c>
      <c r="N173" s="20" t="inlineStr">
        <is>
          <t>No</t>
        </is>
      </c>
      <c r="O173" s="20" t="inlineStr">
        <is>
          <t>No</t>
        </is>
      </c>
      <c r="P173" s="20" t="n"/>
      <c r="Q173" s="20" t="inlineStr">
        <is>
          <t>No</t>
        </is>
      </c>
      <c r="R173" s="20" t="n">
        <v>12</v>
      </c>
      <c r="S173" s="20" t="n"/>
      <c r="T173" s="22">
        <f>1/2.18</f>
        <v/>
      </c>
      <c r="U173" s="20" t="n"/>
      <c r="V173" s="20" t="n"/>
      <c r="W173" s="20" t="n"/>
      <c r="X173" s="20" t="n">
        <v>93.2</v>
      </c>
      <c r="Y173" s="24" t="inlineStr">
        <is>
          <t>[41]</t>
        </is>
      </c>
    </row>
    <row r="174" ht="15" customHeight="1">
      <c r="A174" s="20" t="inlineStr">
        <is>
          <t>Cedarwood bark</t>
        </is>
      </c>
      <c r="B174" s="21" t="inlineStr">
        <is>
          <t>Biomass (H2O) / Carbon (Dilute HCl + H2O)</t>
        </is>
      </c>
      <c r="C174" s="21" t="inlineStr">
        <is>
          <t>Water wash</t>
        </is>
      </c>
      <c r="D174" s="21" t="inlineStr">
        <is>
          <t>No</t>
        </is>
      </c>
      <c r="E174" s="21" t="inlineStr">
        <is>
          <t>Acid wash</t>
        </is>
      </c>
      <c r="F174" s="21" t="inlineStr">
        <is>
          <t>Mild</t>
        </is>
      </c>
      <c r="G174" s="20" t="inlineStr">
        <is>
          <t>One step</t>
        </is>
      </c>
      <c r="H174" s="20" t="inlineStr">
        <is>
          <t xml:space="preserve">Pyrolysis </t>
        </is>
      </c>
      <c r="I174" s="20" t="inlineStr">
        <is>
          <t>No</t>
        </is>
      </c>
      <c r="J174" s="20" t="n">
        <v>120</v>
      </c>
      <c r="K174" s="20" t="n">
        <v>3</v>
      </c>
      <c r="L174" s="20" t="n">
        <v>600</v>
      </c>
      <c r="M174" s="20" t="inlineStr">
        <is>
          <t>No</t>
        </is>
      </c>
      <c r="N174" s="20" t="inlineStr">
        <is>
          <t>No</t>
        </is>
      </c>
      <c r="O174" s="20" t="inlineStr">
        <is>
          <t>No</t>
        </is>
      </c>
      <c r="P174" s="20" t="n"/>
      <c r="Q174" s="20" t="inlineStr">
        <is>
          <t>No</t>
        </is>
      </c>
      <c r="R174" s="20" t="n">
        <v>7.72</v>
      </c>
      <c r="S174" s="20" t="n">
        <v>0.392</v>
      </c>
      <c r="T174" s="22" t="n">
        <v>0.34</v>
      </c>
      <c r="U174" s="20" t="n"/>
      <c r="V174" s="20" t="n">
        <v>1.22</v>
      </c>
      <c r="W174" s="20" t="n">
        <v>0.008999999999999999</v>
      </c>
      <c r="X174" s="20" t="n"/>
      <c r="Y174" s="24" t="inlineStr">
        <is>
          <t>[42]</t>
        </is>
      </c>
    </row>
    <row r="175" ht="15" customHeight="1">
      <c r="A175" s="20" t="inlineStr">
        <is>
          <t>Cedarwood bark</t>
        </is>
      </c>
      <c r="B175" s="21" t="inlineStr">
        <is>
          <t>Biomass (H2O) / Carbon (Dilute HCl + H2O)</t>
        </is>
      </c>
      <c r="C175" s="21" t="inlineStr">
        <is>
          <t>Water wash</t>
        </is>
      </c>
      <c r="D175" s="21" t="inlineStr">
        <is>
          <t>No</t>
        </is>
      </c>
      <c r="E175" s="21" t="inlineStr">
        <is>
          <t>Acid wash</t>
        </is>
      </c>
      <c r="F175" s="21" t="inlineStr">
        <is>
          <t>Mild</t>
        </is>
      </c>
      <c r="G175" s="20" t="inlineStr">
        <is>
          <t>One step</t>
        </is>
      </c>
      <c r="H175" s="20" t="inlineStr">
        <is>
          <t xml:space="preserve">Pyrolysis </t>
        </is>
      </c>
      <c r="I175" s="20" t="inlineStr">
        <is>
          <t>No</t>
        </is>
      </c>
      <c r="J175" s="20" t="n">
        <v>120</v>
      </c>
      <c r="K175" s="20" t="n">
        <v>3</v>
      </c>
      <c r="L175" s="20" t="n">
        <v>800</v>
      </c>
      <c r="M175" s="20" t="inlineStr">
        <is>
          <t>No</t>
        </is>
      </c>
      <c r="N175" s="20" t="inlineStr">
        <is>
          <t>No</t>
        </is>
      </c>
      <c r="O175" s="20" t="inlineStr">
        <is>
          <t>No</t>
        </is>
      </c>
      <c r="P175" s="20" t="n"/>
      <c r="Q175" s="20" t="inlineStr">
        <is>
          <t>No</t>
        </is>
      </c>
      <c r="R175" s="20" t="n">
        <v>441</v>
      </c>
      <c r="S175" s="20" t="n">
        <v>0.389</v>
      </c>
      <c r="T175" s="22" t="n">
        <v>0.38</v>
      </c>
      <c r="U175" s="20" t="n"/>
      <c r="V175" s="20" t="n">
        <v>1.36</v>
      </c>
      <c r="W175" s="20" t="n">
        <v>0.226</v>
      </c>
      <c r="X175" s="20" t="n"/>
      <c r="Y175" s="24" t="inlineStr">
        <is>
          <t>[42]</t>
        </is>
      </c>
    </row>
    <row r="176" ht="15" customHeight="1">
      <c r="A176" s="20" t="inlineStr">
        <is>
          <t>Cedarwood bark</t>
        </is>
      </c>
      <c r="B176" s="21" t="inlineStr">
        <is>
          <t>Biomass (H2O) / Carbon (Dilute HCl + H2O)</t>
        </is>
      </c>
      <c r="C176" s="21" t="inlineStr">
        <is>
          <t>Water wash</t>
        </is>
      </c>
      <c r="D176" s="21" t="inlineStr">
        <is>
          <t>No</t>
        </is>
      </c>
      <c r="E176" s="21" t="inlineStr">
        <is>
          <t>Acid wash</t>
        </is>
      </c>
      <c r="F176" s="21" t="inlineStr">
        <is>
          <t>Mild</t>
        </is>
      </c>
      <c r="G176" s="20" t="inlineStr">
        <is>
          <t>One step</t>
        </is>
      </c>
      <c r="H176" s="20" t="inlineStr">
        <is>
          <t xml:space="preserve">Pyrolysis </t>
        </is>
      </c>
      <c r="I176" s="20" t="inlineStr">
        <is>
          <t>No</t>
        </is>
      </c>
      <c r="J176" s="20" t="n">
        <v>120</v>
      </c>
      <c r="K176" s="20" t="n">
        <v>3</v>
      </c>
      <c r="L176" s="20" t="n">
        <v>1000</v>
      </c>
      <c r="M176" s="20" t="inlineStr">
        <is>
          <t>No</t>
        </is>
      </c>
      <c r="N176" s="20" t="inlineStr">
        <is>
          <t>No</t>
        </is>
      </c>
      <c r="O176" s="20" t="inlineStr">
        <is>
          <t>No</t>
        </is>
      </c>
      <c r="P176" s="20" t="n"/>
      <c r="Q176" s="20" t="inlineStr">
        <is>
          <t>No</t>
        </is>
      </c>
      <c r="R176" s="20" t="n">
        <v>74.7</v>
      </c>
      <c r="S176" s="20" t="n">
        <v>0.386</v>
      </c>
      <c r="T176" s="22" t="n">
        <v>0.45</v>
      </c>
      <c r="U176" s="20" t="n"/>
      <c r="V176" s="20" t="n">
        <v>1.57</v>
      </c>
      <c r="W176" s="20" t="n">
        <v>0.044</v>
      </c>
      <c r="X176" s="20" t="n"/>
      <c r="Y176" s="24" t="inlineStr">
        <is>
          <t>[42]</t>
        </is>
      </c>
    </row>
    <row r="177" ht="15" customHeight="1">
      <c r="A177" s="20" t="inlineStr">
        <is>
          <t>Tamarind fruits</t>
        </is>
      </c>
      <c r="B177" s="21" t="inlineStr">
        <is>
          <t>Water washing</t>
        </is>
      </c>
      <c r="C177" s="21" t="inlineStr">
        <is>
          <t>Water wash</t>
        </is>
      </c>
      <c r="D177" s="21" t="inlineStr">
        <is>
          <t>No</t>
        </is>
      </c>
      <c r="E177" s="21" t="inlineStr">
        <is>
          <t>No wash</t>
        </is>
      </c>
      <c r="F177" s="21" t="inlineStr">
        <is>
          <t>No</t>
        </is>
      </c>
      <c r="G177" s="20" t="inlineStr">
        <is>
          <t>One step</t>
        </is>
      </c>
      <c r="H177" s="20" t="inlineStr">
        <is>
          <t xml:space="preserve">Pyrolysis </t>
        </is>
      </c>
      <c r="I177" s="20" t="inlineStr">
        <is>
          <t>No</t>
        </is>
      </c>
      <c r="J177" s="20" t="inlineStr">
        <is>
          <t>No</t>
        </is>
      </c>
      <c r="K177" s="20" t="n">
        <v>5</v>
      </c>
      <c r="L177" s="20" t="n">
        <v>800</v>
      </c>
      <c r="M177" s="20" t="inlineStr">
        <is>
          <t>No</t>
        </is>
      </c>
      <c r="N177" s="20" t="inlineStr">
        <is>
          <t>No</t>
        </is>
      </c>
      <c r="O177" s="20" t="inlineStr">
        <is>
          <t>No</t>
        </is>
      </c>
      <c r="P177" s="20" t="n"/>
      <c r="Q177" s="20" t="inlineStr">
        <is>
          <t>No</t>
        </is>
      </c>
      <c r="R177" s="20" t="n">
        <v>49.7</v>
      </c>
      <c r="S177" s="20" t="n">
        <v>0.4205</v>
      </c>
      <c r="T177" s="22" t="n">
        <v>0.61</v>
      </c>
      <c r="U177" s="20" t="n"/>
      <c r="V177" s="20" t="n"/>
      <c r="W177" s="20" t="n"/>
      <c r="X177" s="20" t="n"/>
      <c r="Y177" s="24" t="inlineStr">
        <is>
          <t>[43]</t>
        </is>
      </c>
    </row>
    <row r="178" ht="15" customHeight="1">
      <c r="A178" s="20" t="inlineStr">
        <is>
          <t>Tamarind fruits</t>
        </is>
      </c>
      <c r="B178" s="21" t="inlineStr">
        <is>
          <t>Water washing</t>
        </is>
      </c>
      <c r="C178" s="21" t="inlineStr">
        <is>
          <t>Water wash</t>
        </is>
      </c>
      <c r="D178" s="21" t="inlineStr">
        <is>
          <t>No</t>
        </is>
      </c>
      <c r="E178" s="21" t="inlineStr">
        <is>
          <t>No wash</t>
        </is>
      </c>
      <c r="F178" s="21" t="inlineStr">
        <is>
          <t>No</t>
        </is>
      </c>
      <c r="G178" s="20" t="inlineStr">
        <is>
          <t>One step</t>
        </is>
      </c>
      <c r="H178" s="20" t="inlineStr">
        <is>
          <t xml:space="preserve">Pyrolysis </t>
        </is>
      </c>
      <c r="I178" s="20" t="inlineStr">
        <is>
          <t>No</t>
        </is>
      </c>
      <c r="J178" s="20" t="inlineStr">
        <is>
          <t>No</t>
        </is>
      </c>
      <c r="K178" s="20" t="n">
        <v>5</v>
      </c>
      <c r="L178" s="20" t="n">
        <v>1000</v>
      </c>
      <c r="M178" s="20" t="inlineStr">
        <is>
          <t>No</t>
        </is>
      </c>
      <c r="N178" s="20" t="inlineStr">
        <is>
          <t>No</t>
        </is>
      </c>
      <c r="O178" s="20" t="inlineStr">
        <is>
          <t>No</t>
        </is>
      </c>
      <c r="P178" s="20" t="n"/>
      <c r="Q178" s="20" t="inlineStr">
        <is>
          <t>No</t>
        </is>
      </c>
      <c r="R178" s="20" t="n">
        <v>42.91</v>
      </c>
      <c r="S178" s="20" t="n">
        <v>0.4163</v>
      </c>
      <c r="T178" s="22" t="n">
        <v>0.6899999999999999</v>
      </c>
      <c r="U178" s="20" t="n"/>
      <c r="V178" s="20" t="n"/>
      <c r="W178" s="20" t="n"/>
      <c r="X178" s="20" t="n"/>
      <c r="Y178" s="24" t="inlineStr">
        <is>
          <t>[43]</t>
        </is>
      </c>
    </row>
    <row r="179" ht="15" customHeight="1">
      <c r="A179" s="20" t="inlineStr">
        <is>
          <t>Tamarind fruits</t>
        </is>
      </c>
      <c r="B179" s="21" t="inlineStr">
        <is>
          <t>Water washing</t>
        </is>
      </c>
      <c r="C179" s="21" t="inlineStr">
        <is>
          <t>Water wash</t>
        </is>
      </c>
      <c r="D179" s="21" t="inlineStr">
        <is>
          <t>No</t>
        </is>
      </c>
      <c r="E179" s="21" t="inlineStr">
        <is>
          <t>No wash</t>
        </is>
      </c>
      <c r="F179" s="21" t="inlineStr">
        <is>
          <t>No</t>
        </is>
      </c>
      <c r="G179" s="20" t="inlineStr">
        <is>
          <t>One step</t>
        </is>
      </c>
      <c r="H179" s="20" t="inlineStr">
        <is>
          <t xml:space="preserve">Pyrolysis </t>
        </is>
      </c>
      <c r="I179" s="20" t="inlineStr">
        <is>
          <t>No</t>
        </is>
      </c>
      <c r="J179" s="20" t="inlineStr">
        <is>
          <t>No</t>
        </is>
      </c>
      <c r="K179" s="20" t="n">
        <v>5</v>
      </c>
      <c r="L179" s="20" t="n">
        <v>1100</v>
      </c>
      <c r="M179" s="20" t="inlineStr">
        <is>
          <t>No</t>
        </is>
      </c>
      <c r="N179" s="20" t="inlineStr">
        <is>
          <t>No</t>
        </is>
      </c>
      <c r="O179" s="20" t="inlineStr">
        <is>
          <t>No</t>
        </is>
      </c>
      <c r="P179" s="20" t="n"/>
      <c r="Q179" s="20" t="inlineStr">
        <is>
          <t>No</t>
        </is>
      </c>
      <c r="R179" s="20" t="n">
        <v>29.67</v>
      </c>
      <c r="S179" s="20" t="n">
        <v>0.3954</v>
      </c>
      <c r="T179" s="22" t="n">
        <v>0.75</v>
      </c>
      <c r="U179" s="20" t="n"/>
      <c r="V179" s="20" t="n"/>
      <c r="W179" s="20" t="n"/>
      <c r="X179" s="20" t="n"/>
      <c r="Y179" s="24" t="inlineStr">
        <is>
          <t>[43]</t>
        </is>
      </c>
    </row>
    <row r="180" ht="15" customHeight="1">
      <c r="A180" s="20" t="inlineStr">
        <is>
          <t>Tamarind fruits</t>
        </is>
      </c>
      <c r="B180" s="21" t="inlineStr">
        <is>
          <t>Water washing</t>
        </is>
      </c>
      <c r="C180" s="21" t="inlineStr">
        <is>
          <t>Water wash</t>
        </is>
      </c>
      <c r="D180" s="21" t="inlineStr">
        <is>
          <t>No</t>
        </is>
      </c>
      <c r="E180" s="21" t="inlineStr">
        <is>
          <t>No wash</t>
        </is>
      </c>
      <c r="F180" s="21" t="inlineStr">
        <is>
          <t>No</t>
        </is>
      </c>
      <c r="G180" s="20" t="inlineStr">
        <is>
          <t>One step</t>
        </is>
      </c>
      <c r="H180" s="20" t="inlineStr">
        <is>
          <t xml:space="preserve">Pyrolysis </t>
        </is>
      </c>
      <c r="I180" s="20" t="inlineStr">
        <is>
          <t>No</t>
        </is>
      </c>
      <c r="J180" s="20" t="inlineStr">
        <is>
          <t>No</t>
        </is>
      </c>
      <c r="K180" s="20" t="n">
        <v>5</v>
      </c>
      <c r="L180" s="20" t="n">
        <v>1200</v>
      </c>
      <c r="M180" s="20" t="inlineStr">
        <is>
          <t>No</t>
        </is>
      </c>
      <c r="N180" s="20" t="inlineStr">
        <is>
          <t>No</t>
        </is>
      </c>
      <c r="O180" s="20" t="inlineStr">
        <is>
          <t>No</t>
        </is>
      </c>
      <c r="P180" s="20" t="n"/>
      <c r="Q180" s="20" t="inlineStr">
        <is>
          <t>No</t>
        </is>
      </c>
      <c r="R180" s="20" t="n">
        <v>11.3</v>
      </c>
      <c r="S180" s="20" t="n">
        <v>0.4028</v>
      </c>
      <c r="T180" s="22" t="n">
        <v>0.78</v>
      </c>
      <c r="U180" s="20" t="n"/>
      <c r="V180" s="20" t="n"/>
      <c r="W180" s="20" t="n"/>
      <c r="X180" s="20" t="n"/>
      <c r="Y180" s="24" t="inlineStr">
        <is>
          <t>[43]</t>
        </is>
      </c>
    </row>
    <row r="181" ht="15" customHeight="1">
      <c r="A181" s="20" t="inlineStr">
        <is>
          <t>Tamarind fruits</t>
        </is>
      </c>
      <c r="B181" s="21" t="inlineStr">
        <is>
          <t>Water washing</t>
        </is>
      </c>
      <c r="C181" s="21" t="inlineStr">
        <is>
          <t>Water wash</t>
        </is>
      </c>
      <c r="D181" s="21" t="inlineStr">
        <is>
          <t>No</t>
        </is>
      </c>
      <c r="E181" s="21" t="inlineStr">
        <is>
          <t>No wash</t>
        </is>
      </c>
      <c r="F181" s="21" t="inlineStr">
        <is>
          <t>No</t>
        </is>
      </c>
      <c r="G181" s="20" t="inlineStr">
        <is>
          <t>One step</t>
        </is>
      </c>
      <c r="H181" s="20" t="inlineStr">
        <is>
          <t xml:space="preserve">Pyrolysis </t>
        </is>
      </c>
      <c r="I181" s="20" t="inlineStr">
        <is>
          <t>No</t>
        </is>
      </c>
      <c r="J181" s="20" t="inlineStr">
        <is>
          <t>No</t>
        </is>
      </c>
      <c r="K181" s="20" t="n">
        <v>5</v>
      </c>
      <c r="L181" s="20" t="n">
        <v>1300</v>
      </c>
      <c r="M181" s="20" t="inlineStr">
        <is>
          <t>No</t>
        </is>
      </c>
      <c r="N181" s="20" t="inlineStr">
        <is>
          <t>No</t>
        </is>
      </c>
      <c r="O181" s="20" t="inlineStr">
        <is>
          <t>No</t>
        </is>
      </c>
      <c r="P181" s="20" t="n"/>
      <c r="Q181" s="20" t="inlineStr">
        <is>
          <t>No</t>
        </is>
      </c>
      <c r="R181" s="20" t="n">
        <v>11.91</v>
      </c>
      <c r="S181" s="20" t="n">
        <v>0.3829</v>
      </c>
      <c r="T181" s="22" t="n">
        <v>0.82</v>
      </c>
      <c r="U181" s="20" t="n"/>
      <c r="V181" s="20" t="n"/>
      <c r="W181" s="20" t="n"/>
      <c r="X181" s="20" t="n"/>
      <c r="Y181" s="24" t="inlineStr">
        <is>
          <t>[43]</t>
        </is>
      </c>
    </row>
    <row r="182" ht="15" customHeight="1">
      <c r="A182" s="20" t="inlineStr">
        <is>
          <t>Tamarind fruits</t>
        </is>
      </c>
      <c r="B182" s="21" t="inlineStr">
        <is>
          <t>Biomass (H2O) / Carbon (0.5M HCl)</t>
        </is>
      </c>
      <c r="C182" s="21" t="inlineStr">
        <is>
          <t>Water wash</t>
        </is>
      </c>
      <c r="D182" s="21" t="inlineStr">
        <is>
          <t>No</t>
        </is>
      </c>
      <c r="E182" s="21" t="inlineStr">
        <is>
          <t>Acid wash</t>
        </is>
      </c>
      <c r="F182" s="21" t="inlineStr">
        <is>
          <t>Mild</t>
        </is>
      </c>
      <c r="G182" s="20" t="inlineStr">
        <is>
          <t>One step</t>
        </is>
      </c>
      <c r="H182" s="20" t="inlineStr">
        <is>
          <t xml:space="preserve">Pyrolysis </t>
        </is>
      </c>
      <c r="I182" s="20" t="inlineStr">
        <is>
          <t>No</t>
        </is>
      </c>
      <c r="J182" s="20" t="inlineStr">
        <is>
          <t>No</t>
        </is>
      </c>
      <c r="K182" s="20" t="n">
        <v>5</v>
      </c>
      <c r="L182" s="20" t="n">
        <v>1200</v>
      </c>
      <c r="M182" s="20" t="inlineStr">
        <is>
          <t>No</t>
        </is>
      </c>
      <c r="N182" s="20" t="inlineStr">
        <is>
          <t>No</t>
        </is>
      </c>
      <c r="O182" s="20" t="inlineStr">
        <is>
          <t>No</t>
        </is>
      </c>
      <c r="P182" s="20" t="n"/>
      <c r="Q182" s="20" t="inlineStr">
        <is>
          <t>No</t>
        </is>
      </c>
      <c r="R182" s="20" t="n">
        <v>12.76</v>
      </c>
      <c r="S182" s="20" t="n">
        <v>0.3812</v>
      </c>
      <c r="T182" s="22" t="n">
        <v>0.75</v>
      </c>
      <c r="U182" s="20" t="n"/>
      <c r="V182" s="20" t="n"/>
      <c r="W182" s="20" t="n"/>
      <c r="X182" s="20" t="n"/>
      <c r="Y182" s="24" t="inlineStr">
        <is>
          <t>[43]</t>
        </is>
      </c>
    </row>
    <row r="183" ht="15" customHeight="1">
      <c r="A183" s="20" t="inlineStr">
        <is>
          <t>Buckwheat hulls</t>
        </is>
      </c>
      <c r="B183" s="21" t="inlineStr">
        <is>
          <t>Biomass (6M HCl + 20% HF + H2O)</t>
        </is>
      </c>
      <c r="C183" s="21" t="inlineStr">
        <is>
          <t>Acid wash</t>
        </is>
      </c>
      <c r="D183" s="21" t="inlineStr">
        <is>
          <t>Moderate</t>
        </is>
      </c>
      <c r="E183" s="21" t="inlineStr">
        <is>
          <t>No wash</t>
        </is>
      </c>
      <c r="F183" s="21" t="inlineStr">
        <is>
          <t>No</t>
        </is>
      </c>
      <c r="G183" s="20" t="inlineStr">
        <is>
          <t>One step</t>
        </is>
      </c>
      <c r="H183" s="20" t="inlineStr">
        <is>
          <t xml:space="preserve">Pyrolysis </t>
        </is>
      </c>
      <c r="I183" s="20" t="inlineStr">
        <is>
          <t>No</t>
        </is>
      </c>
      <c r="J183" s="20" t="inlineStr">
        <is>
          <t>No</t>
        </is>
      </c>
      <c r="K183" s="20" t="n"/>
      <c r="L183" s="20" t="n">
        <v>700</v>
      </c>
      <c r="M183" s="20" t="inlineStr">
        <is>
          <t>No</t>
        </is>
      </c>
      <c r="N183" s="20" t="inlineStr">
        <is>
          <t>No</t>
        </is>
      </c>
      <c r="O183" s="20" t="inlineStr">
        <is>
          <t>No</t>
        </is>
      </c>
      <c r="P183" s="20" t="n"/>
      <c r="Q183" s="20" t="inlineStr">
        <is>
          <t>No</t>
        </is>
      </c>
      <c r="R183" s="20" t="n">
        <v>40.48</v>
      </c>
      <c r="S183" s="20" t="n">
        <v>0.387</v>
      </c>
      <c r="T183" s="22" t="n">
        <v>0.5600000000000001</v>
      </c>
      <c r="U183" s="20" t="n">
        <v>10.76</v>
      </c>
      <c r="V183" s="20" t="n">
        <v>1.35</v>
      </c>
      <c r="W183" s="20" t="n">
        <v>0.044</v>
      </c>
      <c r="X183" s="20" t="n">
        <v>94.20999999999999</v>
      </c>
      <c r="Y183" s="24" t="inlineStr">
        <is>
          <t>[44]</t>
        </is>
      </c>
    </row>
    <row r="184" ht="15" customHeight="1">
      <c r="A184" s="20" t="inlineStr">
        <is>
          <t>Buckwheat hulls</t>
        </is>
      </c>
      <c r="B184" s="21" t="inlineStr">
        <is>
          <t>Biomass (6M HCl + 20% HF + H2O)</t>
        </is>
      </c>
      <c r="C184" s="21" t="inlineStr">
        <is>
          <t>Acid wash</t>
        </is>
      </c>
      <c r="D184" s="21" t="inlineStr">
        <is>
          <t>Moderate</t>
        </is>
      </c>
      <c r="E184" s="21" t="inlineStr">
        <is>
          <t>No wash</t>
        </is>
      </c>
      <c r="F184" s="21" t="inlineStr">
        <is>
          <t>No</t>
        </is>
      </c>
      <c r="G184" s="20" t="inlineStr">
        <is>
          <t>One step</t>
        </is>
      </c>
      <c r="H184" s="20" t="inlineStr">
        <is>
          <t xml:space="preserve">Pyrolysis </t>
        </is>
      </c>
      <c r="I184" s="20" t="inlineStr">
        <is>
          <t>No</t>
        </is>
      </c>
      <c r="J184" s="20" t="inlineStr">
        <is>
          <t>No</t>
        </is>
      </c>
      <c r="K184" s="20" t="n"/>
      <c r="L184" s="20" t="n">
        <v>900</v>
      </c>
      <c r="M184" s="20" t="inlineStr">
        <is>
          <t>No</t>
        </is>
      </c>
      <c r="N184" s="20" t="inlineStr">
        <is>
          <t>No</t>
        </is>
      </c>
      <c r="O184" s="20" t="inlineStr">
        <is>
          <t>No</t>
        </is>
      </c>
      <c r="P184" s="20" t="n"/>
      <c r="Q184" s="20" t="inlineStr">
        <is>
          <t>No</t>
        </is>
      </c>
      <c r="R184" s="20" t="n">
        <v>33.23</v>
      </c>
      <c r="S184" s="20" t="n">
        <v>0.384</v>
      </c>
      <c r="T184" s="22" t="n">
        <v>0.5600000000000001</v>
      </c>
      <c r="U184" s="20" t="n">
        <v>10.95</v>
      </c>
      <c r="V184" s="20" t="n">
        <v>1.46</v>
      </c>
      <c r="W184" s="20" t="n">
        <v>0.037</v>
      </c>
      <c r="X184" s="20" t="n">
        <v>95.33</v>
      </c>
      <c r="Y184" s="24" t="inlineStr">
        <is>
          <t>[44]</t>
        </is>
      </c>
    </row>
    <row r="185" ht="15" customHeight="1">
      <c r="A185" s="20" t="inlineStr">
        <is>
          <t>Buckwheat hulls</t>
        </is>
      </c>
      <c r="B185" s="21" t="inlineStr">
        <is>
          <t>Biomass (6M HCl + 20% HF + H2O)</t>
        </is>
      </c>
      <c r="C185" s="21" t="inlineStr">
        <is>
          <t>Acid wash</t>
        </is>
      </c>
      <c r="D185" s="21" t="inlineStr">
        <is>
          <t>Moderate</t>
        </is>
      </c>
      <c r="E185" s="21" t="inlineStr">
        <is>
          <t>No wash</t>
        </is>
      </c>
      <c r="F185" s="21" t="inlineStr">
        <is>
          <t>No</t>
        </is>
      </c>
      <c r="G185" s="20" t="inlineStr">
        <is>
          <t>One step</t>
        </is>
      </c>
      <c r="H185" s="20" t="inlineStr">
        <is>
          <t xml:space="preserve">Pyrolysis </t>
        </is>
      </c>
      <c r="I185" s="20" t="inlineStr">
        <is>
          <t>No</t>
        </is>
      </c>
      <c r="J185" s="20" t="inlineStr">
        <is>
          <t>No</t>
        </is>
      </c>
      <c r="K185" s="20" t="n"/>
      <c r="L185" s="20" t="n">
        <v>1100</v>
      </c>
      <c r="M185" s="20" t="inlineStr">
        <is>
          <t>No</t>
        </is>
      </c>
      <c r="N185" s="20" t="inlineStr">
        <is>
          <t>No</t>
        </is>
      </c>
      <c r="O185" s="20" t="inlineStr">
        <is>
          <t>No</t>
        </is>
      </c>
      <c r="P185" s="20" t="n"/>
      <c r="Q185" s="20" t="inlineStr">
        <is>
          <t>No</t>
        </is>
      </c>
      <c r="R185" s="20" t="n">
        <v>28</v>
      </c>
      <c r="S185" s="20" t="n">
        <v>0.383</v>
      </c>
      <c r="T185" s="22" t="n">
        <v>0.61</v>
      </c>
      <c r="U185" s="20" t="n">
        <v>11.72</v>
      </c>
      <c r="V185" s="20" t="n">
        <v>1.59</v>
      </c>
      <c r="W185" s="20" t="n">
        <v>0.035</v>
      </c>
      <c r="X185" s="20" t="n">
        <v>95.86</v>
      </c>
      <c r="Y185" s="24" t="inlineStr">
        <is>
          <t>[44]</t>
        </is>
      </c>
    </row>
    <row r="186" ht="15" customHeight="1">
      <c r="A186" s="20" t="inlineStr">
        <is>
          <t>Buckwheat hulls</t>
        </is>
      </c>
      <c r="B186" s="21" t="inlineStr">
        <is>
          <t>Biomass (6M HCl + 20% HF + H2O)</t>
        </is>
      </c>
      <c r="C186" s="21" t="inlineStr">
        <is>
          <t>Acid wash</t>
        </is>
      </c>
      <c r="D186" s="21" t="inlineStr">
        <is>
          <t>Moderate</t>
        </is>
      </c>
      <c r="E186" s="21" t="inlineStr">
        <is>
          <t>No wash</t>
        </is>
      </c>
      <c r="F186" s="21" t="inlineStr">
        <is>
          <t>No</t>
        </is>
      </c>
      <c r="G186" s="20" t="inlineStr">
        <is>
          <t>One step</t>
        </is>
      </c>
      <c r="H186" s="20" t="inlineStr">
        <is>
          <t xml:space="preserve">Pyrolysis </t>
        </is>
      </c>
      <c r="I186" s="20" t="inlineStr">
        <is>
          <t>No</t>
        </is>
      </c>
      <c r="J186" s="20" t="inlineStr">
        <is>
          <t>No</t>
        </is>
      </c>
      <c r="K186" s="20" t="n"/>
      <c r="L186" s="20" t="n">
        <v>1300</v>
      </c>
      <c r="M186" s="20" t="inlineStr">
        <is>
          <t>No</t>
        </is>
      </c>
      <c r="N186" s="20" t="inlineStr">
        <is>
          <t>No</t>
        </is>
      </c>
      <c r="O186" s="20" t="inlineStr">
        <is>
          <t>No</t>
        </is>
      </c>
      <c r="P186" s="20" t="n"/>
      <c r="Q186" s="20" t="inlineStr">
        <is>
          <t>No</t>
        </is>
      </c>
      <c r="R186" s="20" t="n">
        <v>20.74</v>
      </c>
      <c r="S186" s="20" t="n">
        <v>0.374</v>
      </c>
      <c r="T186" s="22" t="n">
        <v>0.63</v>
      </c>
      <c r="U186" s="20" t="n">
        <v>12.11</v>
      </c>
      <c r="V186" s="20" t="n">
        <v>1.68</v>
      </c>
      <c r="W186" s="20" t="n">
        <v>0.027</v>
      </c>
      <c r="X186" s="20" t="n">
        <v>96.03</v>
      </c>
      <c r="Y186" s="24" t="inlineStr">
        <is>
          <t>[44]</t>
        </is>
      </c>
    </row>
    <row r="187" ht="15" customHeight="1">
      <c r="A187" s="20" t="inlineStr">
        <is>
          <t>Spartina alterniflora</t>
        </is>
      </c>
      <c r="B187" s="21" t="inlineStr">
        <is>
          <t>Biomass (H2O) / Carbon (2M KOH + 0.5M HCl + EtOH + H2O)</t>
        </is>
      </c>
      <c r="C187" s="21" t="inlineStr">
        <is>
          <t>Water wash</t>
        </is>
      </c>
      <c r="D187" s="21" t="inlineStr">
        <is>
          <t>No</t>
        </is>
      </c>
      <c r="E187" s="21" t="inlineStr">
        <is>
          <t>Alkali wash</t>
        </is>
      </c>
      <c r="F187" s="21" t="inlineStr">
        <is>
          <t>Mild</t>
        </is>
      </c>
      <c r="G187" s="20" t="inlineStr">
        <is>
          <t>One step</t>
        </is>
      </c>
      <c r="H187" s="20" t="inlineStr">
        <is>
          <t xml:space="preserve">Pyrolysis </t>
        </is>
      </c>
      <c r="I187" s="20" t="inlineStr">
        <is>
          <t>No</t>
        </is>
      </c>
      <c r="J187" s="20" t="n">
        <v>180</v>
      </c>
      <c r="K187" s="20" t="n"/>
      <c r="L187" s="20" t="n">
        <v>1000</v>
      </c>
      <c r="M187" s="20" t="inlineStr">
        <is>
          <t>No</t>
        </is>
      </c>
      <c r="N187" s="20" t="inlineStr">
        <is>
          <t>No</t>
        </is>
      </c>
      <c r="O187" s="20" t="inlineStr">
        <is>
          <t>No</t>
        </is>
      </c>
      <c r="P187" s="20" t="n"/>
      <c r="Q187" s="20" t="inlineStr">
        <is>
          <t>No</t>
        </is>
      </c>
      <c r="R187" s="20" t="n">
        <v>20.6</v>
      </c>
      <c r="S187" s="20" t="n">
        <v>0.372</v>
      </c>
      <c r="T187" s="22">
        <f>1/3.38</f>
        <v/>
      </c>
      <c r="U187" s="20" t="n"/>
      <c r="V187" s="20" t="n"/>
      <c r="W187" s="20" t="n"/>
      <c r="X187" s="20" t="n"/>
      <c r="Y187" s="24" t="inlineStr">
        <is>
          <t>[45]</t>
        </is>
      </c>
    </row>
    <row r="188" ht="15" customHeight="1">
      <c r="A188" s="20" t="inlineStr">
        <is>
          <t>Spartina alterniflora</t>
        </is>
      </c>
      <c r="B188" s="21" t="inlineStr">
        <is>
          <t>Biomass (H2O) / Carbon (2M KOH + 0.5M HCl + EtOH + H2O)</t>
        </is>
      </c>
      <c r="C188" s="21" t="inlineStr">
        <is>
          <t>Water wash</t>
        </is>
      </c>
      <c r="D188" s="21" t="inlineStr">
        <is>
          <t>No</t>
        </is>
      </c>
      <c r="E188" s="21" t="inlineStr">
        <is>
          <t>Alkali wash</t>
        </is>
      </c>
      <c r="F188" s="21" t="inlineStr">
        <is>
          <t>Mild</t>
        </is>
      </c>
      <c r="G188" s="20" t="inlineStr">
        <is>
          <t>One step</t>
        </is>
      </c>
      <c r="H188" s="20" t="inlineStr">
        <is>
          <t xml:space="preserve">Pyrolysis </t>
        </is>
      </c>
      <c r="I188" s="20" t="inlineStr">
        <is>
          <t>No</t>
        </is>
      </c>
      <c r="J188" s="20" t="n">
        <v>180</v>
      </c>
      <c r="K188" s="20" t="n"/>
      <c r="L188" s="20" t="n">
        <v>1200</v>
      </c>
      <c r="M188" s="20" t="inlineStr">
        <is>
          <t>No</t>
        </is>
      </c>
      <c r="N188" s="20" t="inlineStr">
        <is>
          <t>No</t>
        </is>
      </c>
      <c r="O188" s="20" t="inlineStr">
        <is>
          <t>No</t>
        </is>
      </c>
      <c r="P188" s="20" t="n"/>
      <c r="Q188" s="20" t="inlineStr">
        <is>
          <t>No</t>
        </is>
      </c>
      <c r="R188" s="20" t="n">
        <v>415.8</v>
      </c>
      <c r="S188" s="20" t="n">
        <v>0.367</v>
      </c>
      <c r="T188" s="22">
        <f>1/2.61</f>
        <v/>
      </c>
      <c r="U188" s="20" t="n"/>
      <c r="V188" s="20" t="n"/>
      <c r="W188" s="20" t="n"/>
      <c r="X188" s="20" t="n"/>
      <c r="Y188" s="24" t="inlineStr">
        <is>
          <t>[45]</t>
        </is>
      </c>
    </row>
    <row r="189" ht="15" customHeight="1">
      <c r="A189" s="20" t="inlineStr">
        <is>
          <t>Spartina alterniflora</t>
        </is>
      </c>
      <c r="B189" s="21" t="inlineStr">
        <is>
          <t>Biomass (H2O) / Carbon (2M KOH + 0.5M HCl + EtOH + H2O)</t>
        </is>
      </c>
      <c r="C189" s="21" t="inlineStr">
        <is>
          <t>Water wash</t>
        </is>
      </c>
      <c r="D189" s="21" t="inlineStr">
        <is>
          <t>No</t>
        </is>
      </c>
      <c r="E189" s="21" t="inlineStr">
        <is>
          <t>Alkali wash</t>
        </is>
      </c>
      <c r="F189" s="21" t="inlineStr">
        <is>
          <t>Mild</t>
        </is>
      </c>
      <c r="G189" s="20" t="inlineStr">
        <is>
          <t>One step</t>
        </is>
      </c>
      <c r="H189" s="20" t="inlineStr">
        <is>
          <t xml:space="preserve">Pyrolysis </t>
        </is>
      </c>
      <c r="I189" s="20" t="inlineStr">
        <is>
          <t>No</t>
        </is>
      </c>
      <c r="J189" s="20" t="n">
        <v>180</v>
      </c>
      <c r="K189" s="20" t="n"/>
      <c r="L189" s="20" t="n">
        <v>1400</v>
      </c>
      <c r="M189" s="20" t="inlineStr">
        <is>
          <t>No</t>
        </is>
      </c>
      <c r="N189" s="20" t="inlineStr">
        <is>
          <t>No</t>
        </is>
      </c>
      <c r="O189" s="20" t="inlineStr">
        <is>
          <t>No</t>
        </is>
      </c>
      <c r="P189" s="20" t="n"/>
      <c r="Q189" s="20" t="inlineStr">
        <is>
          <t>No</t>
        </is>
      </c>
      <c r="R189" s="20" t="n">
        <v>13.9</v>
      </c>
      <c r="S189" s="20" t="n">
        <v>0.362</v>
      </c>
      <c r="T189" s="22">
        <f>1/2.14</f>
        <v/>
      </c>
      <c r="U189" s="20" t="n"/>
      <c r="V189" s="20" t="n"/>
      <c r="W189" s="20" t="n"/>
      <c r="X189" s="20" t="n"/>
      <c r="Y189" s="24" t="inlineStr">
        <is>
          <t>[45]</t>
        </is>
      </c>
    </row>
    <row r="190" ht="15" customHeight="1">
      <c r="A190" s="20" t="inlineStr">
        <is>
          <t>Spartina alterniflora</t>
        </is>
      </c>
      <c r="B190" s="21" t="inlineStr">
        <is>
          <t>Biomass (H2O) / Carbon (2M KOH + 0.5M HCl + EtOH + H2O)</t>
        </is>
      </c>
      <c r="C190" s="21" t="inlineStr">
        <is>
          <t>Water wash</t>
        </is>
      </c>
      <c r="D190" s="21" t="inlineStr">
        <is>
          <t>No</t>
        </is>
      </c>
      <c r="E190" s="21" t="inlineStr">
        <is>
          <t>Alkali wash</t>
        </is>
      </c>
      <c r="F190" s="21" t="inlineStr">
        <is>
          <t>Mild</t>
        </is>
      </c>
      <c r="G190" s="20" t="inlineStr">
        <is>
          <t>One step</t>
        </is>
      </c>
      <c r="H190" s="20" t="inlineStr">
        <is>
          <t xml:space="preserve">Pyrolysis </t>
        </is>
      </c>
      <c r="I190" s="20" t="inlineStr">
        <is>
          <t>No</t>
        </is>
      </c>
      <c r="J190" s="20" t="n">
        <v>180</v>
      </c>
      <c r="K190" s="20" t="n"/>
      <c r="L190" s="20" t="n">
        <v>1600</v>
      </c>
      <c r="M190" s="20" t="inlineStr">
        <is>
          <t>No</t>
        </is>
      </c>
      <c r="N190" s="20" t="inlineStr">
        <is>
          <t>No</t>
        </is>
      </c>
      <c r="O190" s="20" t="inlineStr">
        <is>
          <t>No</t>
        </is>
      </c>
      <c r="P190" s="20" t="n"/>
      <c r="Q190" s="20" t="inlineStr">
        <is>
          <t>No</t>
        </is>
      </c>
      <c r="R190" s="20" t="n">
        <v>7.9</v>
      </c>
      <c r="S190" s="20" t="n">
        <v>0.355</v>
      </c>
      <c r="T190" s="22">
        <f>1/1.68</f>
        <v/>
      </c>
      <c r="U190" s="20" t="n"/>
      <c r="V190" s="20" t="n"/>
      <c r="W190" s="20" t="n"/>
      <c r="X190" s="20" t="n"/>
      <c r="Y190" s="24" t="inlineStr">
        <is>
          <t>[45]</t>
        </is>
      </c>
    </row>
    <row r="191" ht="15" customHeight="1">
      <c r="A191" s="20" t="inlineStr">
        <is>
          <t>Walnut shell</t>
        </is>
      </c>
      <c r="B191" s="21" t="inlineStr">
        <is>
          <t>Carbon (Dilute NaOH + Dilute HCl + H2O + EtOH)</t>
        </is>
      </c>
      <c r="C191" s="21" t="inlineStr">
        <is>
          <t>No wash</t>
        </is>
      </c>
      <c r="D191" s="21" t="inlineStr">
        <is>
          <t>No</t>
        </is>
      </c>
      <c r="E191" s="21" t="inlineStr">
        <is>
          <t>Alkali wash</t>
        </is>
      </c>
      <c r="F191" s="21" t="inlineStr">
        <is>
          <t>Mild</t>
        </is>
      </c>
      <c r="G191" s="20" t="inlineStr">
        <is>
          <t>One step</t>
        </is>
      </c>
      <c r="H191" s="20" t="inlineStr">
        <is>
          <t xml:space="preserve">Pyrolysis </t>
        </is>
      </c>
      <c r="I191" s="20" t="inlineStr">
        <is>
          <t>No</t>
        </is>
      </c>
      <c r="J191" s="20" t="n">
        <v>300</v>
      </c>
      <c r="K191" s="20" t="n">
        <v>5</v>
      </c>
      <c r="L191" s="20" t="n">
        <v>600</v>
      </c>
      <c r="M191" s="20" t="inlineStr">
        <is>
          <t>No</t>
        </is>
      </c>
      <c r="N191" s="20" t="inlineStr">
        <is>
          <t>No</t>
        </is>
      </c>
      <c r="O191" s="20" t="inlineStr">
        <is>
          <t>No</t>
        </is>
      </c>
      <c r="P191" s="20" t="n"/>
      <c r="Q191" s="20" t="inlineStr">
        <is>
          <t>No</t>
        </is>
      </c>
      <c r="R191" s="20" t="n">
        <v>284</v>
      </c>
      <c r="S191" s="20" t="n">
        <v>0.401</v>
      </c>
      <c r="T191" s="22" t="n">
        <v>0.9</v>
      </c>
      <c r="U191" s="20" t="n">
        <v>21</v>
      </c>
      <c r="V191" s="20" t="n"/>
      <c r="W191" s="20" t="n"/>
      <c r="X191" s="20" t="n">
        <v>88.2</v>
      </c>
      <c r="Y191" s="24" t="inlineStr">
        <is>
          <t>[46]</t>
        </is>
      </c>
    </row>
    <row r="192" ht="15" customHeight="1">
      <c r="A192" s="20" t="inlineStr">
        <is>
          <t>Walnut shell</t>
        </is>
      </c>
      <c r="B192" s="21" t="inlineStr">
        <is>
          <t>Carbon (Dilute NaOH + Dilute HCl + H2O + EtOH)</t>
        </is>
      </c>
      <c r="C192" s="21" t="inlineStr">
        <is>
          <t>No wash</t>
        </is>
      </c>
      <c r="D192" s="21" t="inlineStr">
        <is>
          <t>No</t>
        </is>
      </c>
      <c r="E192" s="21" t="inlineStr">
        <is>
          <t>Alkali wash</t>
        </is>
      </c>
      <c r="F192" s="21" t="inlineStr">
        <is>
          <t>Mild</t>
        </is>
      </c>
      <c r="G192" s="20" t="inlineStr">
        <is>
          <t>One step</t>
        </is>
      </c>
      <c r="H192" s="20" t="inlineStr">
        <is>
          <t xml:space="preserve">Pyrolysis </t>
        </is>
      </c>
      <c r="I192" s="20" t="inlineStr">
        <is>
          <t>No</t>
        </is>
      </c>
      <c r="J192" s="20" t="n">
        <v>300</v>
      </c>
      <c r="K192" s="20" t="n">
        <v>5</v>
      </c>
      <c r="L192" s="20" t="n">
        <v>800</v>
      </c>
      <c r="M192" s="20" t="inlineStr">
        <is>
          <t>No</t>
        </is>
      </c>
      <c r="N192" s="20" t="inlineStr">
        <is>
          <t>No</t>
        </is>
      </c>
      <c r="O192" s="20" t="inlineStr">
        <is>
          <t>No</t>
        </is>
      </c>
      <c r="P192" s="20" t="n"/>
      <c r="Q192" s="20" t="inlineStr">
        <is>
          <t>No</t>
        </is>
      </c>
      <c r="R192" s="20" t="n">
        <v>473</v>
      </c>
      <c r="S192" s="20" t="n">
        <v>0.399</v>
      </c>
      <c r="T192" s="22" t="n">
        <v>1.07</v>
      </c>
      <c r="U192" s="20" t="n">
        <v>17.7</v>
      </c>
      <c r="V192" s="20" t="n"/>
      <c r="W192" s="20" t="n"/>
      <c r="X192" s="20" t="n">
        <v>86.40000000000001</v>
      </c>
      <c r="Y192" s="24" t="inlineStr">
        <is>
          <t>[46]</t>
        </is>
      </c>
    </row>
    <row r="193" ht="15" customHeight="1">
      <c r="A193" s="20" t="inlineStr">
        <is>
          <t>Walnut shell</t>
        </is>
      </c>
      <c r="B193" s="21" t="inlineStr">
        <is>
          <t>Carbon (Dilute NaOH + Dilute HCl + H2O + EtOH)</t>
        </is>
      </c>
      <c r="C193" s="21" t="inlineStr">
        <is>
          <t>No wash</t>
        </is>
      </c>
      <c r="D193" s="21" t="inlineStr">
        <is>
          <t>No</t>
        </is>
      </c>
      <c r="E193" s="21" t="inlineStr">
        <is>
          <t>Alkali wash</t>
        </is>
      </c>
      <c r="F193" s="21" t="inlineStr">
        <is>
          <t>Mild</t>
        </is>
      </c>
      <c r="G193" s="20" t="inlineStr">
        <is>
          <t>One step</t>
        </is>
      </c>
      <c r="H193" s="20" t="inlineStr">
        <is>
          <t xml:space="preserve">Pyrolysis </t>
        </is>
      </c>
      <c r="I193" s="20" t="inlineStr">
        <is>
          <t>No</t>
        </is>
      </c>
      <c r="J193" s="20" t="n">
        <v>300</v>
      </c>
      <c r="K193" s="20" t="n">
        <v>5</v>
      </c>
      <c r="L193" s="20" t="n">
        <v>1000</v>
      </c>
      <c r="M193" s="20" t="inlineStr">
        <is>
          <t>No</t>
        </is>
      </c>
      <c r="N193" s="20" t="inlineStr">
        <is>
          <t>No</t>
        </is>
      </c>
      <c r="O193" s="20" t="inlineStr">
        <is>
          <t>No</t>
        </is>
      </c>
      <c r="P193" s="20" t="n"/>
      <c r="Q193" s="20" t="inlineStr">
        <is>
          <t>No</t>
        </is>
      </c>
      <c r="R193" s="20" t="n">
        <v>1386</v>
      </c>
      <c r="S193" s="20" t="n">
        <v>0.408</v>
      </c>
      <c r="T193" s="22" t="n">
        <v>1.23</v>
      </c>
      <c r="U193" s="20" t="n">
        <v>15.4</v>
      </c>
      <c r="V193" s="20" t="n"/>
      <c r="W193" s="20" t="n"/>
      <c r="X193" s="20" t="n">
        <v>91.2</v>
      </c>
      <c r="Y193" s="24" t="inlineStr">
        <is>
          <t>[46]</t>
        </is>
      </c>
    </row>
    <row r="194" ht="15" customHeight="1">
      <c r="A194" s="20" t="inlineStr">
        <is>
          <t>Walnut shell</t>
        </is>
      </c>
      <c r="B194" s="21" t="inlineStr">
        <is>
          <t>Carbon (Dilute NaOH + Dilute HCl + H2O + EtOH)</t>
        </is>
      </c>
      <c r="C194" s="21" t="inlineStr">
        <is>
          <t>No wash</t>
        </is>
      </c>
      <c r="D194" s="21" t="inlineStr">
        <is>
          <t>No</t>
        </is>
      </c>
      <c r="E194" s="21" t="inlineStr">
        <is>
          <t>Alkali wash</t>
        </is>
      </c>
      <c r="F194" s="21" t="inlineStr">
        <is>
          <t>Mild</t>
        </is>
      </c>
      <c r="G194" s="20" t="inlineStr">
        <is>
          <t>One step</t>
        </is>
      </c>
      <c r="H194" s="20" t="inlineStr">
        <is>
          <t xml:space="preserve">Pyrolysis </t>
        </is>
      </c>
      <c r="I194" s="20" t="inlineStr">
        <is>
          <t>No</t>
        </is>
      </c>
      <c r="J194" s="20" t="n">
        <v>300</v>
      </c>
      <c r="K194" s="20" t="n">
        <v>5</v>
      </c>
      <c r="L194" s="20" t="n">
        <v>1200</v>
      </c>
      <c r="M194" s="20" t="inlineStr">
        <is>
          <t>No</t>
        </is>
      </c>
      <c r="N194" s="20" t="inlineStr">
        <is>
          <t>No</t>
        </is>
      </c>
      <c r="O194" s="20" t="inlineStr">
        <is>
          <t>No</t>
        </is>
      </c>
      <c r="P194" s="20" t="n"/>
      <c r="Q194" s="20" t="inlineStr">
        <is>
          <t>No</t>
        </is>
      </c>
      <c r="R194" s="20" t="n">
        <v>1103</v>
      </c>
      <c r="S194" s="20" t="n">
        <v>0.406</v>
      </c>
      <c r="T194" s="22" t="n">
        <v>1.17</v>
      </c>
      <c r="U194" s="20" t="n">
        <v>16.2</v>
      </c>
      <c r="V194" s="20" t="n"/>
      <c r="W194" s="20" t="n"/>
      <c r="X194" s="20" t="n">
        <v>90.09999999999999</v>
      </c>
      <c r="Y194" s="24" t="inlineStr">
        <is>
          <t>[46]</t>
        </is>
      </c>
    </row>
    <row r="195" ht="15" customHeight="1">
      <c r="A195" s="20" t="inlineStr">
        <is>
          <t>Soybean root</t>
        </is>
      </c>
      <c r="B195" s="21" t="inlineStr">
        <is>
          <t>Biomass (H2O) / Carbon (1M HCl + H2O)</t>
        </is>
      </c>
      <c r="C195" s="21" t="inlineStr">
        <is>
          <t>Water wash</t>
        </is>
      </c>
      <c r="D195" s="21" t="inlineStr">
        <is>
          <t>No</t>
        </is>
      </c>
      <c r="E195" s="21" t="inlineStr">
        <is>
          <t>Acid wash</t>
        </is>
      </c>
      <c r="F195" s="21" t="inlineStr">
        <is>
          <t>Mild</t>
        </is>
      </c>
      <c r="G195" s="20" t="inlineStr">
        <is>
          <t>One step</t>
        </is>
      </c>
      <c r="H195" s="20" t="inlineStr">
        <is>
          <t xml:space="preserve">Pyrolysis </t>
        </is>
      </c>
      <c r="I195" s="20" t="inlineStr">
        <is>
          <t>No</t>
        </is>
      </c>
      <c r="J195" s="20" t="n">
        <v>120</v>
      </c>
      <c r="K195" s="20" t="n"/>
      <c r="L195" s="20" t="n">
        <v>600</v>
      </c>
      <c r="M195" s="20" t="inlineStr">
        <is>
          <t>No</t>
        </is>
      </c>
      <c r="N195" s="20" t="inlineStr">
        <is>
          <t>No</t>
        </is>
      </c>
      <c r="O195" s="20" t="inlineStr">
        <is>
          <t>No</t>
        </is>
      </c>
      <c r="P195" s="20" t="n"/>
      <c r="Q195" s="20" t="inlineStr">
        <is>
          <t>No</t>
        </is>
      </c>
      <c r="R195" s="20" t="n">
        <v>6.5</v>
      </c>
      <c r="S195" s="20" t="n"/>
      <c r="T195" s="22" t="n">
        <v>1.02</v>
      </c>
      <c r="U195" s="20" t="n"/>
      <c r="V195" s="20" t="n"/>
      <c r="W195" s="20" t="n"/>
      <c r="X195" s="20" t="n">
        <v>80.8</v>
      </c>
      <c r="Y195" s="24" t="inlineStr">
        <is>
          <t>[47]</t>
        </is>
      </c>
    </row>
    <row r="196" ht="15" customHeight="1">
      <c r="A196" s="20" t="inlineStr">
        <is>
          <t>Soybean root</t>
        </is>
      </c>
      <c r="B196" s="21" t="inlineStr">
        <is>
          <t>Biomass (H2O) / Carbon (1M HCl + H2O)</t>
        </is>
      </c>
      <c r="C196" s="21" t="inlineStr">
        <is>
          <t>Water wash</t>
        </is>
      </c>
      <c r="D196" s="21" t="inlineStr">
        <is>
          <t>No</t>
        </is>
      </c>
      <c r="E196" s="21" t="inlineStr">
        <is>
          <t>Acid wash</t>
        </is>
      </c>
      <c r="F196" s="21" t="inlineStr">
        <is>
          <t>Mild</t>
        </is>
      </c>
      <c r="G196" s="20" t="inlineStr">
        <is>
          <t>One step</t>
        </is>
      </c>
      <c r="H196" s="20" t="inlineStr">
        <is>
          <t xml:space="preserve">Pyrolysis </t>
        </is>
      </c>
      <c r="I196" s="20" t="inlineStr">
        <is>
          <t>No</t>
        </is>
      </c>
      <c r="J196" s="20" t="n">
        <v>120</v>
      </c>
      <c r="K196" s="20" t="n"/>
      <c r="L196" s="20" t="n">
        <v>700</v>
      </c>
      <c r="M196" s="20" t="inlineStr">
        <is>
          <t>No</t>
        </is>
      </c>
      <c r="N196" s="20" t="inlineStr">
        <is>
          <t>No</t>
        </is>
      </c>
      <c r="O196" s="20" t="inlineStr">
        <is>
          <t>No</t>
        </is>
      </c>
      <c r="P196" s="20" t="n"/>
      <c r="Q196" s="20" t="inlineStr">
        <is>
          <t>No</t>
        </is>
      </c>
      <c r="R196" s="20" t="n">
        <v>10.5</v>
      </c>
      <c r="S196" s="20" t="n"/>
      <c r="T196" s="22" t="n">
        <v>0.99</v>
      </c>
      <c r="U196" s="20" t="n"/>
      <c r="V196" s="20" t="n"/>
      <c r="W196" s="20" t="n"/>
      <c r="X196" s="20" t="n">
        <v>77.15000000000001</v>
      </c>
      <c r="Y196" s="24" t="inlineStr">
        <is>
          <t>[47]</t>
        </is>
      </c>
    </row>
    <row r="197" ht="15" customHeight="1">
      <c r="A197" s="20" t="inlineStr">
        <is>
          <t>Soybean root</t>
        </is>
      </c>
      <c r="B197" s="21" t="inlineStr">
        <is>
          <t>Biomass (H2O) / Carbon (1M HCl + H2O)</t>
        </is>
      </c>
      <c r="C197" s="21" t="inlineStr">
        <is>
          <t>Water wash</t>
        </is>
      </c>
      <c r="D197" s="21" t="inlineStr">
        <is>
          <t>No</t>
        </is>
      </c>
      <c r="E197" s="21" t="inlineStr">
        <is>
          <t>Acid wash</t>
        </is>
      </c>
      <c r="F197" s="21" t="inlineStr">
        <is>
          <t>Mild</t>
        </is>
      </c>
      <c r="G197" s="20" t="inlineStr">
        <is>
          <t>One step</t>
        </is>
      </c>
      <c r="H197" s="20" t="inlineStr">
        <is>
          <t xml:space="preserve">Pyrolysis </t>
        </is>
      </c>
      <c r="I197" s="20" t="inlineStr">
        <is>
          <t>No</t>
        </is>
      </c>
      <c r="J197" s="20" t="n">
        <v>120</v>
      </c>
      <c r="K197" s="20" t="n"/>
      <c r="L197" s="20" t="n">
        <v>800</v>
      </c>
      <c r="M197" s="20" t="inlineStr">
        <is>
          <t>No</t>
        </is>
      </c>
      <c r="N197" s="20" t="inlineStr">
        <is>
          <t>No</t>
        </is>
      </c>
      <c r="O197" s="20" t="inlineStr">
        <is>
          <t>No</t>
        </is>
      </c>
      <c r="P197" s="20" t="n"/>
      <c r="Q197" s="20" t="inlineStr">
        <is>
          <t>No</t>
        </is>
      </c>
      <c r="R197" s="20" t="n">
        <v>7.6</v>
      </c>
      <c r="S197" s="20" t="n"/>
      <c r="T197" s="22" t="n">
        <v>0.8</v>
      </c>
      <c r="U197" s="20" t="n"/>
      <c r="V197" s="20" t="n"/>
      <c r="W197" s="20" t="n"/>
      <c r="X197" s="20" t="n">
        <v>77.61</v>
      </c>
      <c r="Y197" s="24" t="inlineStr">
        <is>
          <t>[47]</t>
        </is>
      </c>
    </row>
    <row r="198" ht="15" customHeight="1">
      <c r="A198" s="20" t="inlineStr">
        <is>
          <t>Silver willow blossom</t>
        </is>
      </c>
      <c r="B198" s="21" t="inlineStr">
        <is>
          <t>Carbon (10% HNO3)</t>
        </is>
      </c>
      <c r="C198" s="21" t="inlineStr">
        <is>
          <t>No wash</t>
        </is>
      </c>
      <c r="D198" s="21" t="inlineStr">
        <is>
          <t>No</t>
        </is>
      </c>
      <c r="E198" s="21" t="inlineStr">
        <is>
          <t>Acid wash</t>
        </is>
      </c>
      <c r="F198" s="21" t="inlineStr">
        <is>
          <t>Mild</t>
        </is>
      </c>
      <c r="G198" s="20" t="inlineStr">
        <is>
          <t>One step</t>
        </is>
      </c>
      <c r="H198" s="20" t="inlineStr">
        <is>
          <t xml:space="preserve">Pyrolysis </t>
        </is>
      </c>
      <c r="I198" s="20" t="inlineStr">
        <is>
          <t>No</t>
        </is>
      </c>
      <c r="J198" s="20" t="n">
        <v>180</v>
      </c>
      <c r="K198" s="20" t="n">
        <v>5</v>
      </c>
      <c r="L198" s="20" t="n">
        <v>600</v>
      </c>
      <c r="M198" s="20" t="inlineStr">
        <is>
          <t>No</t>
        </is>
      </c>
      <c r="N198" s="20" t="inlineStr">
        <is>
          <t>No</t>
        </is>
      </c>
      <c r="O198" s="20" t="inlineStr">
        <is>
          <t>No</t>
        </is>
      </c>
      <c r="P198" s="20" t="n"/>
      <c r="Q198" s="20" t="inlineStr">
        <is>
          <t>No</t>
        </is>
      </c>
      <c r="R198" s="20" t="n"/>
      <c r="S198" s="20" t="n">
        <v>0.379</v>
      </c>
      <c r="T198" s="22" t="n">
        <v>1.34</v>
      </c>
      <c r="U198" s="20" t="n">
        <v>2.513</v>
      </c>
      <c r="V198" s="20" t="n">
        <v>1.261</v>
      </c>
      <c r="W198" s="20" t="n"/>
      <c r="X198" s="20" t="n">
        <v>84.18000000000001</v>
      </c>
      <c r="Y198" s="24" t="inlineStr">
        <is>
          <t>[48]</t>
        </is>
      </c>
    </row>
    <row r="199" ht="15" customHeight="1">
      <c r="A199" s="20" t="inlineStr">
        <is>
          <t>Silver willow blossom</t>
        </is>
      </c>
      <c r="B199" s="21" t="inlineStr">
        <is>
          <t>Carbon (10% HNO3)</t>
        </is>
      </c>
      <c r="C199" s="21" t="inlineStr">
        <is>
          <t>No wash</t>
        </is>
      </c>
      <c r="D199" s="21" t="inlineStr">
        <is>
          <t>No</t>
        </is>
      </c>
      <c r="E199" s="21" t="inlineStr">
        <is>
          <t>Acid wash</t>
        </is>
      </c>
      <c r="F199" s="21" t="inlineStr">
        <is>
          <t>Mild</t>
        </is>
      </c>
      <c r="G199" s="20" t="inlineStr">
        <is>
          <t>One step</t>
        </is>
      </c>
      <c r="H199" s="20" t="inlineStr">
        <is>
          <t xml:space="preserve">Pyrolysis </t>
        </is>
      </c>
      <c r="I199" s="20" t="inlineStr">
        <is>
          <t>No</t>
        </is>
      </c>
      <c r="J199" s="20" t="n">
        <v>180</v>
      </c>
      <c r="K199" s="20" t="n">
        <v>5</v>
      </c>
      <c r="L199" s="20" t="n">
        <v>800</v>
      </c>
      <c r="M199" s="20" t="inlineStr">
        <is>
          <t>No</t>
        </is>
      </c>
      <c r="N199" s="20" t="inlineStr">
        <is>
          <t>No</t>
        </is>
      </c>
      <c r="O199" s="20" t="inlineStr">
        <is>
          <t>No</t>
        </is>
      </c>
      <c r="P199" s="20" t="n"/>
      <c r="Q199" s="20" t="inlineStr">
        <is>
          <t>No</t>
        </is>
      </c>
      <c r="R199" s="20" t="n"/>
      <c r="S199" s="20" t="n">
        <v>0.371</v>
      </c>
      <c r="T199" s="22" t="n">
        <v>1.31</v>
      </c>
      <c r="U199" s="20" t="n">
        <v>2.597</v>
      </c>
      <c r="V199" s="20" t="n">
        <v>1.371</v>
      </c>
      <c r="W199" s="20" t="n"/>
      <c r="X199" s="20" t="n">
        <v>84.37</v>
      </c>
      <c r="Y199" s="24" t="inlineStr">
        <is>
          <t>[48]</t>
        </is>
      </c>
    </row>
    <row r="200" ht="15" customHeight="1">
      <c r="A200" s="20" t="inlineStr">
        <is>
          <t>Silver willow blossom</t>
        </is>
      </c>
      <c r="B200" s="21" t="inlineStr">
        <is>
          <t>Carbon (10% HNO3)</t>
        </is>
      </c>
      <c r="C200" s="21" t="inlineStr">
        <is>
          <t>No wash</t>
        </is>
      </c>
      <c r="D200" s="21" t="inlineStr">
        <is>
          <t>No</t>
        </is>
      </c>
      <c r="E200" s="21" t="inlineStr">
        <is>
          <t>Acid wash</t>
        </is>
      </c>
      <c r="F200" s="21" t="inlineStr">
        <is>
          <t>Mild</t>
        </is>
      </c>
      <c r="G200" s="20" t="inlineStr">
        <is>
          <t>One step</t>
        </is>
      </c>
      <c r="H200" s="20" t="inlineStr">
        <is>
          <t xml:space="preserve">Pyrolysis </t>
        </is>
      </c>
      <c r="I200" s="20" t="inlineStr">
        <is>
          <t>No</t>
        </is>
      </c>
      <c r="J200" s="20" t="n">
        <v>180</v>
      </c>
      <c r="K200" s="20" t="n">
        <v>5</v>
      </c>
      <c r="L200" s="20" t="n">
        <v>1000</v>
      </c>
      <c r="M200" s="20" t="inlineStr">
        <is>
          <t>No</t>
        </is>
      </c>
      <c r="N200" s="20" t="inlineStr">
        <is>
          <t>No</t>
        </is>
      </c>
      <c r="O200" s="20" t="inlineStr">
        <is>
          <t>No</t>
        </is>
      </c>
      <c r="P200" s="20" t="n"/>
      <c r="Q200" s="20" t="inlineStr">
        <is>
          <t>No</t>
        </is>
      </c>
      <c r="R200" s="20" t="n"/>
      <c r="S200" s="20" t="n">
        <v>0.368</v>
      </c>
      <c r="T200" s="22" t="n">
        <v>1.25</v>
      </c>
      <c r="U200" s="20" t="n">
        <v>2.849</v>
      </c>
      <c r="V200" s="20" t="n">
        <v>1.5</v>
      </c>
      <c r="W200" s="20" t="n"/>
      <c r="X200" s="20" t="n">
        <v>85.51000000000001</v>
      </c>
      <c r="Y200" s="24" t="inlineStr">
        <is>
          <t>[48]</t>
        </is>
      </c>
    </row>
    <row r="201" ht="15" customHeight="1">
      <c r="A201" s="20" t="inlineStr">
        <is>
          <t>Silver willow blossom</t>
        </is>
      </c>
      <c r="B201" s="21" t="inlineStr">
        <is>
          <t>Carbon (10% HNO3)</t>
        </is>
      </c>
      <c r="C201" s="21" t="inlineStr">
        <is>
          <t>No wash</t>
        </is>
      </c>
      <c r="D201" s="21" t="inlineStr">
        <is>
          <t>No</t>
        </is>
      </c>
      <c r="E201" s="21" t="inlineStr">
        <is>
          <t>Acid wash</t>
        </is>
      </c>
      <c r="F201" s="21" t="inlineStr">
        <is>
          <t>Mild</t>
        </is>
      </c>
      <c r="G201" s="20" t="inlineStr">
        <is>
          <t>One step</t>
        </is>
      </c>
      <c r="H201" s="20" t="inlineStr">
        <is>
          <t xml:space="preserve">Pyrolysis </t>
        </is>
      </c>
      <c r="I201" s="20" t="inlineStr">
        <is>
          <t>No</t>
        </is>
      </c>
      <c r="J201" s="20" t="n">
        <v>180</v>
      </c>
      <c r="K201" s="20" t="n">
        <v>5</v>
      </c>
      <c r="L201" s="20" t="n">
        <v>1300</v>
      </c>
      <c r="M201" s="20" t="inlineStr">
        <is>
          <t>No</t>
        </is>
      </c>
      <c r="N201" s="20" t="inlineStr">
        <is>
          <t>No</t>
        </is>
      </c>
      <c r="O201" s="20" t="inlineStr">
        <is>
          <t>No</t>
        </is>
      </c>
      <c r="P201" s="20" t="n"/>
      <c r="Q201" s="20" t="inlineStr">
        <is>
          <t>No</t>
        </is>
      </c>
      <c r="R201" s="20" t="n"/>
      <c r="S201" s="20" t="n">
        <v>0.364</v>
      </c>
      <c r="T201" s="22" t="n">
        <v>1.22</v>
      </c>
      <c r="U201" s="20" t="n">
        <v>2.917</v>
      </c>
      <c r="V201" s="20" t="n">
        <v>1.58</v>
      </c>
      <c r="W201" s="20" t="n"/>
      <c r="X201" s="20" t="n">
        <v>86.59</v>
      </c>
      <c r="Y201" s="24" t="inlineStr">
        <is>
          <t>[48]</t>
        </is>
      </c>
    </row>
    <row r="202" ht="15" customHeight="1">
      <c r="A202" s="20" t="inlineStr">
        <is>
          <t>Coconut shells</t>
        </is>
      </c>
      <c r="B202" s="21" t="inlineStr">
        <is>
          <t>Carbon (5.5M HCl + H2O)</t>
        </is>
      </c>
      <c r="C202" s="21" t="inlineStr">
        <is>
          <t>No wash</t>
        </is>
      </c>
      <c r="D202" s="21" t="inlineStr">
        <is>
          <t>No</t>
        </is>
      </c>
      <c r="E202" s="21" t="inlineStr">
        <is>
          <t>Acid wash</t>
        </is>
      </c>
      <c r="F202" s="21" t="inlineStr">
        <is>
          <t>Moderate</t>
        </is>
      </c>
      <c r="G202" s="20" t="inlineStr">
        <is>
          <t>One step</t>
        </is>
      </c>
      <c r="H202" s="20" t="inlineStr">
        <is>
          <t xml:space="preserve">Pyrolysis </t>
        </is>
      </c>
      <c r="I202" s="20" t="inlineStr">
        <is>
          <t>No</t>
        </is>
      </c>
      <c r="J202" s="20" t="inlineStr">
        <is>
          <t>No</t>
        </is>
      </c>
      <c r="K202" s="20" t="n"/>
      <c r="L202" s="20" t="n">
        <v>1300</v>
      </c>
      <c r="M202" s="20" t="inlineStr">
        <is>
          <t>No</t>
        </is>
      </c>
      <c r="N202" s="20" t="inlineStr">
        <is>
          <t>No</t>
        </is>
      </c>
      <c r="O202" s="20" t="inlineStr">
        <is>
          <t>No</t>
        </is>
      </c>
      <c r="P202" s="20" t="n"/>
      <c r="Q202" s="20" t="inlineStr">
        <is>
          <t>No</t>
        </is>
      </c>
      <c r="R202" s="20" t="n">
        <v>6</v>
      </c>
      <c r="S202" s="20" t="n">
        <v>0.37</v>
      </c>
      <c r="T202" s="22">
        <f>1/1.82</f>
        <v/>
      </c>
      <c r="U202" s="20" t="n">
        <v>34</v>
      </c>
      <c r="V202" s="20" t="n">
        <v>10</v>
      </c>
      <c r="W202" s="20" t="n"/>
      <c r="X202" s="20" t="n">
        <v>96.40000000000001</v>
      </c>
      <c r="Y202" s="24" t="inlineStr">
        <is>
          <t>[49]</t>
        </is>
      </c>
    </row>
    <row r="203" ht="15" customHeight="1">
      <c r="A203" s="20" t="inlineStr">
        <is>
          <t>Walnut shell</t>
        </is>
      </c>
      <c r="B203" s="21" t="inlineStr">
        <is>
          <t>Carbon (5.5M HCl + H2O)</t>
        </is>
      </c>
      <c r="C203" s="21" t="inlineStr">
        <is>
          <t>No wash</t>
        </is>
      </c>
      <c r="D203" s="21" t="inlineStr">
        <is>
          <t>No</t>
        </is>
      </c>
      <c r="E203" s="21" t="inlineStr">
        <is>
          <t>Acid wash</t>
        </is>
      </c>
      <c r="F203" s="21" t="inlineStr">
        <is>
          <t>Moderate</t>
        </is>
      </c>
      <c r="G203" s="20" t="inlineStr">
        <is>
          <t>One step</t>
        </is>
      </c>
      <c r="H203" s="20" t="inlineStr">
        <is>
          <t xml:space="preserve">Pyrolysis </t>
        </is>
      </c>
      <c r="I203" s="20" t="inlineStr">
        <is>
          <t>No</t>
        </is>
      </c>
      <c r="J203" s="20" t="inlineStr">
        <is>
          <t>No</t>
        </is>
      </c>
      <c r="K203" s="20" t="n"/>
      <c r="L203" s="20" t="n">
        <v>1300</v>
      </c>
      <c r="M203" s="20" t="inlineStr">
        <is>
          <t>No</t>
        </is>
      </c>
      <c r="N203" s="20" t="inlineStr">
        <is>
          <t>No</t>
        </is>
      </c>
      <c r="O203" s="20" t="inlineStr">
        <is>
          <t>No</t>
        </is>
      </c>
      <c r="P203" s="20" t="n"/>
      <c r="Q203" s="20" t="inlineStr">
        <is>
          <t>No</t>
        </is>
      </c>
      <c r="R203" s="20" t="n">
        <v>7</v>
      </c>
      <c r="S203" s="20" t="n">
        <v>0.375</v>
      </c>
      <c r="T203" s="22">
        <f>1/1.86</f>
        <v/>
      </c>
      <c r="U203" s="20" t="n">
        <v>33</v>
      </c>
      <c r="V203" s="20" t="n">
        <v>10</v>
      </c>
      <c r="W203" s="20" t="n"/>
      <c r="X203" s="20" t="n">
        <v>89.5</v>
      </c>
      <c r="Y203" s="24" t="inlineStr">
        <is>
          <t>[49]</t>
        </is>
      </c>
    </row>
    <row r="204" ht="15" customHeight="1">
      <c r="A204" s="20" t="inlineStr">
        <is>
          <t>Corn silk</t>
        </is>
      </c>
      <c r="B204" s="21" t="inlineStr">
        <is>
          <t>Carbon (5.5M HCl + H2O)</t>
        </is>
      </c>
      <c r="C204" s="21" t="inlineStr">
        <is>
          <t>No wash</t>
        </is>
      </c>
      <c r="D204" s="21" t="inlineStr">
        <is>
          <t>No</t>
        </is>
      </c>
      <c r="E204" s="21" t="inlineStr">
        <is>
          <t>Acid wash</t>
        </is>
      </c>
      <c r="F204" s="21" t="inlineStr">
        <is>
          <t>Moderate</t>
        </is>
      </c>
      <c r="G204" s="20" t="inlineStr">
        <is>
          <t>One step</t>
        </is>
      </c>
      <c r="H204" s="20" t="inlineStr">
        <is>
          <t xml:space="preserve">Pyrolysis </t>
        </is>
      </c>
      <c r="I204" s="20" t="inlineStr">
        <is>
          <t>No</t>
        </is>
      </c>
      <c r="J204" s="20" t="inlineStr">
        <is>
          <t>No</t>
        </is>
      </c>
      <c r="K204" s="20" t="n"/>
      <c r="L204" s="20" t="n">
        <v>1300</v>
      </c>
      <c r="M204" s="20" t="inlineStr">
        <is>
          <t>No</t>
        </is>
      </c>
      <c r="N204" s="20" t="inlineStr">
        <is>
          <t>No</t>
        </is>
      </c>
      <c r="O204" s="20" t="inlineStr">
        <is>
          <t>No</t>
        </is>
      </c>
      <c r="P204" s="20" t="n"/>
      <c r="Q204" s="20" t="inlineStr">
        <is>
          <t>No</t>
        </is>
      </c>
      <c r="R204" s="20" t="n">
        <v>10</v>
      </c>
      <c r="S204" s="20" t="n">
        <v>0.368</v>
      </c>
      <c r="T204" s="22">
        <f>1/1.78</f>
        <v/>
      </c>
      <c r="U204" s="20" t="n">
        <v>33</v>
      </c>
      <c r="V204" s="20" t="n">
        <v>10</v>
      </c>
      <c r="W204" s="20" t="n"/>
      <c r="X204" s="20" t="n">
        <v>90.2</v>
      </c>
      <c r="Y204" s="24" t="inlineStr">
        <is>
          <t>[49]</t>
        </is>
      </c>
    </row>
    <row r="205" ht="15" customHeight="1">
      <c r="A205" s="20" t="inlineStr">
        <is>
          <t>Macadamia nutshell</t>
        </is>
      </c>
      <c r="B205" s="21" t="inlineStr">
        <is>
          <t>No</t>
        </is>
      </c>
      <c r="C205" s="21" t="inlineStr">
        <is>
          <t>No wash</t>
        </is>
      </c>
      <c r="D205" s="21" t="inlineStr">
        <is>
          <t>No</t>
        </is>
      </c>
      <c r="E205" s="21" t="inlineStr">
        <is>
          <t>No wash</t>
        </is>
      </c>
      <c r="F205" s="21" t="inlineStr">
        <is>
          <t>No</t>
        </is>
      </c>
      <c r="G205" s="20" t="inlineStr">
        <is>
          <t>One step</t>
        </is>
      </c>
      <c r="H205" s="20" t="inlineStr">
        <is>
          <t xml:space="preserve">Pyrolysis </t>
        </is>
      </c>
      <c r="I205" s="20" t="inlineStr">
        <is>
          <t>No</t>
        </is>
      </c>
      <c r="J205" s="20" t="n">
        <v>60</v>
      </c>
      <c r="K205" s="20" t="n"/>
      <c r="L205" s="20" t="n">
        <v>700</v>
      </c>
      <c r="M205" s="20" t="inlineStr">
        <is>
          <t>No</t>
        </is>
      </c>
      <c r="N205" s="20" t="inlineStr">
        <is>
          <t>No</t>
        </is>
      </c>
      <c r="O205" s="20" t="inlineStr">
        <is>
          <t>No</t>
        </is>
      </c>
      <c r="P205" s="20" t="n"/>
      <c r="Q205" s="20" t="inlineStr">
        <is>
          <t>No</t>
        </is>
      </c>
      <c r="R205" s="20" t="n">
        <v>289.4</v>
      </c>
      <c r="S205" s="20" t="n">
        <v>0.395</v>
      </c>
      <c r="T205" s="22">
        <f>1/2.33</f>
        <v/>
      </c>
      <c r="U205" s="20" t="n"/>
      <c r="V205" s="20" t="n">
        <v>11</v>
      </c>
      <c r="W205" s="20" t="n">
        <v>0.08799999999999999</v>
      </c>
      <c r="X205" s="20" t="n">
        <v>88.59999999999999</v>
      </c>
      <c r="Y205" s="24" t="inlineStr">
        <is>
          <t>[50]</t>
        </is>
      </c>
    </row>
    <row r="206" ht="15" customHeight="1">
      <c r="A206" s="20" t="inlineStr">
        <is>
          <t>Macadamia nutshell</t>
        </is>
      </c>
      <c r="B206" s="21" t="inlineStr">
        <is>
          <t>No</t>
        </is>
      </c>
      <c r="C206" s="21" t="inlineStr">
        <is>
          <t>No wash</t>
        </is>
      </c>
      <c r="D206" s="21" t="inlineStr">
        <is>
          <t>No</t>
        </is>
      </c>
      <c r="E206" s="21" t="inlineStr">
        <is>
          <t>No wash</t>
        </is>
      </c>
      <c r="F206" s="21" t="inlineStr">
        <is>
          <t>No</t>
        </is>
      </c>
      <c r="G206" s="20" t="inlineStr">
        <is>
          <t>One step</t>
        </is>
      </c>
      <c r="H206" s="20" t="inlineStr">
        <is>
          <t xml:space="preserve">Pyrolysis </t>
        </is>
      </c>
      <c r="I206" s="20" t="inlineStr">
        <is>
          <t>No</t>
        </is>
      </c>
      <c r="J206" s="20" t="n">
        <v>60</v>
      </c>
      <c r="K206" s="20" t="n"/>
      <c r="L206" s="20" t="n">
        <v>900</v>
      </c>
      <c r="M206" s="20" t="inlineStr">
        <is>
          <t>No</t>
        </is>
      </c>
      <c r="N206" s="20" t="inlineStr">
        <is>
          <t>No</t>
        </is>
      </c>
      <c r="O206" s="20" t="inlineStr">
        <is>
          <t>No</t>
        </is>
      </c>
      <c r="P206" s="20" t="n"/>
      <c r="Q206" s="20" t="inlineStr">
        <is>
          <t>No</t>
        </is>
      </c>
      <c r="R206" s="20" t="n">
        <v>62.3</v>
      </c>
      <c r="S206" s="20" t="n">
        <v>0.373</v>
      </c>
      <c r="T206" s="22">
        <f>1/2.88</f>
        <v/>
      </c>
      <c r="U206" s="20" t="n"/>
      <c r="V206" s="20" t="n">
        <v>12</v>
      </c>
      <c r="W206" s="20" t="n">
        <v>0.056</v>
      </c>
      <c r="X206" s="20" t="n">
        <v>86.5</v>
      </c>
      <c r="Y206" s="24" t="inlineStr">
        <is>
          <t>[50]</t>
        </is>
      </c>
    </row>
    <row r="207" ht="15" customHeight="1">
      <c r="A207" s="20" t="inlineStr">
        <is>
          <t>Macadamia nutshell</t>
        </is>
      </c>
      <c r="B207" s="21" t="inlineStr">
        <is>
          <t>No</t>
        </is>
      </c>
      <c r="C207" s="21" t="inlineStr">
        <is>
          <t>No wash</t>
        </is>
      </c>
      <c r="D207" s="21" t="inlineStr">
        <is>
          <t>No</t>
        </is>
      </c>
      <c r="E207" s="21" t="inlineStr">
        <is>
          <t>No wash</t>
        </is>
      </c>
      <c r="F207" s="21" t="inlineStr">
        <is>
          <t>No</t>
        </is>
      </c>
      <c r="G207" s="20" t="inlineStr">
        <is>
          <t>One step</t>
        </is>
      </c>
      <c r="H207" s="20" t="inlineStr">
        <is>
          <t xml:space="preserve">Pyrolysis </t>
        </is>
      </c>
      <c r="I207" s="20" t="inlineStr">
        <is>
          <t>No</t>
        </is>
      </c>
      <c r="J207" s="20" t="n">
        <v>60</v>
      </c>
      <c r="K207" s="20" t="n"/>
      <c r="L207" s="20" t="n">
        <v>1100</v>
      </c>
      <c r="M207" s="20" t="inlineStr">
        <is>
          <t>No</t>
        </is>
      </c>
      <c r="N207" s="20" t="inlineStr">
        <is>
          <t>No</t>
        </is>
      </c>
      <c r="O207" s="20" t="inlineStr">
        <is>
          <t>No</t>
        </is>
      </c>
      <c r="P207" s="20" t="n"/>
      <c r="Q207" s="20" t="inlineStr">
        <is>
          <t>No</t>
        </is>
      </c>
      <c r="R207" s="20" t="n">
        <v>12.7</v>
      </c>
      <c r="S207" s="20" t="n">
        <v>0.371</v>
      </c>
      <c r="T207" s="22">
        <f>1/2.88</f>
        <v/>
      </c>
      <c r="U207" s="20" t="n"/>
      <c r="V207" s="20" t="n">
        <v>12</v>
      </c>
      <c r="W207" s="20" t="n">
        <v>0.021</v>
      </c>
      <c r="X207" s="20" t="n">
        <v>84.3</v>
      </c>
      <c r="Y207" s="24" t="inlineStr">
        <is>
          <t>[50]</t>
        </is>
      </c>
    </row>
    <row r="208" ht="15" customHeight="1">
      <c r="A208" s="20" t="inlineStr">
        <is>
          <t>Waste bagasse</t>
        </is>
      </c>
      <c r="B208" s="21" t="inlineStr">
        <is>
          <t>Biomass (H2O) / Carbon (EtOH + H2O)</t>
        </is>
      </c>
      <c r="C208" s="21" t="inlineStr">
        <is>
          <t>Water wash</t>
        </is>
      </c>
      <c r="D208" s="21" t="inlineStr">
        <is>
          <t>No</t>
        </is>
      </c>
      <c r="E208" s="21" t="inlineStr">
        <is>
          <t>Organic wash</t>
        </is>
      </c>
      <c r="F208" s="21" t="inlineStr">
        <is>
          <t>No</t>
        </is>
      </c>
      <c r="G208" s="20" t="inlineStr">
        <is>
          <t>One step</t>
        </is>
      </c>
      <c r="H208" s="20" t="inlineStr">
        <is>
          <t xml:space="preserve">Pyrolysis </t>
        </is>
      </c>
      <c r="I208" s="20" t="inlineStr">
        <is>
          <t>No</t>
        </is>
      </c>
      <c r="J208" s="20" t="n">
        <v>120</v>
      </c>
      <c r="K208" s="20" t="n">
        <v>5</v>
      </c>
      <c r="L208" s="20" t="n">
        <v>900</v>
      </c>
      <c r="M208" s="20" t="inlineStr">
        <is>
          <t>No</t>
        </is>
      </c>
      <c r="N208" s="20" t="inlineStr">
        <is>
          <t>No</t>
        </is>
      </c>
      <c r="O208" s="20" t="inlineStr">
        <is>
          <t>No</t>
        </is>
      </c>
      <c r="P208" s="20" t="n"/>
      <c r="Q208" s="20" t="inlineStr">
        <is>
          <t>No</t>
        </is>
      </c>
      <c r="R208" s="20" t="n">
        <v>378</v>
      </c>
      <c r="S208" s="20" t="n">
        <v>0.3828</v>
      </c>
      <c r="T208" s="22">
        <f>1/1.72</f>
        <v/>
      </c>
      <c r="U208" s="20" t="n"/>
      <c r="V208" s="20" t="n"/>
      <c r="W208" s="20" t="n"/>
      <c r="X208" s="20" t="n"/>
      <c r="Y208" s="24" t="inlineStr">
        <is>
          <t>[51]</t>
        </is>
      </c>
    </row>
    <row r="209" ht="15" customHeight="1">
      <c r="A209" s="20" t="inlineStr">
        <is>
          <t>Waste bagasse</t>
        </is>
      </c>
      <c r="B209" s="21" t="inlineStr">
        <is>
          <t>Biomass (H2O) / Carbon (EtOH + H2O)</t>
        </is>
      </c>
      <c r="C209" s="21" t="inlineStr">
        <is>
          <t>Water wash</t>
        </is>
      </c>
      <c r="D209" s="21" t="inlineStr">
        <is>
          <t>No</t>
        </is>
      </c>
      <c r="E209" s="21" t="inlineStr">
        <is>
          <t>Organic wash</t>
        </is>
      </c>
      <c r="F209" s="21" t="inlineStr">
        <is>
          <t>No</t>
        </is>
      </c>
      <c r="G209" s="20" t="inlineStr">
        <is>
          <t>One step</t>
        </is>
      </c>
      <c r="H209" s="20" t="inlineStr">
        <is>
          <t xml:space="preserve">Pyrolysis </t>
        </is>
      </c>
      <c r="I209" s="20" t="inlineStr">
        <is>
          <t>No</t>
        </is>
      </c>
      <c r="J209" s="20" t="n">
        <v>120</v>
      </c>
      <c r="K209" s="20" t="n">
        <v>5</v>
      </c>
      <c r="L209" s="20" t="n">
        <v>1000</v>
      </c>
      <c r="M209" s="20" t="inlineStr">
        <is>
          <t>No</t>
        </is>
      </c>
      <c r="N209" s="20" t="inlineStr">
        <is>
          <t>No</t>
        </is>
      </c>
      <c r="O209" s="20" t="inlineStr">
        <is>
          <t>No</t>
        </is>
      </c>
      <c r="P209" s="20" t="n"/>
      <c r="Q209" s="20" t="inlineStr">
        <is>
          <t>No</t>
        </is>
      </c>
      <c r="R209" s="20" t="n">
        <v>92.3</v>
      </c>
      <c r="S209" s="20" t="n">
        <v>0.3768</v>
      </c>
      <c r="T209" s="22">
        <f>1/1.38</f>
        <v/>
      </c>
      <c r="U209" s="20" t="n"/>
      <c r="V209" s="20" t="n"/>
      <c r="W209" s="20" t="n"/>
      <c r="X209" s="20" t="n"/>
      <c r="Y209" s="24" t="inlineStr">
        <is>
          <t>[51]</t>
        </is>
      </c>
    </row>
    <row r="210" ht="15" customHeight="1">
      <c r="A210" s="20" t="inlineStr">
        <is>
          <t>Waste bagasse</t>
        </is>
      </c>
      <c r="B210" s="21" t="inlineStr">
        <is>
          <t>Biomass (H2O) / Carbon (EtOH + H2O)</t>
        </is>
      </c>
      <c r="C210" s="21" t="inlineStr">
        <is>
          <t>Water wash</t>
        </is>
      </c>
      <c r="D210" s="21" t="inlineStr">
        <is>
          <t>No</t>
        </is>
      </c>
      <c r="E210" s="21" t="inlineStr">
        <is>
          <t>Organic wash</t>
        </is>
      </c>
      <c r="F210" s="21" t="inlineStr">
        <is>
          <t>No</t>
        </is>
      </c>
      <c r="G210" s="20" t="inlineStr">
        <is>
          <t>One step</t>
        </is>
      </c>
      <c r="H210" s="20" t="inlineStr">
        <is>
          <t xml:space="preserve">Pyrolysis </t>
        </is>
      </c>
      <c r="I210" s="20" t="inlineStr">
        <is>
          <t>No</t>
        </is>
      </c>
      <c r="J210" s="20" t="n">
        <v>120</v>
      </c>
      <c r="K210" s="20" t="n">
        <v>5</v>
      </c>
      <c r="L210" s="20" t="n">
        <v>1100</v>
      </c>
      <c r="M210" s="20" t="inlineStr">
        <is>
          <t>No</t>
        </is>
      </c>
      <c r="N210" s="20" t="inlineStr">
        <is>
          <t>No</t>
        </is>
      </c>
      <c r="O210" s="20" t="inlineStr">
        <is>
          <t>No</t>
        </is>
      </c>
      <c r="P210" s="20" t="n"/>
      <c r="Q210" s="20" t="inlineStr">
        <is>
          <t>No</t>
        </is>
      </c>
      <c r="R210" s="20" t="n">
        <v>20.3</v>
      </c>
      <c r="S210" s="20" t="n">
        <v>0.3831</v>
      </c>
      <c r="T210" s="22">
        <f>1/1.37</f>
        <v/>
      </c>
      <c r="U210" s="20" t="n"/>
      <c r="V210" s="20" t="n"/>
      <c r="W210" s="20" t="n"/>
      <c r="X210" s="20" t="n"/>
      <c r="Y210" s="24" t="inlineStr">
        <is>
          <t>[51]</t>
        </is>
      </c>
    </row>
    <row r="211" ht="15" customHeight="1">
      <c r="A211" s="20" t="inlineStr">
        <is>
          <t>Sycamore fruit</t>
        </is>
      </c>
      <c r="B211" s="21" t="inlineStr">
        <is>
          <t>Biomass (H2O) / Carbon (1M HCl + H2O)</t>
        </is>
      </c>
      <c r="C211" s="21" t="inlineStr">
        <is>
          <t>Water wash</t>
        </is>
      </c>
      <c r="D211" s="21" t="inlineStr">
        <is>
          <t>No</t>
        </is>
      </c>
      <c r="E211" s="21" t="inlineStr">
        <is>
          <t>Acid wash</t>
        </is>
      </c>
      <c r="F211" s="21" t="inlineStr">
        <is>
          <t>Mild</t>
        </is>
      </c>
      <c r="G211" s="20" t="inlineStr">
        <is>
          <t>One step</t>
        </is>
      </c>
      <c r="H211" s="20" t="inlineStr">
        <is>
          <t xml:space="preserve">Pyrolysis </t>
        </is>
      </c>
      <c r="I211" s="20" t="inlineStr">
        <is>
          <t>No</t>
        </is>
      </c>
      <c r="J211" s="20" t="n">
        <v>180</v>
      </c>
      <c r="K211" s="20" t="n">
        <v>3</v>
      </c>
      <c r="L211" s="20" t="n">
        <v>900</v>
      </c>
      <c r="M211" s="20" t="inlineStr">
        <is>
          <t>No</t>
        </is>
      </c>
      <c r="N211" s="20" t="inlineStr">
        <is>
          <t>No</t>
        </is>
      </c>
      <c r="O211" s="20" t="inlineStr">
        <is>
          <t>No</t>
        </is>
      </c>
      <c r="P211" s="20" t="n"/>
      <c r="Q211" s="20" t="inlineStr">
        <is>
          <t>No</t>
        </is>
      </c>
      <c r="R211" s="20" t="n">
        <v>443.08</v>
      </c>
      <c r="S211" s="20" t="n">
        <v>0.402</v>
      </c>
      <c r="T211" s="22" t="n">
        <v>0.311</v>
      </c>
      <c r="U211" s="20" t="n">
        <v>3.678</v>
      </c>
      <c r="V211" s="20" t="n">
        <v>1.233</v>
      </c>
      <c r="W211" s="20" t="n"/>
      <c r="X211" s="20" t="n"/>
      <c r="Y211" s="24" t="inlineStr">
        <is>
          <t>[52]</t>
        </is>
      </c>
    </row>
    <row r="212" ht="15" customHeight="1">
      <c r="A212" s="20" t="inlineStr">
        <is>
          <t>Sycamore fruit</t>
        </is>
      </c>
      <c r="B212" s="21" t="inlineStr">
        <is>
          <t>Biomass (H2O) / Carbon (1M HCl + H2O)</t>
        </is>
      </c>
      <c r="C212" s="21" t="inlineStr">
        <is>
          <t>Water wash</t>
        </is>
      </c>
      <c r="D212" s="21" t="inlineStr">
        <is>
          <t>No</t>
        </is>
      </c>
      <c r="E212" s="21" t="inlineStr">
        <is>
          <t>Acid wash</t>
        </is>
      </c>
      <c r="F212" s="21" t="inlineStr">
        <is>
          <t>Mild</t>
        </is>
      </c>
      <c r="G212" s="20" t="inlineStr">
        <is>
          <t>One step</t>
        </is>
      </c>
      <c r="H212" s="20" t="inlineStr">
        <is>
          <t xml:space="preserve">Pyrolysis </t>
        </is>
      </c>
      <c r="I212" s="20" t="inlineStr">
        <is>
          <t>No</t>
        </is>
      </c>
      <c r="J212" s="20" t="n">
        <v>180</v>
      </c>
      <c r="K212" s="20" t="n">
        <v>3</v>
      </c>
      <c r="L212" s="20" t="n">
        <v>1100</v>
      </c>
      <c r="M212" s="20" t="inlineStr">
        <is>
          <t>No</t>
        </is>
      </c>
      <c r="N212" s="20" t="inlineStr">
        <is>
          <t>No</t>
        </is>
      </c>
      <c r="O212" s="20" t="inlineStr">
        <is>
          <t>No</t>
        </is>
      </c>
      <c r="P212" s="20" t="n"/>
      <c r="Q212" s="20" t="inlineStr">
        <is>
          <t>No</t>
        </is>
      </c>
      <c r="R212" s="20" t="n">
        <v>129.9</v>
      </c>
      <c r="S212" s="20" t="n">
        <v>0.391</v>
      </c>
      <c r="T212" s="22" t="n">
        <v>0.326</v>
      </c>
      <c r="U212" s="20" t="n">
        <v>3.883</v>
      </c>
      <c r="V212" s="20" t="n">
        <v>1.34</v>
      </c>
      <c r="W212" s="20" t="n"/>
      <c r="X212" s="20" t="n"/>
      <c r="Y212" s="24" t="inlineStr">
        <is>
          <t>[52]</t>
        </is>
      </c>
    </row>
    <row r="213" ht="15" customHeight="1">
      <c r="A213" s="20" t="inlineStr">
        <is>
          <t>Sycamore fruit</t>
        </is>
      </c>
      <c r="B213" s="21" t="inlineStr">
        <is>
          <t>Biomass (H2O) / Carbon (1M HCl + H2O)</t>
        </is>
      </c>
      <c r="C213" s="21" t="inlineStr">
        <is>
          <t>Water wash</t>
        </is>
      </c>
      <c r="D213" s="21" t="inlineStr">
        <is>
          <t>No</t>
        </is>
      </c>
      <c r="E213" s="21" t="inlineStr">
        <is>
          <t>Acid wash</t>
        </is>
      </c>
      <c r="F213" s="21" t="inlineStr">
        <is>
          <t>Mild</t>
        </is>
      </c>
      <c r="G213" s="20" t="inlineStr">
        <is>
          <t>One step</t>
        </is>
      </c>
      <c r="H213" s="20" t="inlineStr">
        <is>
          <t xml:space="preserve">Pyrolysis </t>
        </is>
      </c>
      <c r="I213" s="20" t="inlineStr">
        <is>
          <t>No</t>
        </is>
      </c>
      <c r="J213" s="20" t="n">
        <v>180</v>
      </c>
      <c r="K213" s="20" t="n">
        <v>3</v>
      </c>
      <c r="L213" s="20" t="n">
        <v>1300</v>
      </c>
      <c r="M213" s="20" t="inlineStr">
        <is>
          <t>No</t>
        </is>
      </c>
      <c r="N213" s="20" t="inlineStr">
        <is>
          <t>No</t>
        </is>
      </c>
      <c r="O213" s="20" t="inlineStr">
        <is>
          <t>No</t>
        </is>
      </c>
      <c r="P213" s="20" t="n"/>
      <c r="Q213" s="20" t="inlineStr">
        <is>
          <t>No</t>
        </is>
      </c>
      <c r="R213" s="20" t="n">
        <v>110.73</v>
      </c>
      <c r="S213" s="20" t="n">
        <v>0.386</v>
      </c>
      <c r="T213" s="22" t="n">
        <v>0.352</v>
      </c>
      <c r="U213" s="20" t="n">
        <v>4.015</v>
      </c>
      <c r="V213" s="20" t="n">
        <v>1.8</v>
      </c>
      <c r="W213" s="20" t="n"/>
      <c r="X213" s="20" t="n"/>
      <c r="Y213" s="24" t="inlineStr">
        <is>
          <t>[52]</t>
        </is>
      </c>
    </row>
    <row r="214" ht="15" customHeight="1">
      <c r="A214" s="20" t="inlineStr">
        <is>
          <t>Sycamore fruit</t>
        </is>
      </c>
      <c r="B214" s="21" t="inlineStr">
        <is>
          <t>Biomass (H2O) / Carbon (1M HCl + H2O)</t>
        </is>
      </c>
      <c r="C214" s="21" t="inlineStr">
        <is>
          <t>Water wash</t>
        </is>
      </c>
      <c r="D214" s="21" t="inlineStr">
        <is>
          <t>No</t>
        </is>
      </c>
      <c r="E214" s="21" t="inlineStr">
        <is>
          <t>Acid wash</t>
        </is>
      </c>
      <c r="F214" s="21" t="inlineStr">
        <is>
          <t>Mild</t>
        </is>
      </c>
      <c r="G214" s="20" t="inlineStr">
        <is>
          <t>One step</t>
        </is>
      </c>
      <c r="H214" s="20" t="inlineStr">
        <is>
          <t xml:space="preserve">Pyrolysis </t>
        </is>
      </c>
      <c r="I214" s="20" t="inlineStr">
        <is>
          <t>No</t>
        </is>
      </c>
      <c r="J214" s="20" t="n">
        <v>180</v>
      </c>
      <c r="K214" s="20" t="n">
        <v>3</v>
      </c>
      <c r="L214" s="20" t="n">
        <v>1500</v>
      </c>
      <c r="M214" s="20" t="inlineStr">
        <is>
          <t>No</t>
        </is>
      </c>
      <c r="N214" s="20" t="inlineStr">
        <is>
          <t>No</t>
        </is>
      </c>
      <c r="O214" s="20" t="inlineStr">
        <is>
          <t>No</t>
        </is>
      </c>
      <c r="P214" s="20" t="n"/>
      <c r="Q214" s="20" t="inlineStr">
        <is>
          <t>No</t>
        </is>
      </c>
      <c r="R214" s="20" t="n">
        <v>98.51000000000001</v>
      </c>
      <c r="S214" s="20" t="n">
        <v>0.371</v>
      </c>
      <c r="T214" s="22" t="n">
        <v>0.48</v>
      </c>
      <c r="U214" s="20" t="n">
        <v>4.799</v>
      </c>
      <c r="V214" s="20" t="n">
        <v>1.954</v>
      </c>
      <c r="W214" s="20" t="n"/>
      <c r="X214" s="20" t="n"/>
      <c r="Y214" s="24" t="inlineStr">
        <is>
          <t>[52]</t>
        </is>
      </c>
    </row>
    <row r="215" ht="15" customHeight="1">
      <c r="A215" s="20" t="inlineStr">
        <is>
          <t>Holy leaf</t>
        </is>
      </c>
      <c r="B215" s="21" t="inlineStr">
        <is>
          <t>Biomass (EtOH + H2O) / Carbon (3M HCl + H2O)</t>
        </is>
      </c>
      <c r="C215" s="21" t="inlineStr">
        <is>
          <t>Organic wash</t>
        </is>
      </c>
      <c r="D215" s="21" t="inlineStr">
        <is>
          <t>No</t>
        </is>
      </c>
      <c r="E215" s="21" t="inlineStr">
        <is>
          <t>Acid wash</t>
        </is>
      </c>
      <c r="F215" s="21" t="inlineStr">
        <is>
          <t>Mild</t>
        </is>
      </c>
      <c r="G215" s="20" t="inlineStr">
        <is>
          <t>Two step</t>
        </is>
      </c>
      <c r="H215" s="20" t="inlineStr">
        <is>
          <t>HTC</t>
        </is>
      </c>
      <c r="I215" s="4" t="inlineStr">
        <is>
          <t>No</t>
        </is>
      </c>
      <c r="J215" s="4" t="n">
        <v>10</v>
      </c>
      <c r="K215" s="4" t="n"/>
      <c r="L215" s="4" t="n">
        <v>180</v>
      </c>
      <c r="M215" s="4" t="inlineStr">
        <is>
          <t xml:space="preserve">Pyrolysis </t>
        </is>
      </c>
      <c r="N215" s="20" t="inlineStr">
        <is>
          <t>No</t>
        </is>
      </c>
      <c r="O215" s="4" t="n"/>
      <c r="P215" s="4" t="n"/>
      <c r="Q215" s="20" t="n">
        <v>800</v>
      </c>
      <c r="R215" s="20" t="inlineStr">
        <is>
          <t>n/a</t>
        </is>
      </c>
      <c r="S215" s="20" t="n"/>
      <c r="T215" s="22" t="n">
        <v>1.04</v>
      </c>
      <c r="U215" s="20" t="n"/>
      <c r="V215" s="20" t="n"/>
      <c r="W215" s="20" t="n"/>
      <c r="X215" s="20" t="n"/>
      <c r="Y215" s="24" t="inlineStr">
        <is>
          <t>[53]</t>
        </is>
      </c>
    </row>
    <row r="216" ht="15" customHeight="1">
      <c r="A216" s="20" t="inlineStr">
        <is>
          <t>Oatmeal</t>
        </is>
      </c>
      <c r="B216" s="21" t="inlineStr">
        <is>
          <t>Carbon (H2O)</t>
        </is>
      </c>
      <c r="C216" s="21" t="inlineStr">
        <is>
          <t>No wash</t>
        </is>
      </c>
      <c r="D216" s="21" t="inlineStr">
        <is>
          <t>No</t>
        </is>
      </c>
      <c r="E216" s="21" t="inlineStr">
        <is>
          <t>Water wash</t>
        </is>
      </c>
      <c r="F216" s="21" t="inlineStr">
        <is>
          <t>No</t>
        </is>
      </c>
      <c r="G216" s="20" t="inlineStr">
        <is>
          <t>Two step</t>
        </is>
      </c>
      <c r="H216" s="20" t="inlineStr">
        <is>
          <t>HTC</t>
        </is>
      </c>
      <c r="I216" s="4" t="inlineStr">
        <is>
          <t>No</t>
        </is>
      </c>
      <c r="J216" s="4" t="n">
        <v>12</v>
      </c>
      <c r="K216" s="4" t="n"/>
      <c r="L216" s="4" t="n">
        <v>200</v>
      </c>
      <c r="M216" s="4" t="inlineStr">
        <is>
          <t xml:space="preserve">Pyrolysis </t>
        </is>
      </c>
      <c r="N216" s="20" t="inlineStr">
        <is>
          <t>No</t>
        </is>
      </c>
      <c r="O216" s="4" t="n"/>
      <c r="P216" s="4" t="n"/>
      <c r="Q216" s="20" t="n">
        <v>300</v>
      </c>
      <c r="R216" s="20" t="n">
        <v>5.8</v>
      </c>
      <c r="S216" s="20" t="n">
        <v>0.418</v>
      </c>
      <c r="T216" s="22" t="n">
        <v>0.41</v>
      </c>
      <c r="U216" s="20" t="n"/>
      <c r="V216" s="20" t="n"/>
      <c r="W216" s="20" t="n">
        <v>0.02</v>
      </c>
      <c r="X216" s="20" t="n">
        <v>82.8</v>
      </c>
      <c r="Y216" s="24" t="inlineStr">
        <is>
          <t>[54]</t>
        </is>
      </c>
    </row>
    <row r="217" ht="15" customHeight="1">
      <c r="A217" s="20" t="inlineStr">
        <is>
          <t>Oatmeal</t>
        </is>
      </c>
      <c r="B217" s="21" t="inlineStr">
        <is>
          <t>Carbon (H2O)</t>
        </is>
      </c>
      <c r="C217" s="21" t="inlineStr">
        <is>
          <t>No wash</t>
        </is>
      </c>
      <c r="D217" s="21" t="inlineStr">
        <is>
          <t>No</t>
        </is>
      </c>
      <c r="E217" s="21" t="inlineStr">
        <is>
          <t>Water wash</t>
        </is>
      </c>
      <c r="F217" s="21" t="inlineStr">
        <is>
          <t>No</t>
        </is>
      </c>
      <c r="G217" s="20" t="inlineStr">
        <is>
          <t>Two step</t>
        </is>
      </c>
      <c r="H217" s="20" t="inlineStr">
        <is>
          <t>HTC</t>
        </is>
      </c>
      <c r="I217" s="4" t="inlineStr">
        <is>
          <t>No</t>
        </is>
      </c>
      <c r="J217" s="4" t="n">
        <v>12</v>
      </c>
      <c r="K217" s="4" t="n"/>
      <c r="L217" s="4" t="n">
        <v>200</v>
      </c>
      <c r="M217" s="4" t="inlineStr">
        <is>
          <t xml:space="preserve">Pyrolysis </t>
        </is>
      </c>
      <c r="N217" s="20" t="inlineStr">
        <is>
          <t>No</t>
        </is>
      </c>
      <c r="O217" s="4" t="n"/>
      <c r="P217" s="4" t="n"/>
      <c r="Q217" s="20" t="n">
        <v>500</v>
      </c>
      <c r="R217" s="20" t="n">
        <v>110.7</v>
      </c>
      <c r="S217" s="20" t="n">
        <v>0.405</v>
      </c>
      <c r="T217" s="22" t="n">
        <v>0.67</v>
      </c>
      <c r="U217" s="20" t="n"/>
      <c r="V217" s="20" t="n"/>
      <c r="W217" s="20" t="n">
        <v>0.15</v>
      </c>
      <c r="X217" s="20" t="n">
        <v>89.5</v>
      </c>
      <c r="Y217" s="24" t="inlineStr">
        <is>
          <t>[54]</t>
        </is>
      </c>
    </row>
    <row r="218" ht="15" customHeight="1">
      <c r="A218" s="20" t="inlineStr">
        <is>
          <t>Oatmeal</t>
        </is>
      </c>
      <c r="B218" s="21" t="inlineStr">
        <is>
          <t>Carbon (H2O)</t>
        </is>
      </c>
      <c r="C218" s="21" t="inlineStr">
        <is>
          <t>No wash</t>
        </is>
      </c>
      <c r="D218" s="21" t="inlineStr">
        <is>
          <t>No</t>
        </is>
      </c>
      <c r="E218" s="21" t="inlineStr">
        <is>
          <t>Water wash</t>
        </is>
      </c>
      <c r="F218" s="21" t="inlineStr">
        <is>
          <t>No</t>
        </is>
      </c>
      <c r="G218" s="20" t="inlineStr">
        <is>
          <t>Two step</t>
        </is>
      </c>
      <c r="H218" s="20" t="inlineStr">
        <is>
          <t>HTC</t>
        </is>
      </c>
      <c r="I218" s="4" t="inlineStr">
        <is>
          <t>No</t>
        </is>
      </c>
      <c r="J218" s="4" t="n">
        <v>12</v>
      </c>
      <c r="K218" s="4" t="n"/>
      <c r="L218" s="4" t="n">
        <v>200</v>
      </c>
      <c r="M218" s="4" t="inlineStr">
        <is>
          <t xml:space="preserve">Pyrolysis </t>
        </is>
      </c>
      <c r="N218" s="20" t="inlineStr">
        <is>
          <t>No</t>
        </is>
      </c>
      <c r="O218" s="4" t="n"/>
      <c r="P218" s="4" t="n"/>
      <c r="Q218" s="20" t="n">
        <v>700</v>
      </c>
      <c r="R218" s="20" t="n">
        <v>74.40000000000001</v>
      </c>
      <c r="S218" s="20" t="n">
        <v>0.391</v>
      </c>
      <c r="T218" s="22" t="n">
        <v>0.84</v>
      </c>
      <c r="U218" s="20" t="n"/>
      <c r="V218" s="20" t="n"/>
      <c r="W218" s="20" t="n">
        <v>0.09</v>
      </c>
      <c r="X218" s="20" t="n">
        <v>91.90000000000001</v>
      </c>
      <c r="Y218" s="24" t="inlineStr">
        <is>
          <t>[54]</t>
        </is>
      </c>
    </row>
    <row r="219" ht="15" customHeight="1">
      <c r="A219" s="20" t="inlineStr">
        <is>
          <t>Oatmeal</t>
        </is>
      </c>
      <c r="B219" s="21" t="inlineStr">
        <is>
          <t>Carbon (H2O)</t>
        </is>
      </c>
      <c r="C219" s="21" t="inlineStr">
        <is>
          <t>No wash</t>
        </is>
      </c>
      <c r="D219" s="21" t="inlineStr">
        <is>
          <t>No</t>
        </is>
      </c>
      <c r="E219" s="21" t="inlineStr">
        <is>
          <t>Water wash</t>
        </is>
      </c>
      <c r="F219" s="21" t="inlineStr">
        <is>
          <t>No</t>
        </is>
      </c>
      <c r="G219" s="20" t="inlineStr">
        <is>
          <t>Two step</t>
        </is>
      </c>
      <c r="H219" s="20" t="inlineStr">
        <is>
          <t>HTC</t>
        </is>
      </c>
      <c r="I219" s="4" t="inlineStr">
        <is>
          <t>No</t>
        </is>
      </c>
      <c r="J219" s="4" t="n">
        <v>12</v>
      </c>
      <c r="K219" s="4" t="n"/>
      <c r="L219" s="4" t="n">
        <v>200</v>
      </c>
      <c r="M219" s="4" t="inlineStr">
        <is>
          <t xml:space="preserve">Pyrolysis </t>
        </is>
      </c>
      <c r="N219" s="20" t="inlineStr">
        <is>
          <t>No</t>
        </is>
      </c>
      <c r="O219" s="4" t="n"/>
      <c r="P219" s="4" t="n"/>
      <c r="Q219" s="20" t="n">
        <v>900</v>
      </c>
      <c r="R219" s="20" t="n">
        <v>22.8</v>
      </c>
      <c r="S219" s="20" t="n">
        <v>0.388</v>
      </c>
      <c r="T219" s="22" t="n">
        <v>0.91</v>
      </c>
      <c r="U219" s="20" t="n"/>
      <c r="V219" s="20" t="n"/>
      <c r="W219" s="20" t="n">
        <v>0.05</v>
      </c>
      <c r="X219" s="20" t="n">
        <v>93.2</v>
      </c>
      <c r="Y219" s="24" t="inlineStr">
        <is>
          <t>[54]</t>
        </is>
      </c>
    </row>
    <row r="220" ht="15" customHeight="1">
      <c r="A220" s="20" t="inlineStr">
        <is>
          <t>Reed straw</t>
        </is>
      </c>
      <c r="B220" s="21" t="inlineStr">
        <is>
          <t>Biomass (H2O)</t>
        </is>
      </c>
      <c r="C220" s="21" t="inlineStr">
        <is>
          <t>Water wash</t>
        </is>
      </c>
      <c r="D220" s="21" t="inlineStr">
        <is>
          <t>No</t>
        </is>
      </c>
      <c r="E220" s="21" t="inlineStr">
        <is>
          <t>No wash</t>
        </is>
      </c>
      <c r="F220" s="21" t="inlineStr">
        <is>
          <t>No</t>
        </is>
      </c>
      <c r="G220" s="20" t="inlineStr">
        <is>
          <t>Two step</t>
        </is>
      </c>
      <c r="H220" s="20" t="inlineStr">
        <is>
          <t>HTC</t>
        </is>
      </c>
      <c r="I220" s="4" t="inlineStr">
        <is>
          <t>No</t>
        </is>
      </c>
      <c r="J220" s="4" t="n">
        <v>24</v>
      </c>
      <c r="K220" s="4" t="n"/>
      <c r="L220" s="4" t="n">
        <v>200</v>
      </c>
      <c r="M220" s="4" t="inlineStr">
        <is>
          <t xml:space="preserve">Pyrolysis </t>
        </is>
      </c>
      <c r="N220" s="20" t="inlineStr">
        <is>
          <t>No</t>
        </is>
      </c>
      <c r="O220" s="4" t="n"/>
      <c r="P220" s="4" t="n"/>
      <c r="Q220" s="20" t="n">
        <v>900</v>
      </c>
      <c r="R220" s="20" t="n">
        <v>325.3</v>
      </c>
      <c r="S220" s="20" t="n">
        <v>0.403</v>
      </c>
      <c r="T220" s="22" t="n">
        <v>0.54</v>
      </c>
      <c r="U220" s="20" t="n">
        <v>3.61</v>
      </c>
      <c r="V220" s="20" t="n">
        <v>1.1</v>
      </c>
      <c r="W220" s="20" t="n">
        <v>0.18</v>
      </c>
      <c r="X220" s="20" t="n"/>
      <c r="Y220" s="24" t="inlineStr">
        <is>
          <t>[55]</t>
        </is>
      </c>
    </row>
    <row r="221" ht="15" customHeight="1">
      <c r="A221" s="20" t="inlineStr">
        <is>
          <t>Reed straw</t>
        </is>
      </c>
      <c r="B221" s="21" t="inlineStr">
        <is>
          <t>Biomass (H2O)</t>
        </is>
      </c>
      <c r="C221" s="21" t="inlineStr">
        <is>
          <t>Water wash</t>
        </is>
      </c>
      <c r="D221" s="21" t="inlineStr">
        <is>
          <t>No</t>
        </is>
      </c>
      <c r="E221" s="21" t="inlineStr">
        <is>
          <t>No wash</t>
        </is>
      </c>
      <c r="F221" s="21" t="inlineStr">
        <is>
          <t>No</t>
        </is>
      </c>
      <c r="G221" s="20" t="inlineStr">
        <is>
          <t>Two step</t>
        </is>
      </c>
      <c r="H221" s="20" t="inlineStr">
        <is>
          <t>HTC</t>
        </is>
      </c>
      <c r="I221" s="4" t="inlineStr">
        <is>
          <t>No</t>
        </is>
      </c>
      <c r="J221" s="4" t="n">
        <v>24</v>
      </c>
      <c r="K221" s="4" t="n"/>
      <c r="L221" s="4" t="n">
        <v>200</v>
      </c>
      <c r="M221" s="4" t="inlineStr">
        <is>
          <t xml:space="preserve">Pyrolysis </t>
        </is>
      </c>
      <c r="N221" s="20" t="inlineStr">
        <is>
          <t>No</t>
        </is>
      </c>
      <c r="O221" s="4" t="n"/>
      <c r="P221" s="4" t="n"/>
      <c r="Q221" s="20" t="n">
        <v>1100</v>
      </c>
      <c r="R221" s="20" t="n">
        <v>82.01000000000001</v>
      </c>
      <c r="S221" s="20" t="n">
        <v>0.398</v>
      </c>
      <c r="T221" s="22" t="n">
        <v>0.61</v>
      </c>
      <c r="U221" s="20" t="n">
        <v>3.83</v>
      </c>
      <c r="V221" s="20" t="n">
        <v>1.46</v>
      </c>
      <c r="W221" s="20" t="n">
        <v>0.05</v>
      </c>
      <c r="X221" s="20" t="n"/>
      <c r="Y221" s="24" t="inlineStr">
        <is>
          <t>[55]</t>
        </is>
      </c>
    </row>
    <row r="222" ht="15" customHeight="1">
      <c r="A222" s="20" t="inlineStr">
        <is>
          <t>Reed straw</t>
        </is>
      </c>
      <c r="B222" s="21" t="inlineStr">
        <is>
          <t>Biomass (H2O)</t>
        </is>
      </c>
      <c r="C222" s="21" t="inlineStr">
        <is>
          <t>Water wash</t>
        </is>
      </c>
      <c r="D222" s="21" t="inlineStr">
        <is>
          <t>No</t>
        </is>
      </c>
      <c r="E222" s="21" t="inlineStr">
        <is>
          <t>No wash</t>
        </is>
      </c>
      <c r="F222" s="21" t="inlineStr">
        <is>
          <t>No</t>
        </is>
      </c>
      <c r="G222" s="20" t="inlineStr">
        <is>
          <t>Two step</t>
        </is>
      </c>
      <c r="H222" s="20" t="inlineStr">
        <is>
          <t>HTC</t>
        </is>
      </c>
      <c r="I222" s="4" t="inlineStr">
        <is>
          <t>No</t>
        </is>
      </c>
      <c r="J222" s="4" t="n">
        <v>24</v>
      </c>
      <c r="K222" s="4" t="n"/>
      <c r="L222" s="4" t="n">
        <v>200</v>
      </c>
      <c r="M222" s="4" t="inlineStr">
        <is>
          <t xml:space="preserve">Pyrolysis </t>
        </is>
      </c>
      <c r="N222" s="20" t="inlineStr">
        <is>
          <t>No</t>
        </is>
      </c>
      <c r="O222" s="4" t="n"/>
      <c r="P222" s="4" t="n"/>
      <c r="Q222" s="20" t="n">
        <v>1300</v>
      </c>
      <c r="R222" s="20" t="n">
        <v>36.2</v>
      </c>
      <c r="S222" s="20" t="n">
        <v>0.391</v>
      </c>
      <c r="T222" s="22" t="n">
        <v>0.66</v>
      </c>
      <c r="U222" s="20" t="n">
        <v>4.52</v>
      </c>
      <c r="V222" s="20" t="n">
        <v>1.6</v>
      </c>
      <c r="W222" s="20" t="n">
        <v>0.04</v>
      </c>
      <c r="X222" s="20" t="n"/>
      <c r="Y222" s="24" t="inlineStr">
        <is>
          <t>[55]</t>
        </is>
      </c>
    </row>
    <row r="223" ht="15" customFormat="1" customHeight="1" s="7">
      <c r="A223" s="20" t="inlineStr">
        <is>
          <t>Reed straw</t>
        </is>
      </c>
      <c r="B223" s="21" t="inlineStr">
        <is>
          <t>Biomass (H2O)</t>
        </is>
      </c>
      <c r="C223" s="21" t="inlineStr">
        <is>
          <t>Water wash</t>
        </is>
      </c>
      <c r="D223" s="21" t="inlineStr">
        <is>
          <t>No</t>
        </is>
      </c>
      <c r="E223" s="21" t="inlineStr">
        <is>
          <t>No wash</t>
        </is>
      </c>
      <c r="F223" s="21" t="inlineStr">
        <is>
          <t>No</t>
        </is>
      </c>
      <c r="G223" s="20" t="inlineStr">
        <is>
          <t>Two step</t>
        </is>
      </c>
      <c r="H223" s="20" t="inlineStr">
        <is>
          <t>HTC</t>
        </is>
      </c>
      <c r="I223" s="4" t="inlineStr">
        <is>
          <t>No</t>
        </is>
      </c>
      <c r="J223" s="4" t="n">
        <v>24</v>
      </c>
      <c r="K223" s="4" t="n"/>
      <c r="L223" s="4" t="n">
        <v>200</v>
      </c>
      <c r="M223" s="4" t="inlineStr">
        <is>
          <t xml:space="preserve">Pyrolysis </t>
        </is>
      </c>
      <c r="N223" s="20" t="inlineStr">
        <is>
          <t>No</t>
        </is>
      </c>
      <c r="O223" s="4" t="n"/>
      <c r="P223" s="4" t="n"/>
      <c r="Q223" s="20" t="n">
        <v>1500</v>
      </c>
      <c r="R223" s="20" t="n">
        <v>23.87</v>
      </c>
      <c r="S223" s="20" t="n">
        <v>0.375</v>
      </c>
      <c r="T223" s="22" t="n">
        <v>0.72</v>
      </c>
      <c r="U223" s="20" t="n">
        <v>6.18</v>
      </c>
      <c r="V223" s="20" t="n">
        <v>1.88</v>
      </c>
      <c r="W223" s="20" t="n">
        <v>0.02</v>
      </c>
      <c r="X223" s="20" t="n"/>
      <c r="Y223" s="24" t="inlineStr">
        <is>
          <t>[55]</t>
        </is>
      </c>
    </row>
    <row r="224" ht="15" customHeight="1">
      <c r="A224" s="20" t="inlineStr">
        <is>
          <t>Peanut shell</t>
        </is>
      </c>
      <c r="B224" s="21" t="inlineStr">
        <is>
          <t>Biomass (H2O) / Carbon (10% KOH + 1M HCl)</t>
        </is>
      </c>
      <c r="C224" s="21" t="inlineStr">
        <is>
          <t>Water wash</t>
        </is>
      </c>
      <c r="D224" s="21" t="inlineStr">
        <is>
          <t>No</t>
        </is>
      </c>
      <c r="E224" s="21" t="inlineStr">
        <is>
          <t>Alkali wash</t>
        </is>
      </c>
      <c r="F224" s="21" t="inlineStr">
        <is>
          <t>Mild</t>
        </is>
      </c>
      <c r="G224" s="20" t="inlineStr">
        <is>
          <t>One step</t>
        </is>
      </c>
      <c r="H224" s="4" t="inlineStr">
        <is>
          <t>Activation</t>
        </is>
      </c>
      <c r="I224" s="20" t="inlineStr">
        <is>
          <t>KOH</t>
        </is>
      </c>
      <c r="J224" s="20" t="inlineStr">
        <is>
          <t>No</t>
        </is>
      </c>
      <c r="K224" s="20" t="n"/>
      <c r="L224" s="20" t="n">
        <v>600</v>
      </c>
      <c r="M224" s="20" t="inlineStr">
        <is>
          <t>No</t>
        </is>
      </c>
      <c r="N224" s="20" t="inlineStr">
        <is>
          <t>No</t>
        </is>
      </c>
      <c r="O224" s="20" t="inlineStr">
        <is>
          <t>No</t>
        </is>
      </c>
      <c r="P224" s="20" t="n"/>
      <c r="Q224" s="20" t="inlineStr">
        <is>
          <t>No</t>
        </is>
      </c>
      <c r="R224" s="20" t="n">
        <v>706.1</v>
      </c>
      <c r="S224" s="20" t="n"/>
      <c r="T224" s="22" t="n">
        <v>0.39</v>
      </c>
      <c r="U224" s="20" t="n"/>
      <c r="V224" s="20" t="n"/>
      <c r="W224" s="20" t="n"/>
      <c r="X224" s="20" t="n">
        <v>75.2</v>
      </c>
      <c r="Y224" s="24" t="inlineStr">
        <is>
          <t>[56]</t>
        </is>
      </c>
    </row>
    <row r="225" ht="15" customHeight="1">
      <c r="A225" s="20" t="inlineStr">
        <is>
          <t>Orange peel</t>
        </is>
      </c>
      <c r="B225" s="21" t="inlineStr">
        <is>
          <t>Biomass (H2O) / Carbon (2M HCl + H2O)</t>
        </is>
      </c>
      <c r="C225" s="21" t="inlineStr">
        <is>
          <t>Water wash</t>
        </is>
      </c>
      <c r="D225" s="21" t="inlineStr">
        <is>
          <t>No</t>
        </is>
      </c>
      <c r="E225" s="21" t="inlineStr">
        <is>
          <t>Acid wash</t>
        </is>
      </c>
      <c r="F225" s="21" t="inlineStr">
        <is>
          <t>Mild</t>
        </is>
      </c>
      <c r="G225" s="20" t="inlineStr">
        <is>
          <t>One step</t>
        </is>
      </c>
      <c r="H225" s="4" t="inlineStr">
        <is>
          <t>Activation</t>
        </is>
      </c>
      <c r="I225" s="20" t="inlineStr">
        <is>
          <t>KOH</t>
        </is>
      </c>
      <c r="J225" s="20" t="n">
        <v>60</v>
      </c>
      <c r="K225" s="20" t="n">
        <v>3</v>
      </c>
      <c r="L225" s="20" t="n">
        <v>700</v>
      </c>
      <c r="M225" s="20" t="inlineStr">
        <is>
          <t>No</t>
        </is>
      </c>
      <c r="N225" s="20" t="inlineStr">
        <is>
          <t>No</t>
        </is>
      </c>
      <c r="O225" s="20" t="inlineStr">
        <is>
          <t>No</t>
        </is>
      </c>
      <c r="P225" s="20" t="n"/>
      <c r="Q225" s="20" t="inlineStr">
        <is>
          <t>No</t>
        </is>
      </c>
      <c r="R225" s="20" t="n">
        <v>638</v>
      </c>
      <c r="S225" s="20" t="n"/>
      <c r="T225" s="22" t="n">
        <v>0.39</v>
      </c>
      <c r="U225" s="20" t="n"/>
      <c r="V225" s="20" t="n"/>
      <c r="W225" s="20" t="n"/>
      <c r="X225" s="20" t="n">
        <v>76.2</v>
      </c>
      <c r="Y225" s="24" t="inlineStr">
        <is>
          <t>[57]</t>
        </is>
      </c>
    </row>
    <row r="226" ht="15" customHeight="1">
      <c r="A226" s="20" t="inlineStr">
        <is>
          <t>Carrageen algae</t>
        </is>
      </c>
      <c r="B226" s="21" t="inlineStr">
        <is>
          <t>Biomass (EtOH + H2O) / Carbon (2M HCl + H2O)</t>
        </is>
      </c>
      <c r="C226" s="21" t="inlineStr">
        <is>
          <t>Organic wash</t>
        </is>
      </c>
      <c r="D226" s="21" t="inlineStr">
        <is>
          <t>No</t>
        </is>
      </c>
      <c r="E226" s="21" t="inlineStr">
        <is>
          <t>Acid wash</t>
        </is>
      </c>
      <c r="F226" s="21" t="inlineStr">
        <is>
          <t>Mild</t>
        </is>
      </c>
      <c r="G226" s="20" t="inlineStr">
        <is>
          <t>One step</t>
        </is>
      </c>
      <c r="H226" s="4" t="inlineStr">
        <is>
          <t>Activation</t>
        </is>
      </c>
      <c r="I226" s="20" t="inlineStr">
        <is>
          <t>KOH</t>
        </is>
      </c>
      <c r="J226" s="20" t="n">
        <v>60</v>
      </c>
      <c r="K226" s="20" t="n">
        <v>3</v>
      </c>
      <c r="L226" s="20" t="n">
        <v>700</v>
      </c>
      <c r="M226" s="20" t="inlineStr">
        <is>
          <t>No</t>
        </is>
      </c>
      <c r="N226" s="20" t="inlineStr">
        <is>
          <t>No</t>
        </is>
      </c>
      <c r="O226" s="20" t="inlineStr">
        <is>
          <t>No</t>
        </is>
      </c>
      <c r="P226" s="20" t="n"/>
      <c r="Q226" s="20" t="inlineStr">
        <is>
          <t>No</t>
        </is>
      </c>
      <c r="R226" s="20" t="n">
        <v>435</v>
      </c>
      <c r="S226" s="20" t="n">
        <v>0.359</v>
      </c>
      <c r="T226" s="22">
        <f>1/2.19</f>
        <v/>
      </c>
      <c r="U226" s="20" t="n">
        <v>1.47</v>
      </c>
      <c r="V226" s="20" t="n">
        <v>0.793</v>
      </c>
      <c r="W226" s="20" t="n">
        <v>0.455</v>
      </c>
      <c r="X226" s="20" t="n">
        <v>89.13</v>
      </c>
      <c r="Y226" s="24" t="inlineStr">
        <is>
          <t>[58]</t>
        </is>
      </c>
    </row>
    <row r="227" ht="15" customHeight="1">
      <c r="A227" s="20" t="inlineStr">
        <is>
          <t>Carrageen algae</t>
        </is>
      </c>
      <c r="B227" s="21" t="inlineStr">
        <is>
          <t>Biomass (EtOH + H2O) / Carbon (2M HCl + H2O)</t>
        </is>
      </c>
      <c r="C227" s="21" t="inlineStr">
        <is>
          <t>Organic wash</t>
        </is>
      </c>
      <c r="D227" s="21" t="inlineStr">
        <is>
          <t>No</t>
        </is>
      </c>
      <c r="E227" s="21" t="inlineStr">
        <is>
          <t>Acid wash</t>
        </is>
      </c>
      <c r="F227" s="21" t="inlineStr">
        <is>
          <t>Mild</t>
        </is>
      </c>
      <c r="G227" s="20" t="inlineStr">
        <is>
          <t>One step</t>
        </is>
      </c>
      <c r="H227" s="4" t="inlineStr">
        <is>
          <t>Activation</t>
        </is>
      </c>
      <c r="I227" s="20" t="inlineStr">
        <is>
          <t>1M KOH</t>
        </is>
      </c>
      <c r="J227" s="20" t="n">
        <v>60</v>
      </c>
      <c r="K227" s="20" t="n">
        <v>3</v>
      </c>
      <c r="L227" s="20" t="n">
        <v>700</v>
      </c>
      <c r="M227" s="20" t="inlineStr">
        <is>
          <t>No</t>
        </is>
      </c>
      <c r="N227" s="20" t="inlineStr">
        <is>
          <t>No</t>
        </is>
      </c>
      <c r="O227" s="20" t="inlineStr">
        <is>
          <t>No</t>
        </is>
      </c>
      <c r="P227" s="20" t="n"/>
      <c r="Q227" s="20" t="inlineStr">
        <is>
          <t>No</t>
        </is>
      </c>
      <c r="R227" s="20" t="n">
        <v>925</v>
      </c>
      <c r="S227" s="20" t="n">
        <v>0.362</v>
      </c>
      <c r="T227" s="22">
        <f>1/2.77</f>
        <v/>
      </c>
      <c r="U227" s="20" t="n">
        <v>1.31</v>
      </c>
      <c r="V227" s="20" t="n">
        <v>0.671</v>
      </c>
      <c r="W227" s="20" t="n">
        <v>1.114</v>
      </c>
      <c r="X227" s="20" t="n">
        <v>92.5</v>
      </c>
      <c r="Y227" s="24" t="inlineStr">
        <is>
          <t>[58]</t>
        </is>
      </c>
    </row>
    <row r="228" ht="15" customHeight="1">
      <c r="A228" s="20" t="inlineStr">
        <is>
          <t>Carrageen algae</t>
        </is>
      </c>
      <c r="B228" s="21" t="inlineStr">
        <is>
          <t>Biomass (EtOH + H2O) / Carbon (2M HCl + H2O)</t>
        </is>
      </c>
      <c r="C228" s="21" t="inlineStr">
        <is>
          <t>Organic wash</t>
        </is>
      </c>
      <c r="D228" s="21" t="inlineStr">
        <is>
          <t>No</t>
        </is>
      </c>
      <c r="E228" s="21" t="inlineStr">
        <is>
          <t>Acid wash</t>
        </is>
      </c>
      <c r="F228" s="21" t="inlineStr">
        <is>
          <t>Mild</t>
        </is>
      </c>
      <c r="G228" s="20" t="inlineStr">
        <is>
          <t>One step</t>
        </is>
      </c>
      <c r="H228" s="4" t="inlineStr">
        <is>
          <t>Activation</t>
        </is>
      </c>
      <c r="I228" s="20" t="inlineStr">
        <is>
          <t>2M KOH</t>
        </is>
      </c>
      <c r="J228" s="20" t="n">
        <v>60</v>
      </c>
      <c r="K228" s="20" t="n">
        <v>3</v>
      </c>
      <c r="L228" s="20" t="n">
        <v>700</v>
      </c>
      <c r="M228" s="20" t="inlineStr">
        <is>
          <t>No</t>
        </is>
      </c>
      <c r="N228" s="20" t="inlineStr">
        <is>
          <t>No</t>
        </is>
      </c>
      <c r="O228" s="20" t="inlineStr">
        <is>
          <t>No</t>
        </is>
      </c>
      <c r="P228" s="20" t="n"/>
      <c r="Q228" s="20" t="inlineStr">
        <is>
          <t>No</t>
        </is>
      </c>
      <c r="R228" s="20" t="n">
        <v>928</v>
      </c>
      <c r="S228" s="20" t="n">
        <v>0.365</v>
      </c>
      <c r="T228" s="22">
        <f>1/3.27</f>
        <v/>
      </c>
      <c r="U228" s="20" t="n">
        <v>1.08</v>
      </c>
      <c r="V228" s="20" t="n">
        <v>0.723</v>
      </c>
      <c r="W228" s="20" t="n">
        <v>0.698</v>
      </c>
      <c r="X228" s="20" t="n">
        <v>86.51000000000001</v>
      </c>
      <c r="Y228" s="24" t="inlineStr">
        <is>
          <t>[58]</t>
        </is>
      </c>
    </row>
    <row r="229" ht="15" customHeight="1">
      <c r="A229" s="20" t="inlineStr">
        <is>
          <t>Carrageen algae</t>
        </is>
      </c>
      <c r="B229" s="21" t="inlineStr">
        <is>
          <t>Biomass (EtOH + H2O) / Carbon (2M HCl + H2O)</t>
        </is>
      </c>
      <c r="C229" s="21" t="inlineStr">
        <is>
          <t>Organic wash</t>
        </is>
      </c>
      <c r="D229" s="21" t="inlineStr">
        <is>
          <t>No</t>
        </is>
      </c>
      <c r="E229" s="21" t="inlineStr">
        <is>
          <t>Acid wash</t>
        </is>
      </c>
      <c r="F229" s="21" t="inlineStr">
        <is>
          <t>Mild</t>
        </is>
      </c>
      <c r="G229" s="20" t="inlineStr">
        <is>
          <t>One step</t>
        </is>
      </c>
      <c r="H229" s="4" t="inlineStr">
        <is>
          <t>Activation</t>
        </is>
      </c>
      <c r="I229" s="20" t="inlineStr">
        <is>
          <t>3M KOH</t>
        </is>
      </c>
      <c r="J229" s="20" t="n">
        <v>60</v>
      </c>
      <c r="K229" s="20" t="n">
        <v>3</v>
      </c>
      <c r="L229" s="20" t="n">
        <v>700</v>
      </c>
      <c r="M229" s="20" t="inlineStr">
        <is>
          <t>No</t>
        </is>
      </c>
      <c r="N229" s="20" t="inlineStr">
        <is>
          <t>No</t>
        </is>
      </c>
      <c r="O229" s="20" t="inlineStr">
        <is>
          <t>No</t>
        </is>
      </c>
      <c r="P229" s="20" t="n"/>
      <c r="Q229" s="20" t="inlineStr">
        <is>
          <t>No</t>
        </is>
      </c>
      <c r="R229" s="20" t="n">
        <v>852</v>
      </c>
      <c r="S229" s="20" t="n">
        <v>0.37</v>
      </c>
      <c r="T229" s="22">
        <f>1/3.89</f>
        <v/>
      </c>
      <c r="U229" s="20" t="n">
        <v>1.15</v>
      </c>
      <c r="V229" s="20" t="n">
        <v>0.733</v>
      </c>
      <c r="W229" s="20" t="n">
        <v>0.652</v>
      </c>
      <c r="X229" s="20" t="n">
        <v>85.87</v>
      </c>
      <c r="Y229" s="24" t="inlineStr">
        <is>
          <t>[58]</t>
        </is>
      </c>
    </row>
    <row r="230" ht="15" customHeight="1">
      <c r="A230" s="20" t="inlineStr">
        <is>
          <t>Snake fruit peal</t>
        </is>
      </c>
      <c r="B230" s="21" t="inlineStr">
        <is>
          <t>Biomass (H2O) / Carbon (2M HCl + H2O)</t>
        </is>
      </c>
      <c r="C230" s="21" t="inlineStr">
        <is>
          <t>Water wash</t>
        </is>
      </c>
      <c r="D230" s="21" t="inlineStr">
        <is>
          <t>No</t>
        </is>
      </c>
      <c r="E230" s="21" t="inlineStr">
        <is>
          <t>Acid wash</t>
        </is>
      </c>
      <c r="F230" s="21" t="inlineStr">
        <is>
          <t>Mild</t>
        </is>
      </c>
      <c r="G230" s="20" t="inlineStr">
        <is>
          <t>Two step</t>
        </is>
      </c>
      <c r="H230" s="4" t="inlineStr">
        <is>
          <t xml:space="preserve">Pyrolysis </t>
        </is>
      </c>
      <c r="I230" s="20" t="inlineStr">
        <is>
          <t>No</t>
        </is>
      </c>
      <c r="J230" s="20" t="n">
        <v>60</v>
      </c>
      <c r="K230" s="20" t="n"/>
      <c r="L230" s="20" t="n">
        <v>500</v>
      </c>
      <c r="M230" s="20" t="inlineStr">
        <is>
          <t>Activation</t>
        </is>
      </c>
      <c r="N230" s="20" t="inlineStr">
        <is>
          <t>KOH (1:1)</t>
        </is>
      </c>
      <c r="O230" s="20" t="n">
        <v>60</v>
      </c>
      <c r="P230" s="20" t="n">
        <v>5</v>
      </c>
      <c r="Q230" s="20" t="n">
        <v>800</v>
      </c>
      <c r="R230" s="20" t="n">
        <v>845</v>
      </c>
      <c r="S230" s="20" t="n">
        <v>0.395</v>
      </c>
      <c r="T230" s="22" t="n">
        <v>1.05</v>
      </c>
      <c r="U230" s="20" t="n">
        <v>0.87</v>
      </c>
      <c r="V230" s="20" t="n"/>
      <c r="W230" s="20" t="n">
        <v>0.548</v>
      </c>
      <c r="X230" s="20" t="n"/>
      <c r="Y230" s="24" t="inlineStr">
        <is>
          <t>[59]</t>
        </is>
      </c>
    </row>
    <row r="231" ht="15" customHeight="1">
      <c r="A231" s="20" t="inlineStr">
        <is>
          <t>Snake fruit peal</t>
        </is>
      </c>
      <c r="B231" s="21" t="inlineStr">
        <is>
          <t>Biomass (H2O) / Carbon (2M HCl + H2O)</t>
        </is>
      </c>
      <c r="C231" s="21" t="inlineStr">
        <is>
          <t>Water wash</t>
        </is>
      </c>
      <c r="D231" s="21" t="inlineStr">
        <is>
          <t>No</t>
        </is>
      </c>
      <c r="E231" s="21" t="inlineStr">
        <is>
          <t>Acid wash</t>
        </is>
      </c>
      <c r="F231" s="21" t="inlineStr">
        <is>
          <t>Mild</t>
        </is>
      </c>
      <c r="G231" s="20" t="inlineStr">
        <is>
          <t>Two step</t>
        </is>
      </c>
      <c r="H231" s="4" t="inlineStr">
        <is>
          <t xml:space="preserve">Pyrolysis </t>
        </is>
      </c>
      <c r="I231" s="20" t="inlineStr">
        <is>
          <t>No</t>
        </is>
      </c>
      <c r="J231" s="20" t="n">
        <v>60</v>
      </c>
      <c r="K231" s="20" t="n"/>
      <c r="L231" s="20" t="n">
        <v>500</v>
      </c>
      <c r="M231" s="20" t="inlineStr">
        <is>
          <t>Activation</t>
        </is>
      </c>
      <c r="N231" s="20" t="inlineStr">
        <is>
          <t>KOH (1:2)</t>
        </is>
      </c>
      <c r="O231" s="20" t="n">
        <v>60</v>
      </c>
      <c r="P231" s="20" t="n">
        <v>5</v>
      </c>
      <c r="Q231" s="20" t="n">
        <v>800</v>
      </c>
      <c r="R231" s="20" t="n">
        <v>1007</v>
      </c>
      <c r="S231" s="20" t="n">
        <v>0.388</v>
      </c>
      <c r="T231" s="22" t="n">
        <v>1.23</v>
      </c>
      <c r="U231" s="20" t="n">
        <v>0.83</v>
      </c>
      <c r="V231" s="20" t="n"/>
      <c r="W231" s="20" t="n">
        <v>0.603</v>
      </c>
      <c r="X231" s="20" t="n"/>
      <c r="Y231" s="24" t="inlineStr">
        <is>
          <t>[59]</t>
        </is>
      </c>
    </row>
    <row r="232" ht="15" customHeight="1">
      <c r="A232" s="20" t="inlineStr">
        <is>
          <t>Snake fruit peal</t>
        </is>
      </c>
      <c r="B232" s="21" t="inlineStr">
        <is>
          <t>Biomass (H2O) / Carbon (2M HCl + H2O)</t>
        </is>
      </c>
      <c r="C232" s="21" t="inlineStr">
        <is>
          <t>Water wash</t>
        </is>
      </c>
      <c r="D232" s="21" t="inlineStr">
        <is>
          <t>No</t>
        </is>
      </c>
      <c r="E232" s="21" t="inlineStr">
        <is>
          <t>Acid wash</t>
        </is>
      </c>
      <c r="F232" s="21" t="inlineStr">
        <is>
          <t>Mild</t>
        </is>
      </c>
      <c r="G232" s="20" t="inlineStr">
        <is>
          <t>Two step</t>
        </is>
      </c>
      <c r="H232" s="4" t="inlineStr">
        <is>
          <t xml:space="preserve">Pyrolysis </t>
        </is>
      </c>
      <c r="I232" s="20" t="inlineStr">
        <is>
          <t>No</t>
        </is>
      </c>
      <c r="J232" s="20" t="n">
        <v>60</v>
      </c>
      <c r="K232" s="20" t="n"/>
      <c r="L232" s="20" t="n">
        <v>500</v>
      </c>
      <c r="M232" s="20" t="inlineStr">
        <is>
          <t>Activation</t>
        </is>
      </c>
      <c r="N232" s="20" t="inlineStr">
        <is>
          <t>KOH (1:3)</t>
        </is>
      </c>
      <c r="O232" s="20" t="n">
        <v>60</v>
      </c>
      <c r="P232" s="20" t="n">
        <v>5</v>
      </c>
      <c r="Q232" s="20" t="n">
        <v>800</v>
      </c>
      <c r="R232" s="20" t="n">
        <v>1849</v>
      </c>
      <c r="S232" s="20" t="n">
        <v>0.385</v>
      </c>
      <c r="T232" s="22" t="n">
        <v>1.39</v>
      </c>
      <c r="U232" s="20" t="n">
        <v>0.79</v>
      </c>
      <c r="V232" s="20" t="n"/>
      <c r="W232" s="20" t="n">
        <v>1.05</v>
      </c>
      <c r="X232" s="20" t="n"/>
      <c r="Y232" s="24" t="inlineStr">
        <is>
          <t>[59]</t>
        </is>
      </c>
    </row>
    <row r="233" ht="15" customHeight="1">
      <c r="A233" s="20" t="inlineStr">
        <is>
          <t>Cooked rice</t>
        </is>
      </c>
      <c r="B233" s="21" t="inlineStr">
        <is>
          <t>Carbon (1M HCl + H2O)</t>
        </is>
      </c>
      <c r="C233" s="21" t="inlineStr">
        <is>
          <t>No wash</t>
        </is>
      </c>
      <c r="D233" s="21" t="inlineStr">
        <is>
          <t>No</t>
        </is>
      </c>
      <c r="E233" s="21" t="inlineStr">
        <is>
          <t>Acid wash</t>
        </is>
      </c>
      <c r="F233" s="21" t="inlineStr">
        <is>
          <t>Mild</t>
        </is>
      </c>
      <c r="G233" s="20" t="inlineStr">
        <is>
          <t>One step</t>
        </is>
      </c>
      <c r="H233" s="4" t="inlineStr">
        <is>
          <t>Activation</t>
        </is>
      </c>
      <c r="I233" s="20" t="inlineStr">
        <is>
          <t>KOH</t>
        </is>
      </c>
      <c r="J233" s="20" t="inlineStr">
        <is>
          <t>No</t>
        </is>
      </c>
      <c r="K233" s="20" t="n"/>
      <c r="L233" s="20" t="n">
        <v>900</v>
      </c>
      <c r="M233" s="20" t="inlineStr">
        <is>
          <t>No</t>
        </is>
      </c>
      <c r="N233" s="20" t="inlineStr">
        <is>
          <t>No</t>
        </is>
      </c>
      <c r="O233" s="20" t="inlineStr">
        <is>
          <t>No</t>
        </is>
      </c>
      <c r="P233" s="20" t="n"/>
      <c r="Q233" s="20" t="inlineStr">
        <is>
          <t>No</t>
        </is>
      </c>
      <c r="R233" s="20" t="n">
        <v>1899</v>
      </c>
      <c r="S233" s="20" t="n">
        <v>0.386</v>
      </c>
      <c r="T233" s="22" t="n">
        <v>0.93</v>
      </c>
      <c r="U233" s="20" t="n"/>
      <c r="V233" s="20" t="n"/>
      <c r="W233" s="20" t="n">
        <v>0.103</v>
      </c>
      <c r="X233" s="20" t="n"/>
      <c r="Y233" s="24" t="inlineStr">
        <is>
          <t>[60]</t>
        </is>
      </c>
    </row>
    <row r="234" ht="15" customHeight="1">
      <c r="A234" s="20" t="inlineStr">
        <is>
          <t>Chrysanthemum</t>
        </is>
      </c>
      <c r="B234" s="21" t="inlineStr">
        <is>
          <t>Biomass (H2O) / Carbon (1M HCl + H2O)</t>
        </is>
      </c>
      <c r="C234" s="21" t="inlineStr">
        <is>
          <t>Water wash</t>
        </is>
      </c>
      <c r="D234" s="21" t="inlineStr">
        <is>
          <t>Mild</t>
        </is>
      </c>
      <c r="E234" s="21" t="inlineStr">
        <is>
          <t>Acid wash</t>
        </is>
      </c>
      <c r="F234" s="21" t="inlineStr">
        <is>
          <t>Mild</t>
        </is>
      </c>
      <c r="G234" s="20" t="inlineStr">
        <is>
          <t>One step</t>
        </is>
      </c>
      <c r="H234" s="4" t="inlineStr">
        <is>
          <t>Activation</t>
        </is>
      </c>
      <c r="I234" s="20" t="inlineStr">
        <is>
          <t>KOH</t>
        </is>
      </c>
      <c r="J234" s="20" t="n">
        <v>60</v>
      </c>
      <c r="K234" s="20" t="n">
        <v>5</v>
      </c>
      <c r="L234" s="20" t="n">
        <v>700</v>
      </c>
      <c r="M234" s="20" t="inlineStr">
        <is>
          <t>No</t>
        </is>
      </c>
      <c r="N234" s="20" t="inlineStr">
        <is>
          <t>No</t>
        </is>
      </c>
      <c r="O234" s="20" t="inlineStr">
        <is>
          <t>No</t>
        </is>
      </c>
      <c r="P234" s="20" t="n"/>
      <c r="Q234" s="20" t="inlineStr">
        <is>
          <t>No</t>
        </is>
      </c>
      <c r="R234" s="20" t="n">
        <v>800</v>
      </c>
      <c r="S234" s="20" t="n">
        <v>0.372</v>
      </c>
      <c r="T234" s="22" t="n">
        <v>1.24</v>
      </c>
      <c r="U234" s="20" t="n"/>
      <c r="V234" s="20" t="n"/>
      <c r="W234" s="20" t="n">
        <v>0.41</v>
      </c>
      <c r="X234" s="20" t="n">
        <v>93.59999999999999</v>
      </c>
      <c r="Y234" s="24" t="inlineStr">
        <is>
          <t>[61]</t>
        </is>
      </c>
    </row>
    <row r="235" ht="15" customHeight="1">
      <c r="A235" s="20" t="inlineStr">
        <is>
          <t>Cherry kernel</t>
        </is>
      </c>
      <c r="B235" s="21" t="inlineStr">
        <is>
          <t>Biomass (H2O) / Carbon (0.1M HCl + H2O)</t>
        </is>
      </c>
      <c r="C235" s="21" t="inlineStr">
        <is>
          <t>Water wash</t>
        </is>
      </c>
      <c r="D235" s="21" t="inlineStr">
        <is>
          <t>Mild</t>
        </is>
      </c>
      <c r="E235" s="21" t="inlineStr">
        <is>
          <t>Acid wash</t>
        </is>
      </c>
      <c r="F235" s="21" t="inlineStr">
        <is>
          <t>Mild</t>
        </is>
      </c>
      <c r="G235" s="20" t="inlineStr">
        <is>
          <t>Two step</t>
        </is>
      </c>
      <c r="H235" s="4" t="inlineStr">
        <is>
          <t xml:space="preserve">Pyrolysis </t>
        </is>
      </c>
      <c r="I235" s="20" t="inlineStr">
        <is>
          <t>KOH</t>
        </is>
      </c>
      <c r="J235" s="20" t="n">
        <v>120</v>
      </c>
      <c r="K235" s="20" t="n">
        <v>5</v>
      </c>
      <c r="L235" s="20" t="n">
        <v>825</v>
      </c>
      <c r="M235" s="20" t="inlineStr">
        <is>
          <t>Activation</t>
        </is>
      </c>
      <c r="N235" s="20" t="inlineStr">
        <is>
          <t>7M KOH</t>
        </is>
      </c>
      <c r="O235" s="20" t="n">
        <v>120</v>
      </c>
      <c r="P235" s="20" t="n">
        <v>5</v>
      </c>
      <c r="Q235" s="20" t="n">
        <v>825</v>
      </c>
      <c r="R235" s="20" t="inlineStr">
        <is>
          <t>n/a</t>
        </is>
      </c>
      <c r="S235" s="20" t="n"/>
      <c r="T235" s="22" t="n"/>
      <c r="U235" s="20" t="n"/>
      <c r="V235" s="20" t="n"/>
      <c r="W235" s="20" t="n"/>
      <c r="X235" s="20" t="n"/>
      <c r="Y235" s="24" t="inlineStr">
        <is>
          <t>[62]</t>
        </is>
      </c>
    </row>
    <row r="236" ht="15" customHeight="1">
      <c r="A236" s="20" t="inlineStr">
        <is>
          <t>Seaweed</t>
        </is>
      </c>
      <c r="B236" s="21" t="inlineStr">
        <is>
          <t>Biomass (H2O) / Carbon (H2O)</t>
        </is>
      </c>
      <c r="C236" s="21" t="inlineStr">
        <is>
          <t>Water wash</t>
        </is>
      </c>
      <c r="D236" s="21" t="inlineStr">
        <is>
          <t>No</t>
        </is>
      </c>
      <c r="E236" s="21" t="inlineStr">
        <is>
          <t>Water wash</t>
        </is>
      </c>
      <c r="F236" s="21" t="inlineStr">
        <is>
          <t>No</t>
        </is>
      </c>
      <c r="G236" s="20" t="inlineStr">
        <is>
          <t>One step</t>
        </is>
      </c>
      <c r="H236" s="4" t="inlineStr">
        <is>
          <t>Activation</t>
        </is>
      </c>
      <c r="I236" s="20" t="inlineStr">
        <is>
          <t>KOH</t>
        </is>
      </c>
      <c r="J236" s="20" t="n">
        <v>240</v>
      </c>
      <c r="K236" s="20" t="n">
        <v>3</v>
      </c>
      <c r="L236" s="20" t="n">
        <v>450</v>
      </c>
      <c r="M236" s="20" t="inlineStr">
        <is>
          <t>Activation</t>
        </is>
      </c>
      <c r="N236" s="20" t="inlineStr">
        <is>
          <t>KOH (1:3)</t>
        </is>
      </c>
      <c r="O236" s="20" t="n">
        <v>240</v>
      </c>
      <c r="P236" s="20" t="n">
        <v>3</v>
      </c>
      <c r="Q236" s="20" t="n">
        <v>750</v>
      </c>
      <c r="R236" s="20" t="n">
        <v>1641</v>
      </c>
      <c r="S236" s="20" t="n">
        <v>0.374</v>
      </c>
      <c r="T236" s="22" t="n">
        <v>0.97</v>
      </c>
      <c r="U236" s="20" t="n"/>
      <c r="V236" s="20" t="n"/>
      <c r="W236" s="20" t="n">
        <v>1.31</v>
      </c>
      <c r="X236" s="20" t="n"/>
      <c r="Y236" s="24" t="inlineStr">
        <is>
          <t>[63]</t>
        </is>
      </c>
    </row>
    <row r="237" ht="15" customHeight="1">
      <c r="A237" s="20" t="inlineStr">
        <is>
          <t>Seaweed</t>
        </is>
      </c>
      <c r="B237" s="21" t="inlineStr">
        <is>
          <t>Biomass (H2O) / Carbon (H2O)</t>
        </is>
      </c>
      <c r="C237" s="21" t="inlineStr">
        <is>
          <t>Water wash</t>
        </is>
      </c>
      <c r="D237" s="21" t="inlineStr">
        <is>
          <t>No</t>
        </is>
      </c>
      <c r="E237" s="21" t="inlineStr">
        <is>
          <t>Water wash</t>
        </is>
      </c>
      <c r="F237" s="21" t="inlineStr">
        <is>
          <t>No</t>
        </is>
      </c>
      <c r="G237" s="20" t="inlineStr">
        <is>
          <t>One step</t>
        </is>
      </c>
      <c r="H237" s="4" t="inlineStr">
        <is>
          <t>Activation</t>
        </is>
      </c>
      <c r="I237" s="20" t="inlineStr">
        <is>
          <t>KOH</t>
        </is>
      </c>
      <c r="J237" s="20" t="n">
        <v>240</v>
      </c>
      <c r="K237" s="20" t="n">
        <v>3</v>
      </c>
      <c r="L237" s="20" t="n">
        <v>450</v>
      </c>
      <c r="M237" s="20" t="inlineStr">
        <is>
          <t xml:space="preserve">Pyrolysis </t>
        </is>
      </c>
      <c r="N237" s="20" t="inlineStr">
        <is>
          <t>No</t>
        </is>
      </c>
      <c r="O237" s="20" t="n">
        <v>240</v>
      </c>
      <c r="P237" s="20" t="n">
        <v>3</v>
      </c>
      <c r="Q237" s="20" t="n">
        <v>750</v>
      </c>
      <c r="R237" s="20" t="n">
        <v>231</v>
      </c>
      <c r="S237" s="20" t="n">
        <v>0.375</v>
      </c>
      <c r="T237" s="22" t="n">
        <v>0.95</v>
      </c>
      <c r="U237" s="20" t="n"/>
      <c r="V237" s="20" t="n"/>
      <c r="W237" s="20" t="n">
        <v>0.12</v>
      </c>
      <c r="X237" s="20" t="n"/>
      <c r="Y237" s="24" t="inlineStr">
        <is>
          <t>[63]</t>
        </is>
      </c>
    </row>
    <row r="238" ht="15" customHeight="1">
      <c r="A238" s="20" t="inlineStr">
        <is>
          <t>Pomelo peel</t>
        </is>
      </c>
      <c r="B238" s="21" t="inlineStr">
        <is>
          <t>Carbon (H2O)</t>
        </is>
      </c>
      <c r="C238" s="21" t="inlineStr">
        <is>
          <t>No wash</t>
        </is>
      </c>
      <c r="D238" s="21" t="inlineStr">
        <is>
          <t>No</t>
        </is>
      </c>
      <c r="E238" s="21" t="inlineStr">
        <is>
          <t>Water wash</t>
        </is>
      </c>
      <c r="F238" s="21" t="inlineStr">
        <is>
          <t>No</t>
        </is>
      </c>
      <c r="G238" s="20" t="inlineStr">
        <is>
          <t>One step</t>
        </is>
      </c>
      <c r="H238" s="4" t="inlineStr">
        <is>
          <t>Activation</t>
        </is>
      </c>
      <c r="I238" s="20" t="inlineStr">
        <is>
          <t>H3PO4</t>
        </is>
      </c>
      <c r="J238" s="20" t="inlineStr">
        <is>
          <t>No</t>
        </is>
      </c>
      <c r="K238" s="20" t="n"/>
      <c r="L238" s="20" t="n">
        <v>700</v>
      </c>
      <c r="M238" s="20" t="inlineStr">
        <is>
          <t>No</t>
        </is>
      </c>
      <c r="N238" s="20" t="inlineStr">
        <is>
          <t>No</t>
        </is>
      </c>
      <c r="O238" s="20" t="inlineStr">
        <is>
          <t>No</t>
        </is>
      </c>
      <c r="P238" s="20" t="n"/>
      <c r="Q238" s="20" t="inlineStr">
        <is>
          <t>No</t>
        </is>
      </c>
      <c r="R238" s="20" t="n">
        <v>1272</v>
      </c>
      <c r="S238" s="20" t="n"/>
      <c r="T238" s="22" t="n"/>
      <c r="U238" s="20" t="n"/>
      <c r="V238" s="20" t="n"/>
      <c r="W238" s="20" t="n"/>
      <c r="X238" s="20" t="n"/>
      <c r="Y238" s="24" t="inlineStr">
        <is>
          <t>[64]</t>
        </is>
      </c>
    </row>
    <row r="239" ht="15" customHeight="1">
      <c r="A239" s="20" t="inlineStr">
        <is>
          <t>Typha</t>
        </is>
      </c>
      <c r="B239" s="21" t="inlineStr">
        <is>
          <t>Biomass (H2O) / Carbon (1M HCl + H2O)</t>
        </is>
      </c>
      <c r="C239" s="21" t="inlineStr">
        <is>
          <t>Water wash</t>
        </is>
      </c>
      <c r="D239" s="21" t="inlineStr">
        <is>
          <t>No</t>
        </is>
      </c>
      <c r="E239" s="21" t="inlineStr">
        <is>
          <t>Acid wash</t>
        </is>
      </c>
      <c r="F239" s="21" t="inlineStr">
        <is>
          <t>Mild</t>
        </is>
      </c>
      <c r="G239" s="20" t="inlineStr">
        <is>
          <t>One step</t>
        </is>
      </c>
      <c r="H239" s="4" t="inlineStr">
        <is>
          <t>Activation</t>
        </is>
      </c>
      <c r="I239" s="20" t="inlineStr">
        <is>
          <t>H3PO4</t>
        </is>
      </c>
      <c r="J239" s="20" t="inlineStr">
        <is>
          <t>No</t>
        </is>
      </c>
      <c r="K239" s="20" t="n"/>
      <c r="L239" s="20" t="n">
        <v>500</v>
      </c>
      <c r="M239" s="20" t="inlineStr">
        <is>
          <t>No</t>
        </is>
      </c>
      <c r="N239" s="20" t="inlineStr">
        <is>
          <t>No</t>
        </is>
      </c>
      <c r="O239" s="20" t="inlineStr">
        <is>
          <t>No</t>
        </is>
      </c>
      <c r="P239" s="20" t="n"/>
      <c r="Q239" s="20" t="inlineStr">
        <is>
          <t>No</t>
        </is>
      </c>
      <c r="R239" s="20" t="n">
        <v>559.7</v>
      </c>
      <c r="S239" s="20" t="n">
        <v>0.361</v>
      </c>
      <c r="T239" s="22" t="n">
        <v>0.43</v>
      </c>
      <c r="U239" s="20" t="n">
        <v>4.81</v>
      </c>
      <c r="V239" s="20" t="n">
        <v>1.11</v>
      </c>
      <c r="W239" s="20" t="n">
        <v>0.66</v>
      </c>
      <c r="X239" s="20" t="n"/>
      <c r="Y239" s="24" t="inlineStr">
        <is>
          <t>[65]</t>
        </is>
      </c>
    </row>
    <row r="240" ht="15" customHeight="1">
      <c r="A240" s="20" t="inlineStr">
        <is>
          <t>Basswood</t>
        </is>
      </c>
      <c r="B240" s="21" t="inlineStr">
        <is>
          <t>Biomass (H2O) / Carbon (2M HCl)</t>
        </is>
      </c>
      <c r="C240" s="21" t="inlineStr">
        <is>
          <t>Water wash</t>
        </is>
      </c>
      <c r="D240" s="21" t="inlineStr">
        <is>
          <t>No</t>
        </is>
      </c>
      <c r="E240" s="21" t="inlineStr">
        <is>
          <t>Acid wash</t>
        </is>
      </c>
      <c r="F240" s="21" t="inlineStr">
        <is>
          <t>Mild</t>
        </is>
      </c>
      <c r="G240" s="20" t="inlineStr">
        <is>
          <t>One step</t>
        </is>
      </c>
      <c r="H240" s="4" t="inlineStr">
        <is>
          <t>Activation</t>
        </is>
      </c>
      <c r="I240" s="20" t="inlineStr">
        <is>
          <t>H3PO4</t>
        </is>
      </c>
      <c r="J240" s="20" t="inlineStr">
        <is>
          <t>No</t>
        </is>
      </c>
      <c r="K240" s="20" t="n"/>
      <c r="L240" s="20" t="n">
        <v>500</v>
      </c>
      <c r="M240" s="20" t="inlineStr">
        <is>
          <t>No</t>
        </is>
      </c>
      <c r="N240" s="20" t="inlineStr">
        <is>
          <t>No</t>
        </is>
      </c>
      <c r="O240" s="20" t="inlineStr">
        <is>
          <t>No</t>
        </is>
      </c>
      <c r="P240" s="20" t="n"/>
      <c r="Q240" s="20" t="inlineStr">
        <is>
          <t>No</t>
        </is>
      </c>
      <c r="R240" s="20" t="n">
        <v>992.6</v>
      </c>
      <c r="S240" s="20" t="n">
        <v>0.365</v>
      </c>
      <c r="T240" s="22" t="n">
        <v>0.66</v>
      </c>
      <c r="U240" s="20" t="n"/>
      <c r="V240" s="20" t="n"/>
      <c r="W240" s="20" t="n">
        <v>0.77</v>
      </c>
      <c r="X240" s="20" t="n"/>
      <c r="Y240" s="24" t="inlineStr">
        <is>
          <t>[66]</t>
        </is>
      </c>
    </row>
    <row r="241" ht="15" customHeight="1">
      <c r="A241" s="20" t="inlineStr">
        <is>
          <t>Ulmus pumila Samara</t>
        </is>
      </c>
      <c r="B241" s="21" t="inlineStr">
        <is>
          <t>Biomass (H2O) / Carbon (0.2M HCl + H2O)</t>
        </is>
      </c>
      <c r="C241" s="21" t="inlineStr">
        <is>
          <t>Water wash</t>
        </is>
      </c>
      <c r="D241" s="21" t="inlineStr">
        <is>
          <t>No</t>
        </is>
      </c>
      <c r="E241" s="21" t="inlineStr">
        <is>
          <t>Acid wash</t>
        </is>
      </c>
      <c r="F241" s="21" t="inlineStr">
        <is>
          <t>Mild</t>
        </is>
      </c>
      <c r="G241" s="20" t="inlineStr">
        <is>
          <t>One step</t>
        </is>
      </c>
      <c r="H241" s="4" t="inlineStr">
        <is>
          <t>Activation</t>
        </is>
      </c>
      <c r="I241" s="20" t="inlineStr">
        <is>
          <t>KHCO3</t>
        </is>
      </c>
      <c r="J241" s="20" t="inlineStr">
        <is>
          <t>No</t>
        </is>
      </c>
      <c r="K241" s="20" t="n"/>
      <c r="L241" s="20" t="n">
        <v>800</v>
      </c>
      <c r="M241" s="20" t="inlineStr">
        <is>
          <t>No</t>
        </is>
      </c>
      <c r="N241" s="20" t="inlineStr">
        <is>
          <t>No</t>
        </is>
      </c>
      <c r="O241" s="20" t="inlineStr">
        <is>
          <t>No</t>
        </is>
      </c>
      <c r="P241" s="20" t="n"/>
      <c r="Q241" s="20" t="inlineStr">
        <is>
          <t>No</t>
        </is>
      </c>
      <c r="R241" s="20" t="n">
        <v>1868.4</v>
      </c>
      <c r="S241" s="20" t="n">
        <v>0.37</v>
      </c>
      <c r="T241" s="22" t="n"/>
      <c r="U241" s="20" t="n"/>
      <c r="V241" s="20" t="n"/>
      <c r="W241" s="20" t="n">
        <v>0.765</v>
      </c>
      <c r="X241" s="20" t="n">
        <v>89.90000000000001</v>
      </c>
      <c r="Y241" s="24" t="inlineStr">
        <is>
          <t>[67]</t>
        </is>
      </c>
    </row>
    <row r="242" ht="15" customHeight="1">
      <c r="A242" s="4" t="inlineStr">
        <is>
          <t>Acer miyabei</t>
        </is>
      </c>
      <c r="B242" s="21" t="inlineStr">
        <is>
          <t>Biomass (H2O) / Carbon (0.2M HCl + H2O)</t>
        </is>
      </c>
      <c r="C242" s="21" t="inlineStr">
        <is>
          <t>Water wash</t>
        </is>
      </c>
      <c r="D242" s="21" t="inlineStr">
        <is>
          <t>No</t>
        </is>
      </c>
      <c r="E242" s="21" t="inlineStr">
        <is>
          <t>Acid wash</t>
        </is>
      </c>
      <c r="F242" s="21" t="inlineStr">
        <is>
          <t>Mild</t>
        </is>
      </c>
      <c r="G242" s="20" t="inlineStr">
        <is>
          <t>One step</t>
        </is>
      </c>
      <c r="H242" s="4" t="inlineStr">
        <is>
          <t>Activation</t>
        </is>
      </c>
      <c r="I242" s="20" t="inlineStr">
        <is>
          <t>KHCO3</t>
        </is>
      </c>
      <c r="J242" s="20" t="inlineStr">
        <is>
          <t>No</t>
        </is>
      </c>
      <c r="K242" s="20" t="n"/>
      <c r="L242" s="20" t="n">
        <v>800</v>
      </c>
      <c r="M242" s="20" t="inlineStr">
        <is>
          <t>No</t>
        </is>
      </c>
      <c r="N242" s="20" t="inlineStr">
        <is>
          <t>No</t>
        </is>
      </c>
      <c r="O242" s="20" t="inlineStr">
        <is>
          <t>No</t>
        </is>
      </c>
      <c r="P242" s="20" t="n"/>
      <c r="Q242" s="20" t="inlineStr">
        <is>
          <t>No</t>
        </is>
      </c>
      <c r="R242" s="20" t="n">
        <v>1841.2</v>
      </c>
      <c r="S242" s="20" t="n">
        <v>0.39</v>
      </c>
      <c r="T242" s="22" t="n"/>
      <c r="U242" s="20" t="n"/>
      <c r="V242" s="20" t="n"/>
      <c r="W242" s="20" t="n">
        <v>0.764</v>
      </c>
      <c r="X242" s="20" t="n">
        <v>91</v>
      </c>
      <c r="Y242" s="24" t="inlineStr">
        <is>
          <t>[67]</t>
        </is>
      </c>
    </row>
    <row r="243" ht="15" customHeight="1">
      <c r="A243" s="4" t="inlineStr">
        <is>
          <t>Ailanthus altissima</t>
        </is>
      </c>
      <c r="B243" s="21" t="inlineStr">
        <is>
          <t>Biomass (H2O) / Carbon (0.2M HCl + H2O)</t>
        </is>
      </c>
      <c r="C243" s="21" t="inlineStr">
        <is>
          <t>Water wash</t>
        </is>
      </c>
      <c r="D243" s="21" t="inlineStr">
        <is>
          <t>No</t>
        </is>
      </c>
      <c r="E243" s="21" t="inlineStr">
        <is>
          <t>Acid wash</t>
        </is>
      </c>
      <c r="F243" s="21" t="inlineStr">
        <is>
          <t>Mild</t>
        </is>
      </c>
      <c r="G243" s="20" t="inlineStr">
        <is>
          <t>One step</t>
        </is>
      </c>
      <c r="H243" s="4" t="inlineStr">
        <is>
          <t>Activation</t>
        </is>
      </c>
      <c r="I243" s="20" t="inlineStr">
        <is>
          <t>KHCO3</t>
        </is>
      </c>
      <c r="J243" s="20" t="inlineStr">
        <is>
          <t>No</t>
        </is>
      </c>
      <c r="K243" s="20" t="n"/>
      <c r="L243" s="20" t="n">
        <v>800</v>
      </c>
      <c r="M243" s="20" t="inlineStr">
        <is>
          <t>No</t>
        </is>
      </c>
      <c r="N243" s="20" t="inlineStr">
        <is>
          <t>No</t>
        </is>
      </c>
      <c r="O243" s="20" t="inlineStr">
        <is>
          <t>No</t>
        </is>
      </c>
      <c r="P243" s="20" t="n"/>
      <c r="Q243" s="20" t="inlineStr">
        <is>
          <t>No</t>
        </is>
      </c>
      <c r="R243" s="20" t="n">
        <v>1806.7</v>
      </c>
      <c r="S243" s="20" t="n">
        <v>0.36</v>
      </c>
      <c r="T243" s="22" t="n"/>
      <c r="U243" s="20" t="n"/>
      <c r="V243" s="20" t="n"/>
      <c r="W243" s="20" t="n">
        <v>0.703</v>
      </c>
      <c r="X243" s="20" t="n">
        <v>89.8</v>
      </c>
      <c r="Y243" s="24" t="inlineStr">
        <is>
          <t>[67]</t>
        </is>
      </c>
    </row>
    <row r="244" ht="15" customHeight="1">
      <c r="A244" s="4" t="inlineStr">
        <is>
          <t xml:space="preserve">Fraxinus Chinesis </t>
        </is>
      </c>
      <c r="B244" s="21" t="inlineStr">
        <is>
          <t>Biomass (H2O) / Carbon (0.2M HCl + H2O)</t>
        </is>
      </c>
      <c r="C244" s="21" t="inlineStr">
        <is>
          <t>Water wash</t>
        </is>
      </c>
      <c r="D244" s="21" t="inlineStr">
        <is>
          <t>No</t>
        </is>
      </c>
      <c r="E244" s="21" t="inlineStr">
        <is>
          <t>Acid wash</t>
        </is>
      </c>
      <c r="F244" s="21" t="inlineStr">
        <is>
          <t>Mild</t>
        </is>
      </c>
      <c r="G244" s="20" t="inlineStr">
        <is>
          <t>One step</t>
        </is>
      </c>
      <c r="H244" s="4" t="inlineStr">
        <is>
          <t>Activation</t>
        </is>
      </c>
      <c r="I244" s="20" t="inlineStr">
        <is>
          <t>KHCO3</t>
        </is>
      </c>
      <c r="J244" s="20" t="inlineStr">
        <is>
          <t>No</t>
        </is>
      </c>
      <c r="K244" s="20" t="n"/>
      <c r="L244" s="20" t="n">
        <v>800</v>
      </c>
      <c r="M244" s="20" t="inlineStr">
        <is>
          <t>No</t>
        </is>
      </c>
      <c r="N244" s="20" t="inlineStr">
        <is>
          <t>No</t>
        </is>
      </c>
      <c r="O244" s="20" t="inlineStr">
        <is>
          <t>No</t>
        </is>
      </c>
      <c r="P244" s="20" t="n"/>
      <c r="Q244" s="20" t="inlineStr">
        <is>
          <t>No</t>
        </is>
      </c>
      <c r="R244" s="20" t="n">
        <v>1728</v>
      </c>
      <c r="S244" s="20" t="n">
        <v>0.36</v>
      </c>
      <c r="T244" s="22" t="n"/>
      <c r="U244" s="20" t="n"/>
      <c r="V244" s="20" t="n"/>
      <c r="W244" s="20" t="n">
        <v>0.663</v>
      </c>
      <c r="X244" s="20" t="n">
        <v>90</v>
      </c>
      <c r="Y244" s="24" t="inlineStr">
        <is>
          <t>[67]</t>
        </is>
      </c>
    </row>
    <row r="245" ht="15" customHeight="1">
      <c r="A245" s="20" t="inlineStr">
        <is>
          <t>Old loofah</t>
        </is>
      </c>
      <c r="B245" s="21" t="inlineStr">
        <is>
          <t>Biomass (H2O) / Carbon (2.9M HCl + H2O)</t>
        </is>
      </c>
      <c r="C245" s="21" t="inlineStr">
        <is>
          <t>Water wash</t>
        </is>
      </c>
      <c r="D245" s="21" t="inlineStr">
        <is>
          <t>No</t>
        </is>
      </c>
      <c r="E245" s="21" t="inlineStr">
        <is>
          <t>Acid wash</t>
        </is>
      </c>
      <c r="F245" s="21" t="inlineStr">
        <is>
          <t>Mild</t>
        </is>
      </c>
      <c r="G245" s="20" t="inlineStr">
        <is>
          <t>One step</t>
        </is>
      </c>
      <c r="H245" s="4" t="inlineStr">
        <is>
          <t>Activation</t>
        </is>
      </c>
      <c r="I245" s="20" t="inlineStr">
        <is>
          <t>ZnCl2</t>
        </is>
      </c>
      <c r="J245" s="20" t="inlineStr">
        <is>
          <t>No</t>
        </is>
      </c>
      <c r="K245" s="20" t="n"/>
      <c r="L245" s="20" t="n">
        <v>800</v>
      </c>
      <c r="M245" s="20" t="inlineStr">
        <is>
          <t>No</t>
        </is>
      </c>
      <c r="N245" s="20" t="inlineStr">
        <is>
          <t>No</t>
        </is>
      </c>
      <c r="O245" s="20" t="inlineStr">
        <is>
          <t>No</t>
        </is>
      </c>
      <c r="P245" s="20" t="n"/>
      <c r="Q245" s="20" t="inlineStr">
        <is>
          <t>No</t>
        </is>
      </c>
      <c r="R245" s="20" t="inlineStr">
        <is>
          <t>n/a</t>
        </is>
      </c>
      <c r="S245" s="20" t="n">
        <v>0.39</v>
      </c>
      <c r="T245" s="22" t="n">
        <v>0.87</v>
      </c>
      <c r="U245" s="20" t="n"/>
      <c r="V245" s="20" t="n"/>
      <c r="W245" s="20" t="n"/>
      <c r="X245" s="20" t="n">
        <v>91</v>
      </c>
      <c r="Y245" s="24" t="inlineStr">
        <is>
          <t>[68]</t>
        </is>
      </c>
    </row>
    <row r="246" ht="15" customHeight="1">
      <c r="A246" s="20" t="inlineStr">
        <is>
          <t>Platanus bark</t>
        </is>
      </c>
      <c r="B246" s="21" t="inlineStr">
        <is>
          <t>Biomass (H2O + EtOH)</t>
        </is>
      </c>
      <c r="C246" s="21" t="inlineStr">
        <is>
          <t>Water wash</t>
        </is>
      </c>
      <c r="D246" s="21" t="inlineStr">
        <is>
          <t>No</t>
        </is>
      </c>
      <c r="E246" s="21" t="inlineStr">
        <is>
          <t>No wash</t>
        </is>
      </c>
      <c r="F246" s="21" t="inlineStr">
        <is>
          <t>No</t>
        </is>
      </c>
      <c r="G246" s="20" t="inlineStr">
        <is>
          <t>One step</t>
        </is>
      </c>
      <c r="H246" s="4" t="inlineStr">
        <is>
          <t>Activation</t>
        </is>
      </c>
      <c r="I246" s="20" t="inlineStr">
        <is>
          <t>H2SO4</t>
        </is>
      </c>
      <c r="J246" s="20" t="inlineStr">
        <is>
          <t>No</t>
        </is>
      </c>
      <c r="K246" s="20" t="n"/>
      <c r="L246" s="20" t="n">
        <v>700</v>
      </c>
      <c r="M246" s="20" t="inlineStr">
        <is>
          <t>No</t>
        </is>
      </c>
      <c r="N246" s="20" t="inlineStr">
        <is>
          <t>No</t>
        </is>
      </c>
      <c r="O246" s="20" t="inlineStr">
        <is>
          <t>No</t>
        </is>
      </c>
      <c r="P246" s="20" t="n"/>
      <c r="Q246" s="20" t="inlineStr">
        <is>
          <t>No</t>
        </is>
      </c>
      <c r="R246" s="20" t="n">
        <v>602.1</v>
      </c>
      <c r="S246" s="20" t="n">
        <v>0.394</v>
      </c>
      <c r="T246" s="22" t="n">
        <v>0.47</v>
      </c>
      <c r="U246" s="20" t="n"/>
      <c r="V246" s="20" t="n"/>
      <c r="W246" s="20" t="n"/>
      <c r="X246" s="20" t="n">
        <v>93.59999999999999</v>
      </c>
      <c r="Y246" s="24" t="inlineStr">
        <is>
          <t>[69]</t>
        </is>
      </c>
    </row>
    <row r="247" ht="15" customHeight="1">
      <c r="A247" s="29" t="inlineStr">
        <is>
          <t>Platanus</t>
        </is>
      </c>
      <c r="B247" s="5" t="inlineStr">
        <is>
          <t>Conc H2SO4</t>
        </is>
      </c>
      <c r="C247" s="5" t="inlineStr">
        <is>
          <t>Acid wash</t>
        </is>
      </c>
      <c r="D247" s="5" t="inlineStr">
        <is>
          <t>Conc</t>
        </is>
      </c>
      <c r="E247" s="5" t="inlineStr">
        <is>
          <t>No wash</t>
        </is>
      </c>
      <c r="F247" s="5" t="inlineStr">
        <is>
          <t>No wash</t>
        </is>
      </c>
      <c r="G247" s="4" t="inlineStr">
        <is>
          <t>Two step</t>
        </is>
      </c>
      <c r="H247" s="4" t="inlineStr">
        <is>
          <t>Pyrolysis</t>
        </is>
      </c>
      <c r="I247" s="4" t="inlineStr">
        <is>
          <t>No</t>
        </is>
      </c>
      <c r="J247" s="4" t="n">
        <v>60</v>
      </c>
      <c r="K247" s="4" t="n">
        <v>1</v>
      </c>
      <c r="L247" s="4" t="n">
        <v>550</v>
      </c>
      <c r="M247" s="4" t="inlineStr">
        <is>
          <t>Pyrolysis</t>
        </is>
      </c>
      <c r="N247" s="4" t="inlineStr">
        <is>
          <t>No</t>
        </is>
      </c>
      <c r="O247" s="4" t="n">
        <v>120</v>
      </c>
      <c r="P247" s="4" t="n">
        <v>10</v>
      </c>
      <c r="Q247" s="4" t="n">
        <v>700</v>
      </c>
      <c r="R247" s="4" t="n">
        <v>602.1</v>
      </c>
      <c r="S247" s="4" t="n">
        <v>0.394</v>
      </c>
      <c r="T247" s="40" t="n">
        <v>0.47</v>
      </c>
      <c r="U247" s="4" t="n">
        <v>16.2</v>
      </c>
      <c r="V247" s="4" t="n">
        <v>7.6</v>
      </c>
      <c r="W247" s="4" t="n">
        <v>0.658</v>
      </c>
      <c r="X247" s="29">
        <f>100-9.63</f>
        <v/>
      </c>
      <c r="Y247" s="29" t="inlineStr">
        <is>
          <t>[69]</t>
        </is>
      </c>
    </row>
    <row r="248" ht="15" customHeight="1">
      <c r="A248" s="29" t="inlineStr">
        <is>
          <t>Platanus</t>
        </is>
      </c>
      <c r="B248" s="5" t="inlineStr">
        <is>
          <t>No</t>
        </is>
      </c>
      <c r="C248" s="5" t="inlineStr">
        <is>
          <t>No wash</t>
        </is>
      </c>
      <c r="D248" s="5" t="inlineStr">
        <is>
          <t>No wash</t>
        </is>
      </c>
      <c r="E248" s="5" t="inlineStr">
        <is>
          <t>No wash</t>
        </is>
      </c>
      <c r="F248" s="5" t="inlineStr">
        <is>
          <t>No wash</t>
        </is>
      </c>
      <c r="G248" s="4" t="inlineStr">
        <is>
          <t>Two step</t>
        </is>
      </c>
      <c r="H248" s="4" t="inlineStr">
        <is>
          <t>Pyrolysis</t>
        </is>
      </c>
      <c r="I248" s="4" t="inlineStr">
        <is>
          <t>No</t>
        </is>
      </c>
      <c r="J248" s="4" t="n">
        <v>60</v>
      </c>
      <c r="K248" s="4" t="n">
        <v>1</v>
      </c>
      <c r="L248" s="4" t="n">
        <v>550</v>
      </c>
      <c r="M248" s="4" t="inlineStr">
        <is>
          <t>Pyrolysis</t>
        </is>
      </c>
      <c r="N248" s="4" t="inlineStr">
        <is>
          <t>No</t>
        </is>
      </c>
      <c r="O248" s="4" t="n">
        <v>120</v>
      </c>
      <c r="P248" s="4" t="n">
        <v>10</v>
      </c>
      <c r="Q248" s="4" t="n">
        <v>700</v>
      </c>
      <c r="R248" s="4" t="n">
        <v>307.2</v>
      </c>
      <c r="S248" s="4" t="n">
        <v>0.378</v>
      </c>
      <c r="T248" s="40" t="n">
        <v>0.37</v>
      </c>
      <c r="U248" s="4" t="n">
        <v>33.9</v>
      </c>
      <c r="V248" s="4" t="n">
        <v>8.85</v>
      </c>
      <c r="W248" s="4" t="n">
        <v>0.165</v>
      </c>
      <c r="X248" s="29">
        <f>100-14.14</f>
        <v/>
      </c>
      <c r="Y248" s="29" t="inlineStr">
        <is>
          <t>[69]</t>
        </is>
      </c>
    </row>
    <row r="249" ht="15" customHeight="1">
      <c r="A249" s="20" t="inlineStr">
        <is>
          <t>Bamboo leaves</t>
        </is>
      </c>
      <c r="B249" s="21" t="inlineStr">
        <is>
          <t>Biomass (H2O + EtOH + 1M HCl) / Carbon (H2O)</t>
        </is>
      </c>
      <c r="C249" s="21" t="inlineStr">
        <is>
          <t>Water wash</t>
        </is>
      </c>
      <c r="D249" s="21" t="inlineStr">
        <is>
          <t>No</t>
        </is>
      </c>
      <c r="E249" s="21" t="inlineStr">
        <is>
          <t>Water wash</t>
        </is>
      </c>
      <c r="F249" s="21" t="inlineStr">
        <is>
          <t>No</t>
        </is>
      </c>
      <c r="G249" s="20" t="inlineStr">
        <is>
          <t>One step</t>
        </is>
      </c>
      <c r="H249" s="4" t="inlineStr">
        <is>
          <t>Activation</t>
        </is>
      </c>
      <c r="I249" s="20" t="inlineStr">
        <is>
          <t>HF</t>
        </is>
      </c>
      <c r="J249" s="20" t="inlineStr">
        <is>
          <t>No</t>
        </is>
      </c>
      <c r="K249" s="20" t="n"/>
      <c r="L249" s="20" t="n">
        <v>600</v>
      </c>
      <c r="M249" s="20" t="inlineStr">
        <is>
          <t>No</t>
        </is>
      </c>
      <c r="N249" s="20" t="inlineStr">
        <is>
          <t>No</t>
        </is>
      </c>
      <c r="O249" s="20" t="inlineStr">
        <is>
          <t>No</t>
        </is>
      </c>
      <c r="P249" s="20" t="n"/>
      <c r="Q249" s="20" t="inlineStr">
        <is>
          <t>No</t>
        </is>
      </c>
      <c r="R249" s="20" t="n">
        <v>527</v>
      </c>
      <c r="S249" s="20" t="n"/>
      <c r="T249" s="22" t="n">
        <v>0.827</v>
      </c>
      <c r="U249" s="20" t="n"/>
      <c r="V249" s="20" t="n"/>
      <c r="W249" s="20" t="n"/>
      <c r="X249" s="20" t="n"/>
      <c r="Y249" s="24" t="inlineStr">
        <is>
          <t>[70]</t>
        </is>
      </c>
    </row>
    <row r="250" ht="15" customHeight="1">
      <c r="A250" s="20" t="inlineStr">
        <is>
          <t>Bamboo leaves</t>
        </is>
      </c>
      <c r="B250" s="21" t="inlineStr">
        <is>
          <t>Biomass (H2O + EtOH + 1M HCl) / Carbon (H2O)</t>
        </is>
      </c>
      <c r="C250" s="21" t="inlineStr">
        <is>
          <t>Water wash</t>
        </is>
      </c>
      <c r="D250" s="21" t="inlineStr">
        <is>
          <t>No</t>
        </is>
      </c>
      <c r="E250" s="21" t="inlineStr">
        <is>
          <t>Water wash</t>
        </is>
      </c>
      <c r="F250" s="21" t="inlineStr">
        <is>
          <t>No</t>
        </is>
      </c>
      <c r="G250" s="20" t="inlineStr">
        <is>
          <t>One step</t>
        </is>
      </c>
      <c r="H250" s="4" t="inlineStr">
        <is>
          <t>Activation</t>
        </is>
      </c>
      <c r="I250" s="20" t="inlineStr">
        <is>
          <t>HF</t>
        </is>
      </c>
      <c r="J250" s="20" t="inlineStr">
        <is>
          <t>No</t>
        </is>
      </c>
      <c r="K250" s="20" t="n"/>
      <c r="L250" s="20" t="n">
        <v>700</v>
      </c>
      <c r="M250" s="20" t="inlineStr">
        <is>
          <t>No</t>
        </is>
      </c>
      <c r="N250" s="20" t="inlineStr">
        <is>
          <t>No</t>
        </is>
      </c>
      <c r="O250" s="20" t="inlineStr">
        <is>
          <t>No</t>
        </is>
      </c>
      <c r="P250" s="20" t="n"/>
      <c r="Q250" s="20" t="inlineStr">
        <is>
          <t>No</t>
        </is>
      </c>
      <c r="R250" s="20" t="n">
        <v>475.9</v>
      </c>
      <c r="S250" s="20" t="n"/>
      <c r="T250" s="22" t="n">
        <v>0.83</v>
      </c>
      <c r="U250" s="20" t="n"/>
      <c r="V250" s="20" t="n"/>
      <c r="W250" s="20" t="n"/>
      <c r="X250" s="20" t="n"/>
      <c r="Y250" s="24" t="inlineStr">
        <is>
          <t>[70]</t>
        </is>
      </c>
    </row>
    <row r="251" ht="15" customHeight="1">
      <c r="A251" s="20" t="inlineStr">
        <is>
          <t>Bamboo leaves</t>
        </is>
      </c>
      <c r="B251" s="21" t="inlineStr">
        <is>
          <t>Biomass (H2O + EtOH + 1M HCl) / Carbon (H2O)</t>
        </is>
      </c>
      <c r="C251" s="21" t="inlineStr">
        <is>
          <t>Water wash</t>
        </is>
      </c>
      <c r="D251" s="21" t="inlineStr">
        <is>
          <t>No</t>
        </is>
      </c>
      <c r="E251" s="21" t="inlineStr">
        <is>
          <t>Water wash</t>
        </is>
      </c>
      <c r="F251" s="21" t="inlineStr">
        <is>
          <t>No</t>
        </is>
      </c>
      <c r="G251" s="20" t="inlineStr">
        <is>
          <t>One step</t>
        </is>
      </c>
      <c r="H251" s="4" t="inlineStr">
        <is>
          <t>Activation</t>
        </is>
      </c>
      <c r="I251" s="20" t="inlineStr">
        <is>
          <t>HF</t>
        </is>
      </c>
      <c r="J251" s="20" t="inlineStr">
        <is>
          <t>No</t>
        </is>
      </c>
      <c r="K251" s="20" t="n"/>
      <c r="L251" s="20" t="n">
        <v>800</v>
      </c>
      <c r="M251" s="20" t="inlineStr">
        <is>
          <t>No</t>
        </is>
      </c>
      <c r="N251" s="20" t="inlineStr">
        <is>
          <t>No</t>
        </is>
      </c>
      <c r="O251" s="20" t="inlineStr">
        <is>
          <t>No</t>
        </is>
      </c>
      <c r="P251" s="20" t="n"/>
      <c r="Q251" s="20" t="inlineStr">
        <is>
          <t>No</t>
        </is>
      </c>
      <c r="R251" s="20" t="n">
        <v>394</v>
      </c>
      <c r="S251" s="20" t="n"/>
      <c r="T251" s="22" t="n">
        <v>0.835</v>
      </c>
      <c r="U251" s="20" t="n"/>
      <c r="V251" s="20" t="n"/>
      <c r="W251" s="20" t="n"/>
      <c r="X251" s="20" t="n"/>
      <c r="Y251" s="24" t="inlineStr">
        <is>
          <t>[70]</t>
        </is>
      </c>
    </row>
    <row r="252" ht="15" customHeight="1">
      <c r="A252" s="20" t="inlineStr">
        <is>
          <t>Coffee ground</t>
        </is>
      </c>
      <c r="B252" s="21" t="inlineStr">
        <is>
          <t>No</t>
        </is>
      </c>
      <c r="C252" s="21" t="inlineStr">
        <is>
          <t>No wash</t>
        </is>
      </c>
      <c r="D252" s="21" t="inlineStr">
        <is>
          <t>No</t>
        </is>
      </c>
      <c r="E252" s="21" t="inlineStr">
        <is>
          <t>No wash</t>
        </is>
      </c>
      <c r="F252" s="21" t="inlineStr">
        <is>
          <t>No</t>
        </is>
      </c>
      <c r="G252" s="20" t="inlineStr">
        <is>
          <t>One step</t>
        </is>
      </c>
      <c r="H252" s="4" t="inlineStr">
        <is>
          <t>Activation</t>
        </is>
      </c>
      <c r="I252" s="20" t="inlineStr">
        <is>
          <t>HCl</t>
        </is>
      </c>
      <c r="J252" s="20" t="n">
        <v>480</v>
      </c>
      <c r="K252" s="20" t="n">
        <v>10</v>
      </c>
      <c r="L252" s="20" t="n">
        <v>970</v>
      </c>
      <c r="M252" s="20" t="inlineStr">
        <is>
          <t>No</t>
        </is>
      </c>
      <c r="N252" s="20" t="inlineStr">
        <is>
          <t>No</t>
        </is>
      </c>
      <c r="O252" s="20" t="inlineStr">
        <is>
          <t>No</t>
        </is>
      </c>
      <c r="P252" s="20" t="n"/>
      <c r="Q252" s="20" t="inlineStr">
        <is>
          <t>No</t>
        </is>
      </c>
      <c r="R252" s="20" t="n">
        <v>787.26</v>
      </c>
      <c r="S252" s="20" t="n">
        <v>0.386</v>
      </c>
      <c r="T252" s="22" t="n">
        <v>0.965</v>
      </c>
      <c r="U252" s="20" t="n">
        <v>19.92</v>
      </c>
      <c r="V252" s="20" t="n">
        <v>0.732</v>
      </c>
      <c r="W252" s="20" t="n"/>
      <c r="X252" s="20" t="n"/>
      <c r="Y252" s="24" t="inlineStr">
        <is>
          <t>[71]</t>
        </is>
      </c>
    </row>
    <row r="253" ht="15" customHeight="1">
      <c r="A253" s="20" t="inlineStr">
        <is>
          <t>Apricot shells</t>
        </is>
      </c>
      <c r="B253" s="21" t="inlineStr">
        <is>
          <t>Biomass (H2O)</t>
        </is>
      </c>
      <c r="C253" s="21" t="inlineStr">
        <is>
          <t>Water wash</t>
        </is>
      </c>
      <c r="D253" s="21" t="inlineStr">
        <is>
          <t>No</t>
        </is>
      </c>
      <c r="E253" s="21" t="inlineStr">
        <is>
          <t>No wash</t>
        </is>
      </c>
      <c r="F253" s="21" t="inlineStr">
        <is>
          <t>No</t>
        </is>
      </c>
      <c r="G253" s="20" t="inlineStr">
        <is>
          <t>One step</t>
        </is>
      </c>
      <c r="H253" s="4" t="inlineStr">
        <is>
          <t xml:space="preserve">Pyrolysis </t>
        </is>
      </c>
      <c r="I253" s="20" t="inlineStr">
        <is>
          <t>No</t>
        </is>
      </c>
      <c r="J253" s="20" t="n"/>
      <c r="K253" s="20" t="n"/>
      <c r="L253" s="20" t="n">
        <v>900</v>
      </c>
      <c r="M253" s="20" t="inlineStr">
        <is>
          <t>No</t>
        </is>
      </c>
      <c r="N253" s="20" t="inlineStr">
        <is>
          <t>No</t>
        </is>
      </c>
      <c r="O253" s="20" t="inlineStr">
        <is>
          <t>No</t>
        </is>
      </c>
      <c r="P253" s="20" t="n"/>
      <c r="Q253" s="20" t="inlineStr">
        <is>
          <t>No</t>
        </is>
      </c>
      <c r="R253" s="20" t="n">
        <v>2.7</v>
      </c>
      <c r="S253" s="20" t="n">
        <v>0.402</v>
      </c>
      <c r="T253" s="22" t="n">
        <v>0.48</v>
      </c>
      <c r="U253" s="20" t="n">
        <v>4.66</v>
      </c>
      <c r="V253" s="20" t="n">
        <v>1.18</v>
      </c>
      <c r="W253" s="20" t="n"/>
      <c r="X253" s="20" t="n">
        <v>89.03</v>
      </c>
      <c r="Y253" s="24" t="inlineStr">
        <is>
          <t>[72]</t>
        </is>
      </c>
    </row>
    <row r="254" ht="15" customHeight="1">
      <c r="A254" s="20" t="inlineStr">
        <is>
          <t>Apricot shells</t>
        </is>
      </c>
      <c r="B254" s="21" t="inlineStr">
        <is>
          <t>Biomass (H2O)</t>
        </is>
      </c>
      <c r="C254" s="21" t="inlineStr">
        <is>
          <t>Water wash</t>
        </is>
      </c>
      <c r="D254" s="21" t="inlineStr">
        <is>
          <t>No</t>
        </is>
      </c>
      <c r="E254" s="21" t="inlineStr">
        <is>
          <t>No wash</t>
        </is>
      </c>
      <c r="F254" s="21" t="inlineStr">
        <is>
          <t>No</t>
        </is>
      </c>
      <c r="G254" s="20" t="inlineStr">
        <is>
          <t>One step</t>
        </is>
      </c>
      <c r="H254" s="4" t="inlineStr">
        <is>
          <t xml:space="preserve">Pyrolysis </t>
        </is>
      </c>
      <c r="I254" s="20" t="inlineStr">
        <is>
          <t>No</t>
        </is>
      </c>
      <c r="J254" s="20" t="n"/>
      <c r="K254" s="20" t="n"/>
      <c r="L254" s="20" t="n">
        <v>1100</v>
      </c>
      <c r="M254" s="20" t="inlineStr">
        <is>
          <t>No</t>
        </is>
      </c>
      <c r="N254" s="20" t="inlineStr">
        <is>
          <t>No</t>
        </is>
      </c>
      <c r="O254" s="20" t="inlineStr">
        <is>
          <t>No</t>
        </is>
      </c>
      <c r="P254" s="20" t="n"/>
      <c r="Q254" s="20" t="inlineStr">
        <is>
          <t>No</t>
        </is>
      </c>
      <c r="R254" s="20" t="n">
        <v>46.1</v>
      </c>
      <c r="S254" s="20" t="n">
        <v>0.393</v>
      </c>
      <c r="T254" s="22" t="n">
        <v>0.55</v>
      </c>
      <c r="U254" s="20" t="n">
        <v>5.02</v>
      </c>
      <c r="V254" s="20" t="n">
        <v>1.22</v>
      </c>
      <c r="W254" s="20" t="n"/>
      <c r="X254" s="20" t="n">
        <v>95.28</v>
      </c>
      <c r="Y254" s="24" t="inlineStr">
        <is>
          <t>[72]</t>
        </is>
      </c>
    </row>
    <row r="255" ht="15" customHeight="1">
      <c r="A255" s="20" t="inlineStr">
        <is>
          <t>Apricot shells</t>
        </is>
      </c>
      <c r="B255" s="21" t="inlineStr">
        <is>
          <t>Biomass (H2O)</t>
        </is>
      </c>
      <c r="C255" s="21" t="inlineStr">
        <is>
          <t>Water wash</t>
        </is>
      </c>
      <c r="D255" s="21" t="inlineStr">
        <is>
          <t>No</t>
        </is>
      </c>
      <c r="E255" s="21" t="inlineStr">
        <is>
          <t>No wash</t>
        </is>
      </c>
      <c r="F255" s="21" t="inlineStr">
        <is>
          <t>No</t>
        </is>
      </c>
      <c r="G255" s="20" t="inlineStr">
        <is>
          <t>One step</t>
        </is>
      </c>
      <c r="H255" s="4" t="inlineStr">
        <is>
          <t xml:space="preserve">Pyrolysis </t>
        </is>
      </c>
      <c r="I255" s="20" t="inlineStr">
        <is>
          <t>No</t>
        </is>
      </c>
      <c r="J255" s="20" t="n"/>
      <c r="K255" s="20" t="n"/>
      <c r="L255" s="20" t="n">
        <v>1300</v>
      </c>
      <c r="M255" s="20" t="inlineStr">
        <is>
          <t>No</t>
        </is>
      </c>
      <c r="N255" s="20" t="inlineStr">
        <is>
          <t>No</t>
        </is>
      </c>
      <c r="O255" s="20" t="inlineStr">
        <is>
          <t>No</t>
        </is>
      </c>
      <c r="P255" s="20" t="n"/>
      <c r="Q255" s="20" t="inlineStr">
        <is>
          <t>No</t>
        </is>
      </c>
      <c r="R255" s="20" t="n">
        <v>12.5</v>
      </c>
      <c r="S255" s="20" t="n">
        <v>0.387</v>
      </c>
      <c r="T255" s="22" t="n">
        <v>0.64</v>
      </c>
      <c r="U255" s="20" t="n">
        <v>5.16</v>
      </c>
      <c r="V255" s="20" t="n">
        <v>1.24</v>
      </c>
      <c r="W255" s="20" t="n"/>
      <c r="X255" s="20" t="n">
        <v>96.29000000000001</v>
      </c>
      <c r="Y255" s="24" t="inlineStr">
        <is>
          <t>[72]</t>
        </is>
      </c>
    </row>
    <row r="256" ht="15" customHeight="1">
      <c r="A256" s="20" t="inlineStr">
        <is>
          <t>Apricot shells</t>
        </is>
      </c>
      <c r="B256" s="21" t="inlineStr">
        <is>
          <t>Biomass (H2O)</t>
        </is>
      </c>
      <c r="C256" s="21" t="inlineStr">
        <is>
          <t>Water wash</t>
        </is>
      </c>
      <c r="D256" s="21" t="inlineStr">
        <is>
          <t>No</t>
        </is>
      </c>
      <c r="E256" s="21" t="inlineStr">
        <is>
          <t>No wash</t>
        </is>
      </c>
      <c r="F256" s="21" t="inlineStr">
        <is>
          <t>No</t>
        </is>
      </c>
      <c r="G256" s="20" t="inlineStr">
        <is>
          <t>One step</t>
        </is>
      </c>
      <c r="H256" s="4" t="inlineStr">
        <is>
          <t xml:space="preserve">Pyrolysis </t>
        </is>
      </c>
      <c r="I256" s="20" t="inlineStr">
        <is>
          <t>No</t>
        </is>
      </c>
      <c r="J256" s="20" t="n"/>
      <c r="K256" s="20" t="n"/>
      <c r="L256" s="20" t="n">
        <v>1500</v>
      </c>
      <c r="M256" s="20" t="inlineStr">
        <is>
          <t>No</t>
        </is>
      </c>
      <c r="N256" s="20" t="inlineStr">
        <is>
          <t>No</t>
        </is>
      </c>
      <c r="O256" s="20" t="inlineStr">
        <is>
          <t>No</t>
        </is>
      </c>
      <c r="P256" s="20" t="n"/>
      <c r="Q256" s="20" t="inlineStr">
        <is>
          <t>No</t>
        </is>
      </c>
      <c r="R256" s="20" t="n">
        <v>11.3</v>
      </c>
      <c r="S256" s="20" t="n">
        <v>0.379</v>
      </c>
      <c r="T256" s="22" t="n">
        <v>0.72</v>
      </c>
      <c r="U256" s="20" t="n">
        <v>5.24</v>
      </c>
      <c r="V256" s="20" t="n">
        <v>1.27</v>
      </c>
      <c r="W256" s="20" t="n"/>
      <c r="X256" s="20" t="n">
        <v>97.09999999999999</v>
      </c>
      <c r="Y256" s="24" t="inlineStr">
        <is>
          <t>[72]</t>
        </is>
      </c>
    </row>
    <row r="257" ht="15" customHeight="1">
      <c r="A257" s="20" t="inlineStr">
        <is>
          <t>Apricot shells</t>
        </is>
      </c>
      <c r="B257" s="21" t="inlineStr">
        <is>
          <t>Biomass (H2O)</t>
        </is>
      </c>
      <c r="C257" s="21" t="inlineStr">
        <is>
          <t>Water wash</t>
        </is>
      </c>
      <c r="D257" s="21" t="inlineStr">
        <is>
          <t>No</t>
        </is>
      </c>
      <c r="E257" s="21" t="inlineStr">
        <is>
          <t>No wash</t>
        </is>
      </c>
      <c r="F257" s="21" t="inlineStr">
        <is>
          <t>No</t>
        </is>
      </c>
      <c r="G257" s="20" t="inlineStr">
        <is>
          <t>Two step</t>
        </is>
      </c>
      <c r="H257" s="4" t="inlineStr">
        <is>
          <t xml:space="preserve">Pyrolysis </t>
        </is>
      </c>
      <c r="I257" s="20" t="inlineStr">
        <is>
          <t>No</t>
        </is>
      </c>
      <c r="J257" s="20" t="n"/>
      <c r="K257" s="20" t="n"/>
      <c r="L257" s="20" t="n">
        <v>900</v>
      </c>
      <c r="M257" s="20" t="inlineStr">
        <is>
          <t>Reduction</t>
        </is>
      </c>
      <c r="N257" s="20" t="inlineStr">
        <is>
          <t>Hydrogen</t>
        </is>
      </c>
      <c r="O257" s="20" t="n">
        <v>120</v>
      </c>
      <c r="P257" s="20" t="n"/>
      <c r="Q257" s="20" t="n">
        <v>800</v>
      </c>
      <c r="R257" s="20" t="n">
        <v>27.9</v>
      </c>
      <c r="S257" s="20" t="n">
        <v>0.392</v>
      </c>
      <c r="T257" s="22" t="n">
        <v>0.53</v>
      </c>
      <c r="U257" s="20" t="n">
        <v>5.03</v>
      </c>
      <c r="V257" s="20" t="n">
        <v>1.19</v>
      </c>
      <c r="W257" s="20" t="n"/>
      <c r="X257" s="20" t="n">
        <v>91.88</v>
      </c>
      <c r="Y257" s="24" t="inlineStr">
        <is>
          <t>[72]</t>
        </is>
      </c>
    </row>
    <row r="258" ht="15" customHeight="1">
      <c r="A258" s="20" t="inlineStr">
        <is>
          <t>Apricot shells</t>
        </is>
      </c>
      <c r="B258" s="21" t="inlineStr">
        <is>
          <t>Biomass (H2O)</t>
        </is>
      </c>
      <c r="C258" s="21" t="inlineStr">
        <is>
          <t>Water wash</t>
        </is>
      </c>
      <c r="D258" s="21" t="inlineStr">
        <is>
          <t>No</t>
        </is>
      </c>
      <c r="E258" s="21" t="inlineStr">
        <is>
          <t>No wash</t>
        </is>
      </c>
      <c r="F258" s="21" t="inlineStr">
        <is>
          <t>No</t>
        </is>
      </c>
      <c r="G258" s="20" t="inlineStr">
        <is>
          <t>Two step</t>
        </is>
      </c>
      <c r="H258" s="4" t="inlineStr">
        <is>
          <t xml:space="preserve">Pyrolysis </t>
        </is>
      </c>
      <c r="I258" s="20" t="inlineStr">
        <is>
          <t>No</t>
        </is>
      </c>
      <c r="J258" s="20" t="n"/>
      <c r="K258" s="20" t="n"/>
      <c r="L258" s="20" t="n">
        <v>1100</v>
      </c>
      <c r="M258" s="20" t="inlineStr">
        <is>
          <t>Reduction</t>
        </is>
      </c>
      <c r="N258" s="20" t="inlineStr">
        <is>
          <t>Hydrogen</t>
        </is>
      </c>
      <c r="O258" s="20" t="n">
        <v>120</v>
      </c>
      <c r="P258" s="20" t="n"/>
      <c r="Q258" s="20" t="n">
        <v>800</v>
      </c>
      <c r="R258" s="20" t="n">
        <v>56.7</v>
      </c>
      <c r="S258" s="20" t="n">
        <v>0.388</v>
      </c>
      <c r="T258" s="22" t="n">
        <v>0.6</v>
      </c>
      <c r="U258" s="20" t="n">
        <v>5.87</v>
      </c>
      <c r="V258" s="20" t="n">
        <v>1.2</v>
      </c>
      <c r="W258" s="20" t="n"/>
      <c r="X258" s="20" t="n">
        <v>96.36</v>
      </c>
      <c r="Y258" s="24" t="inlineStr">
        <is>
          <t>[72]</t>
        </is>
      </c>
    </row>
    <row r="259" ht="15" customHeight="1">
      <c r="A259" s="20" t="inlineStr">
        <is>
          <t>Apricot shells</t>
        </is>
      </c>
      <c r="B259" s="21" t="inlineStr">
        <is>
          <t>Biomass (H2O)</t>
        </is>
      </c>
      <c r="C259" s="21" t="inlineStr">
        <is>
          <t>Water wash</t>
        </is>
      </c>
      <c r="D259" s="21" t="inlineStr">
        <is>
          <t>No</t>
        </is>
      </c>
      <c r="E259" s="21" t="inlineStr">
        <is>
          <t>No wash</t>
        </is>
      </c>
      <c r="F259" s="21" t="inlineStr">
        <is>
          <t>No</t>
        </is>
      </c>
      <c r="G259" s="20" t="inlineStr">
        <is>
          <t>Two step</t>
        </is>
      </c>
      <c r="H259" s="4" t="inlineStr">
        <is>
          <t xml:space="preserve">Pyrolysis </t>
        </is>
      </c>
      <c r="I259" s="20" t="inlineStr">
        <is>
          <t>No</t>
        </is>
      </c>
      <c r="J259" s="20" t="n"/>
      <c r="K259" s="20" t="n"/>
      <c r="L259" s="20" t="n">
        <v>1300</v>
      </c>
      <c r="M259" s="20" t="inlineStr">
        <is>
          <t>Reduction</t>
        </is>
      </c>
      <c r="N259" s="20" t="inlineStr">
        <is>
          <t>Hydrogen</t>
        </is>
      </c>
      <c r="O259" s="20" t="n">
        <v>120</v>
      </c>
      <c r="P259" s="20" t="n"/>
      <c r="Q259" s="20" t="n">
        <v>800</v>
      </c>
      <c r="R259" s="20" t="n">
        <v>13.4</v>
      </c>
      <c r="S259" s="20" t="n">
        <v>0.382</v>
      </c>
      <c r="T259" s="22" t="n">
        <v>0.6899999999999999</v>
      </c>
      <c r="U259" s="20" t="n">
        <v>6.19</v>
      </c>
      <c r="V259" s="20" t="n">
        <v>1.22</v>
      </c>
      <c r="W259" s="20" t="n"/>
      <c r="X259" s="20" t="n">
        <v>97.43000000000001</v>
      </c>
      <c r="Y259" s="24" t="inlineStr">
        <is>
          <t>[72]</t>
        </is>
      </c>
    </row>
    <row r="260" ht="15" customHeight="1">
      <c r="A260" s="20" t="inlineStr">
        <is>
          <t>Apricot shells</t>
        </is>
      </c>
      <c r="B260" s="21" t="inlineStr">
        <is>
          <t>Biomass (H2O)</t>
        </is>
      </c>
      <c r="C260" s="21" t="inlineStr">
        <is>
          <t>Water wash</t>
        </is>
      </c>
      <c r="D260" s="21" t="inlineStr">
        <is>
          <t>No</t>
        </is>
      </c>
      <c r="E260" s="21" t="inlineStr">
        <is>
          <t>No wash</t>
        </is>
      </c>
      <c r="F260" s="21" t="inlineStr">
        <is>
          <t>No</t>
        </is>
      </c>
      <c r="G260" s="20" t="inlineStr">
        <is>
          <t>Two step</t>
        </is>
      </c>
      <c r="H260" s="4" t="inlineStr">
        <is>
          <t xml:space="preserve">Pyrolysis </t>
        </is>
      </c>
      <c r="I260" s="20" t="inlineStr">
        <is>
          <t>No</t>
        </is>
      </c>
      <c r="J260" s="20" t="n"/>
      <c r="K260" s="20" t="n"/>
      <c r="L260" s="20" t="n">
        <v>1500</v>
      </c>
      <c r="M260" s="20" t="inlineStr">
        <is>
          <t>Reduction</t>
        </is>
      </c>
      <c r="N260" s="20" t="inlineStr">
        <is>
          <t>Hydrogen</t>
        </is>
      </c>
      <c r="O260" s="20" t="n">
        <v>120</v>
      </c>
      <c r="P260" s="20" t="n"/>
      <c r="Q260" s="20" t="n">
        <v>800</v>
      </c>
      <c r="R260" s="20" t="n">
        <v>12.4</v>
      </c>
      <c r="S260" s="20" t="n">
        <v>0.372</v>
      </c>
      <c r="T260" s="22" t="n">
        <v>0.74</v>
      </c>
      <c r="U260" s="20" t="n">
        <v>6.51</v>
      </c>
      <c r="V260" s="20" t="n">
        <v>1.26</v>
      </c>
      <c r="W260" s="20" t="n"/>
      <c r="X260" s="20" t="n">
        <v>98.25</v>
      </c>
      <c r="Y260" s="24" t="inlineStr">
        <is>
          <t>[72]</t>
        </is>
      </c>
    </row>
    <row r="261" ht="15" customFormat="1" customHeight="1" s="8">
      <c r="A261" s="21" t="inlineStr">
        <is>
          <t>Wheat straw</t>
        </is>
      </c>
      <c r="B261" s="21" t="inlineStr">
        <is>
          <t>Biomass (EtOH + H2O) / Carbon (0.3M HCl)</t>
        </is>
      </c>
      <c r="C261" s="21" t="inlineStr">
        <is>
          <t>Organic wash</t>
        </is>
      </c>
      <c r="D261" s="21" t="inlineStr">
        <is>
          <t>No</t>
        </is>
      </c>
      <c r="E261" s="21" t="inlineStr">
        <is>
          <t>Acid wash</t>
        </is>
      </c>
      <c r="F261" s="21" t="inlineStr">
        <is>
          <t>Mild</t>
        </is>
      </c>
      <c r="G261" s="21" t="inlineStr">
        <is>
          <t>One step</t>
        </is>
      </c>
      <c r="H261" s="5" t="inlineStr">
        <is>
          <t>Activation</t>
        </is>
      </c>
      <c r="I261" s="21" t="inlineStr">
        <is>
          <t>H2SO4 + H2O2</t>
        </is>
      </c>
      <c r="J261" s="21" t="n">
        <v>120</v>
      </c>
      <c r="K261" s="21" t="n">
        <v>2</v>
      </c>
      <c r="L261" s="21" t="n">
        <v>900</v>
      </c>
      <c r="M261" s="21" t="inlineStr">
        <is>
          <t>No</t>
        </is>
      </c>
      <c r="N261" s="21" t="inlineStr">
        <is>
          <t>No</t>
        </is>
      </c>
      <c r="O261" s="21" t="inlineStr">
        <is>
          <t>No</t>
        </is>
      </c>
      <c r="P261" s="21" t="n"/>
      <c r="Q261" s="21" t="inlineStr">
        <is>
          <t>No</t>
        </is>
      </c>
      <c r="R261" s="21" t="n">
        <v>1295</v>
      </c>
      <c r="S261" s="21" t="n">
        <v>0.367</v>
      </c>
      <c r="T261" s="35" t="n">
        <v>0.91</v>
      </c>
      <c r="U261" s="21" t="n"/>
      <c r="V261" s="21" t="n">
        <v>0.67</v>
      </c>
      <c r="W261" s="21" t="n">
        <v>0.7984</v>
      </c>
      <c r="X261" s="21" t="n"/>
      <c r="Y261" s="39" t="inlineStr">
        <is>
          <t>[73]</t>
        </is>
      </c>
    </row>
    <row r="262" ht="15" customFormat="1" customHeight="1" s="8">
      <c r="A262" s="21" t="inlineStr">
        <is>
          <t>Wheat straw</t>
        </is>
      </c>
      <c r="B262" s="21" t="inlineStr">
        <is>
          <t>Biomass (EtOH + H2O) / Carbon (0.3M HCl)</t>
        </is>
      </c>
      <c r="C262" s="21" t="inlineStr">
        <is>
          <t>Organic wash</t>
        </is>
      </c>
      <c r="D262" s="21" t="inlineStr">
        <is>
          <t>No</t>
        </is>
      </c>
      <c r="E262" s="21" t="inlineStr">
        <is>
          <t>Acid wash</t>
        </is>
      </c>
      <c r="F262" s="21" t="inlineStr">
        <is>
          <t>Mild</t>
        </is>
      </c>
      <c r="G262" s="21" t="inlineStr">
        <is>
          <t>One step</t>
        </is>
      </c>
      <c r="H262" s="5" t="inlineStr">
        <is>
          <t>Activation</t>
        </is>
      </c>
      <c r="I262" s="21" t="inlineStr">
        <is>
          <t>H2SO4 + H2O2</t>
        </is>
      </c>
      <c r="J262" s="21" t="n">
        <v>120</v>
      </c>
      <c r="K262" s="21" t="n">
        <v>2</v>
      </c>
      <c r="L262" s="21" t="n">
        <v>1200</v>
      </c>
      <c r="M262" s="21" t="inlineStr">
        <is>
          <t>No</t>
        </is>
      </c>
      <c r="N262" s="21" t="inlineStr">
        <is>
          <t>No</t>
        </is>
      </c>
      <c r="O262" s="21" t="inlineStr">
        <is>
          <t>No</t>
        </is>
      </c>
      <c r="P262" s="21" t="n"/>
      <c r="Q262" s="21" t="inlineStr">
        <is>
          <t>No</t>
        </is>
      </c>
      <c r="R262" s="21" t="n">
        <v>111.58</v>
      </c>
      <c r="S262" s="21" t="n">
        <v>0.383</v>
      </c>
      <c r="T262" s="35" t="n">
        <v>0.98</v>
      </c>
      <c r="U262" s="21" t="n"/>
      <c r="V262" s="21" t="n">
        <v>1.03</v>
      </c>
      <c r="W262" s="21" t="n">
        <v>0.0878</v>
      </c>
      <c r="X262" s="21" t="n"/>
      <c r="Y262" s="39" t="inlineStr">
        <is>
          <t>[73]</t>
        </is>
      </c>
    </row>
    <row r="263" ht="15" customFormat="1" customHeight="1" s="7">
      <c r="A263" s="21" t="inlineStr">
        <is>
          <t>Borassus flabellifer male inflorescence</t>
        </is>
      </c>
      <c r="B263" s="21" t="inlineStr">
        <is>
          <t>Biomass (H2O) / Carbon (1M HCl + H2O)</t>
        </is>
      </c>
      <c r="C263" s="21" t="inlineStr">
        <is>
          <t>Water wash</t>
        </is>
      </c>
      <c r="D263" s="21" t="inlineStr">
        <is>
          <t>No</t>
        </is>
      </c>
      <c r="E263" s="21" t="inlineStr">
        <is>
          <t>Acid wash</t>
        </is>
      </c>
      <c r="F263" s="21" t="inlineStr">
        <is>
          <t>Mild</t>
        </is>
      </c>
      <c r="G263" s="21" t="inlineStr">
        <is>
          <t>One step</t>
        </is>
      </c>
      <c r="H263" s="5" t="inlineStr">
        <is>
          <t>Activation</t>
        </is>
      </c>
      <c r="I263" s="21" t="inlineStr">
        <is>
          <t>CO2</t>
        </is>
      </c>
      <c r="J263" s="21" t="n">
        <v>120</v>
      </c>
      <c r="K263" s="21" t="n">
        <v>5</v>
      </c>
      <c r="L263" s="21" t="n">
        <v>1400</v>
      </c>
      <c r="M263" s="21" t="inlineStr">
        <is>
          <t>No</t>
        </is>
      </c>
      <c r="N263" s="21" t="inlineStr">
        <is>
          <t>No</t>
        </is>
      </c>
      <c r="O263" s="21" t="inlineStr">
        <is>
          <t>No</t>
        </is>
      </c>
      <c r="P263" s="21" t="n"/>
      <c r="Q263" s="21" t="inlineStr">
        <is>
          <t>No</t>
        </is>
      </c>
      <c r="R263" s="21" t="n">
        <v>18.87</v>
      </c>
      <c r="S263" s="21" t="n"/>
      <c r="T263" s="35" t="n"/>
      <c r="U263" s="21" t="n"/>
      <c r="V263" s="21" t="n"/>
      <c r="W263" s="21" t="n"/>
      <c r="X263" s="21" t="n"/>
      <c r="Y263" s="39" t="inlineStr">
        <is>
          <t>[74]</t>
        </is>
      </c>
    </row>
    <row r="264" ht="15" customHeight="1">
      <c r="A264" s="20" t="inlineStr">
        <is>
          <t>Peat moss</t>
        </is>
      </c>
      <c r="B264" s="21" t="inlineStr">
        <is>
          <t>Carbon (20% KOH + 2M HCl + H2O)</t>
        </is>
      </c>
      <c r="C264" s="21" t="inlineStr">
        <is>
          <t>No wash</t>
        </is>
      </c>
      <c r="D264" s="21" t="inlineStr">
        <is>
          <t>No</t>
        </is>
      </c>
      <c r="E264" s="21" t="inlineStr">
        <is>
          <t>Alkali wash</t>
        </is>
      </c>
      <c r="F264" s="21" t="inlineStr">
        <is>
          <t>Mild</t>
        </is>
      </c>
      <c r="G264" s="4" t="inlineStr">
        <is>
          <t>One step</t>
        </is>
      </c>
      <c r="H264" s="4" t="inlineStr">
        <is>
          <t xml:space="preserve">Pyrolysis </t>
        </is>
      </c>
      <c r="I264" s="20" t="inlineStr">
        <is>
          <t>No</t>
        </is>
      </c>
      <c r="J264" s="20" t="n">
        <v>60</v>
      </c>
      <c r="K264" s="20" t="n">
        <v>5</v>
      </c>
      <c r="L264" s="20" t="n">
        <v>600</v>
      </c>
      <c r="M264" s="4" t="inlineStr">
        <is>
          <t>No</t>
        </is>
      </c>
      <c r="N264" s="4" t="inlineStr">
        <is>
          <t>No</t>
        </is>
      </c>
      <c r="O264" s="4" t="inlineStr">
        <is>
          <t>No</t>
        </is>
      </c>
      <c r="P264" s="4" t="inlineStr">
        <is>
          <t>No</t>
        </is>
      </c>
      <c r="Q264" s="4" t="inlineStr">
        <is>
          <t>No</t>
        </is>
      </c>
      <c r="R264" s="20" t="n">
        <v>55.3</v>
      </c>
      <c r="S264" s="20" t="n">
        <v>3.98</v>
      </c>
      <c r="T264" s="22" t="n">
        <v>0.51</v>
      </c>
      <c r="U264" s="20" t="n">
        <v>1.83</v>
      </c>
      <c r="V264" s="20" t="n">
        <v>1.8</v>
      </c>
      <c r="W264" s="20" t="n">
        <v>0.06900000000000001</v>
      </c>
      <c r="X264" s="20" t="n">
        <v>76.38</v>
      </c>
      <c r="Y264" s="24" t="inlineStr">
        <is>
          <t>[75]</t>
        </is>
      </c>
    </row>
    <row r="265" ht="15" customHeight="1">
      <c r="A265" s="20" t="inlineStr">
        <is>
          <t>Peat moss</t>
        </is>
      </c>
      <c r="B265" s="21" t="inlineStr">
        <is>
          <t>Carbon (20% KOH + 2M HCl + H2O)</t>
        </is>
      </c>
      <c r="C265" s="21" t="inlineStr">
        <is>
          <t>No wash</t>
        </is>
      </c>
      <c r="D265" s="21" t="inlineStr">
        <is>
          <t>No</t>
        </is>
      </c>
      <c r="E265" s="21" t="inlineStr">
        <is>
          <t>Alkali wash</t>
        </is>
      </c>
      <c r="F265" s="21" t="inlineStr">
        <is>
          <t>Mild</t>
        </is>
      </c>
      <c r="G265" s="4" t="inlineStr">
        <is>
          <t>One step</t>
        </is>
      </c>
      <c r="H265" s="4" t="inlineStr">
        <is>
          <t xml:space="preserve">Pyrolysis </t>
        </is>
      </c>
      <c r="I265" s="20" t="inlineStr">
        <is>
          <t>No</t>
        </is>
      </c>
      <c r="J265" s="20" t="n">
        <v>60</v>
      </c>
      <c r="K265" s="20" t="n">
        <v>5</v>
      </c>
      <c r="L265" s="20" t="n">
        <v>900</v>
      </c>
      <c r="M265" s="4" t="inlineStr">
        <is>
          <t>No</t>
        </is>
      </c>
      <c r="N265" s="4" t="inlineStr">
        <is>
          <t>No</t>
        </is>
      </c>
      <c r="O265" s="4" t="inlineStr">
        <is>
          <t>No</t>
        </is>
      </c>
      <c r="P265" s="4" t="inlineStr">
        <is>
          <t>No</t>
        </is>
      </c>
      <c r="Q265" s="4" t="n">
        <v>300</v>
      </c>
      <c r="R265" s="20" t="n">
        <v>45.1</v>
      </c>
      <c r="S265" s="20" t="n">
        <v>3.91</v>
      </c>
      <c r="T265" s="22" t="n">
        <v>0.76</v>
      </c>
      <c r="U265" s="20" t="n">
        <v>2.52</v>
      </c>
      <c r="V265" s="20" t="n">
        <v>1.79</v>
      </c>
      <c r="W265" s="20" t="n">
        <v>0.059</v>
      </c>
      <c r="X265" s="20" t="n">
        <v>84.59</v>
      </c>
      <c r="Y265" s="24" t="inlineStr">
        <is>
          <t>[75]</t>
        </is>
      </c>
    </row>
    <row r="266" ht="15" customHeight="1">
      <c r="A266" s="20" t="inlineStr">
        <is>
          <t>Peat moss</t>
        </is>
      </c>
      <c r="B266" s="21" t="inlineStr">
        <is>
          <t>Carbon (20% KOH + 2M HCl + H2O)</t>
        </is>
      </c>
      <c r="C266" s="21" t="inlineStr">
        <is>
          <t>No wash</t>
        </is>
      </c>
      <c r="D266" s="21" t="inlineStr">
        <is>
          <t>No</t>
        </is>
      </c>
      <c r="E266" s="21" t="inlineStr">
        <is>
          <t>Alkali wash</t>
        </is>
      </c>
      <c r="F266" s="21" t="inlineStr">
        <is>
          <t>Mild</t>
        </is>
      </c>
      <c r="G266" s="4" t="inlineStr">
        <is>
          <t>One step</t>
        </is>
      </c>
      <c r="H266" s="4" t="inlineStr">
        <is>
          <t xml:space="preserve">Pyrolysis </t>
        </is>
      </c>
      <c r="I266" s="20" t="inlineStr">
        <is>
          <t>No</t>
        </is>
      </c>
      <c r="J266" s="20" t="n">
        <v>60</v>
      </c>
      <c r="K266" s="20" t="n">
        <v>5</v>
      </c>
      <c r="L266" s="20" t="n">
        <v>1100</v>
      </c>
      <c r="M266" s="4" t="inlineStr">
        <is>
          <t>No</t>
        </is>
      </c>
      <c r="N266" s="4" t="inlineStr">
        <is>
          <t>No</t>
        </is>
      </c>
      <c r="O266" s="4" t="inlineStr">
        <is>
          <t>No</t>
        </is>
      </c>
      <c r="P266" s="4" t="inlineStr">
        <is>
          <t>No</t>
        </is>
      </c>
      <c r="Q266" s="4" t="n">
        <v>300</v>
      </c>
      <c r="R266" s="20" t="n">
        <v>24.5</v>
      </c>
      <c r="S266" s="20" t="n">
        <v>3.87</v>
      </c>
      <c r="T266" s="22" t="n">
        <v>0.87</v>
      </c>
      <c r="U266" s="20" t="n">
        <v>5.11</v>
      </c>
      <c r="V266" s="20" t="n">
        <v>1.83</v>
      </c>
      <c r="W266" s="20" t="n">
        <v>0.054</v>
      </c>
      <c r="X266" s="20" t="n">
        <v>87.11</v>
      </c>
      <c r="Y266" s="24" t="inlineStr">
        <is>
          <t>[75]</t>
        </is>
      </c>
    </row>
    <row r="267" ht="15" customHeight="1">
      <c r="A267" s="20" t="inlineStr">
        <is>
          <t>Peat moss</t>
        </is>
      </c>
      <c r="B267" s="21" t="inlineStr">
        <is>
          <t>Carbon (20% KOH + 2M HCl + H2O)</t>
        </is>
      </c>
      <c r="C267" s="21" t="inlineStr">
        <is>
          <t>No wash</t>
        </is>
      </c>
      <c r="D267" s="21" t="inlineStr">
        <is>
          <t>No</t>
        </is>
      </c>
      <c r="E267" s="21" t="inlineStr">
        <is>
          <t>Alkali wash</t>
        </is>
      </c>
      <c r="F267" s="21" t="inlineStr">
        <is>
          <t>Mild</t>
        </is>
      </c>
      <c r="G267" s="4" t="inlineStr">
        <is>
          <t>One step</t>
        </is>
      </c>
      <c r="H267" s="4" t="inlineStr">
        <is>
          <t xml:space="preserve">Pyrolysis </t>
        </is>
      </c>
      <c r="I267" s="20" t="inlineStr">
        <is>
          <t>No</t>
        </is>
      </c>
      <c r="J267" s="20" t="n">
        <v>60</v>
      </c>
      <c r="K267" s="20" t="n">
        <v>5</v>
      </c>
      <c r="L267" s="20" t="n">
        <v>1400</v>
      </c>
      <c r="M267" s="4" t="inlineStr">
        <is>
          <t>No</t>
        </is>
      </c>
      <c r="N267" s="4" t="inlineStr">
        <is>
          <t>No</t>
        </is>
      </c>
      <c r="O267" s="4" t="inlineStr">
        <is>
          <t>No</t>
        </is>
      </c>
      <c r="P267" s="4" t="inlineStr">
        <is>
          <t>No</t>
        </is>
      </c>
      <c r="Q267" s="4" t="n">
        <v>300</v>
      </c>
      <c r="R267" s="20" t="n">
        <v>20.8</v>
      </c>
      <c r="S267" s="20" t="n">
        <v>3.82</v>
      </c>
      <c r="T267" s="22" t="n">
        <v>0.89</v>
      </c>
      <c r="U267" s="20" t="n">
        <v>8.359999999999999</v>
      </c>
      <c r="V267" s="20" t="n">
        <v>1.9</v>
      </c>
      <c r="W267" s="20" t="n">
        <v>0.052</v>
      </c>
      <c r="X267" s="20" t="n">
        <v>93.34999999999999</v>
      </c>
      <c r="Y267" s="24" t="inlineStr">
        <is>
          <t>[75]</t>
        </is>
      </c>
    </row>
    <row r="268" ht="15" customHeight="1">
      <c r="A268" s="20" t="inlineStr">
        <is>
          <t>Peat moss</t>
        </is>
      </c>
      <c r="B268" s="21" t="inlineStr">
        <is>
          <t>Carbon (20% KOH + 2M HCl + H2O)</t>
        </is>
      </c>
      <c r="C268" s="21" t="inlineStr">
        <is>
          <t>No wash</t>
        </is>
      </c>
      <c r="D268" s="21" t="inlineStr">
        <is>
          <t>No</t>
        </is>
      </c>
      <c r="E268" s="21" t="inlineStr">
        <is>
          <t>Alkali wash</t>
        </is>
      </c>
      <c r="F268" s="21" t="inlineStr">
        <is>
          <t>Mild</t>
        </is>
      </c>
      <c r="G268" s="4" t="inlineStr">
        <is>
          <t>Two step</t>
        </is>
      </c>
      <c r="H268" s="4" t="inlineStr">
        <is>
          <t xml:space="preserve">Pyrolysis </t>
        </is>
      </c>
      <c r="I268" s="20" t="inlineStr">
        <is>
          <t>No</t>
        </is>
      </c>
      <c r="J268" s="20" t="n">
        <v>60</v>
      </c>
      <c r="K268" s="20" t="n">
        <v>5</v>
      </c>
      <c r="L268" s="20" t="n">
        <v>600</v>
      </c>
      <c r="M268" s="4" t="inlineStr">
        <is>
          <t>Activation</t>
        </is>
      </c>
      <c r="N268" s="20" t="inlineStr">
        <is>
          <t>Air</t>
        </is>
      </c>
      <c r="O268" s="4" t="n">
        <v>3</v>
      </c>
      <c r="P268" s="4" t="n">
        <v>5</v>
      </c>
      <c r="Q268" s="4" t="n">
        <v>300</v>
      </c>
      <c r="R268" s="20" t="n">
        <v>369.1</v>
      </c>
      <c r="S268" s="20" t="n">
        <v>3.99</v>
      </c>
      <c r="T268" s="22" t="n">
        <v>0.47</v>
      </c>
      <c r="U268" s="20" t="n">
        <v>1.75</v>
      </c>
      <c r="V268" s="20" t="n">
        <v>1.8</v>
      </c>
      <c r="W268" s="20" t="n">
        <v>0.26</v>
      </c>
      <c r="X268" s="20" t="n">
        <v>78.84999999999999</v>
      </c>
      <c r="Y268" s="24" t="inlineStr">
        <is>
          <t>[75]</t>
        </is>
      </c>
    </row>
    <row r="269" ht="15" customHeight="1">
      <c r="A269" s="20" t="inlineStr">
        <is>
          <t>Peat moss</t>
        </is>
      </c>
      <c r="B269" s="21" t="inlineStr">
        <is>
          <t>Carbon (20% KOH + 2M HCl + H2O)</t>
        </is>
      </c>
      <c r="C269" s="21" t="inlineStr">
        <is>
          <t>No wash</t>
        </is>
      </c>
      <c r="D269" s="21" t="inlineStr">
        <is>
          <t>No</t>
        </is>
      </c>
      <c r="E269" s="21" t="inlineStr">
        <is>
          <t>Alkali wash</t>
        </is>
      </c>
      <c r="F269" s="21" t="inlineStr">
        <is>
          <t>Mild</t>
        </is>
      </c>
      <c r="G269" s="4" t="inlineStr">
        <is>
          <t>Two step</t>
        </is>
      </c>
      <c r="H269" s="4" t="inlineStr">
        <is>
          <t xml:space="preserve">Pyrolysis </t>
        </is>
      </c>
      <c r="I269" s="20" t="inlineStr">
        <is>
          <t>No</t>
        </is>
      </c>
      <c r="J269" s="20" t="n">
        <v>60</v>
      </c>
      <c r="K269" s="20" t="n">
        <v>5</v>
      </c>
      <c r="L269" s="20" t="n">
        <v>900</v>
      </c>
      <c r="M269" s="4" t="inlineStr">
        <is>
          <t>Activation</t>
        </is>
      </c>
      <c r="N269" s="20" t="inlineStr">
        <is>
          <t>Air</t>
        </is>
      </c>
      <c r="O269" s="4" t="n">
        <v>3</v>
      </c>
      <c r="P269" s="4" t="n">
        <v>5</v>
      </c>
      <c r="Q269" s="4" t="n">
        <v>300</v>
      </c>
      <c r="R269" s="20" t="n">
        <v>271.2</v>
      </c>
      <c r="S269" s="20" t="n">
        <v>3.95</v>
      </c>
      <c r="T269" s="22" t="n">
        <v>0.71</v>
      </c>
      <c r="U269" s="20" t="n">
        <v>2.85</v>
      </c>
      <c r="V269" s="20" t="n">
        <v>1.83</v>
      </c>
      <c r="W269" s="20" t="n">
        <v>0.21</v>
      </c>
      <c r="X269" s="20" t="n">
        <v>86.38</v>
      </c>
      <c r="Y269" s="24" t="inlineStr">
        <is>
          <t>[75]</t>
        </is>
      </c>
    </row>
    <row r="270" ht="15" customHeight="1">
      <c r="A270" s="20" t="inlineStr">
        <is>
          <t>Peat moss</t>
        </is>
      </c>
      <c r="B270" s="21" t="inlineStr">
        <is>
          <t>Carbon (20% KOH + 2M HCl + H2O)</t>
        </is>
      </c>
      <c r="C270" s="21" t="inlineStr">
        <is>
          <t>No wash</t>
        </is>
      </c>
      <c r="D270" s="21" t="inlineStr">
        <is>
          <t>No</t>
        </is>
      </c>
      <c r="E270" s="21" t="inlineStr">
        <is>
          <t>Alkali wash</t>
        </is>
      </c>
      <c r="F270" s="21" t="inlineStr">
        <is>
          <t>Mild</t>
        </is>
      </c>
      <c r="G270" s="4" t="inlineStr">
        <is>
          <t>Two step</t>
        </is>
      </c>
      <c r="H270" s="4" t="inlineStr">
        <is>
          <t xml:space="preserve">Pyrolysis </t>
        </is>
      </c>
      <c r="I270" s="20" t="inlineStr">
        <is>
          <t>No</t>
        </is>
      </c>
      <c r="J270" s="20" t="n">
        <v>60</v>
      </c>
      <c r="K270" s="20" t="n">
        <v>5</v>
      </c>
      <c r="L270" s="20" t="n">
        <v>1100</v>
      </c>
      <c r="M270" s="4" t="inlineStr">
        <is>
          <t>Activation</t>
        </is>
      </c>
      <c r="N270" s="20" t="inlineStr">
        <is>
          <t>Air</t>
        </is>
      </c>
      <c r="O270" s="4" t="n">
        <v>3</v>
      </c>
      <c r="P270" s="4" t="n">
        <v>5</v>
      </c>
      <c r="Q270" s="4" t="n">
        <v>300</v>
      </c>
      <c r="R270" s="20" t="n">
        <v>196.6</v>
      </c>
      <c r="S270" s="20" t="n">
        <v>3.88</v>
      </c>
      <c r="T270" s="22" t="n">
        <v>0.86</v>
      </c>
      <c r="U270" s="20" t="n">
        <v>5.39</v>
      </c>
      <c r="V270" s="20" t="n">
        <v>1.86</v>
      </c>
      <c r="W270" s="20" t="n">
        <v>0.18</v>
      </c>
      <c r="X270" s="20" t="n">
        <v>89.34999999999999</v>
      </c>
      <c r="Y270" s="24" t="inlineStr">
        <is>
          <t>[75]</t>
        </is>
      </c>
    </row>
    <row r="271" ht="15" customHeight="1">
      <c r="A271" s="20" t="inlineStr">
        <is>
          <t>Peat moss</t>
        </is>
      </c>
      <c r="B271" s="21" t="inlineStr">
        <is>
          <t>Carbon (20% KOH + 2M HCl + H2O)</t>
        </is>
      </c>
      <c r="C271" s="21" t="inlineStr">
        <is>
          <t>No wash</t>
        </is>
      </c>
      <c r="D271" s="21" t="inlineStr">
        <is>
          <t>No</t>
        </is>
      </c>
      <c r="E271" s="21" t="inlineStr">
        <is>
          <t>Alkali wash</t>
        </is>
      </c>
      <c r="F271" s="21" t="inlineStr">
        <is>
          <t>Mild</t>
        </is>
      </c>
      <c r="G271" s="4" t="inlineStr">
        <is>
          <t>Two step</t>
        </is>
      </c>
      <c r="H271" s="4" t="inlineStr">
        <is>
          <t xml:space="preserve">Pyrolysis </t>
        </is>
      </c>
      <c r="I271" s="20" t="inlineStr">
        <is>
          <t>No</t>
        </is>
      </c>
      <c r="J271" s="20" t="n">
        <v>60</v>
      </c>
      <c r="K271" s="20" t="n">
        <v>5</v>
      </c>
      <c r="L271" s="20" t="n">
        <v>1400</v>
      </c>
      <c r="M271" s="4" t="inlineStr">
        <is>
          <t>Activation</t>
        </is>
      </c>
      <c r="N271" s="20" t="inlineStr">
        <is>
          <t>Air</t>
        </is>
      </c>
      <c r="O271" s="4" t="n">
        <v>3</v>
      </c>
      <c r="P271" s="4" t="n">
        <v>5</v>
      </c>
      <c r="Q271" s="4" t="n">
        <v>300</v>
      </c>
      <c r="R271" s="20" t="n">
        <v>92.2</v>
      </c>
      <c r="S271" s="20" t="n">
        <v>3.83</v>
      </c>
      <c r="T271" s="22" t="n">
        <v>0.91</v>
      </c>
      <c r="U271" s="20" t="n">
        <v>8.51</v>
      </c>
      <c r="V271" s="20" t="n">
        <v>2.21</v>
      </c>
      <c r="W271" s="20" t="n">
        <v>0.12</v>
      </c>
      <c r="X271" s="20" t="n">
        <v>93.31</v>
      </c>
      <c r="Y271" s="24" t="inlineStr">
        <is>
          <t>[75]</t>
        </is>
      </c>
    </row>
    <row r="272" ht="15" customHeight="1">
      <c r="A272" s="20" t="inlineStr">
        <is>
          <t>Banana peel</t>
        </is>
      </c>
      <c r="B272" s="21" t="inlineStr">
        <is>
          <t>Biomass (H2O) / Carbon (20% KOH + 2M HCl + H2O)</t>
        </is>
      </c>
      <c r="C272" s="21" t="inlineStr">
        <is>
          <t>Water wash</t>
        </is>
      </c>
      <c r="D272" s="21" t="inlineStr">
        <is>
          <t>No</t>
        </is>
      </c>
      <c r="E272" s="21" t="inlineStr">
        <is>
          <t>Alkali wash</t>
        </is>
      </c>
      <c r="F272" s="21" t="inlineStr">
        <is>
          <t>Mild</t>
        </is>
      </c>
      <c r="G272" s="4" t="inlineStr">
        <is>
          <t>One step</t>
        </is>
      </c>
      <c r="H272" s="4" t="inlineStr">
        <is>
          <t xml:space="preserve">Pyrolysis </t>
        </is>
      </c>
      <c r="I272" s="20" t="inlineStr">
        <is>
          <t>No</t>
        </is>
      </c>
      <c r="J272" s="20" t="n">
        <v>300</v>
      </c>
      <c r="K272" s="20" t="n">
        <v>5</v>
      </c>
      <c r="L272" s="20" t="n">
        <v>800</v>
      </c>
      <c r="M272" s="4" t="inlineStr">
        <is>
          <t>No</t>
        </is>
      </c>
      <c r="N272" s="4" t="inlineStr">
        <is>
          <t>No</t>
        </is>
      </c>
      <c r="O272" s="4" t="inlineStr">
        <is>
          <t>No</t>
        </is>
      </c>
      <c r="P272" s="4" t="inlineStr">
        <is>
          <t>No</t>
        </is>
      </c>
      <c r="Q272" s="4" t="inlineStr">
        <is>
          <t>No</t>
        </is>
      </c>
      <c r="R272" s="20" t="n">
        <v>33</v>
      </c>
      <c r="S272" s="20" t="n">
        <v>0.397</v>
      </c>
      <c r="T272" s="22" t="n">
        <v>0.78</v>
      </c>
      <c r="U272" s="20" t="n">
        <v>2.12</v>
      </c>
      <c r="V272" s="20" t="n">
        <v>1.56</v>
      </c>
      <c r="W272" s="20" t="n">
        <v>0.059</v>
      </c>
      <c r="X272" s="20" t="n">
        <v>82.44</v>
      </c>
      <c r="Y272" s="24" t="inlineStr">
        <is>
          <t>[76]</t>
        </is>
      </c>
    </row>
    <row r="273" ht="15" customHeight="1">
      <c r="A273" s="20" t="inlineStr">
        <is>
          <t>Banana peel</t>
        </is>
      </c>
      <c r="B273" s="21" t="inlineStr">
        <is>
          <t>Biomass (H2O) / Carbon (20% KOH + 2M HCl + H2O)</t>
        </is>
      </c>
      <c r="C273" s="21" t="inlineStr">
        <is>
          <t>Water wash</t>
        </is>
      </c>
      <c r="D273" s="21" t="inlineStr">
        <is>
          <t>No</t>
        </is>
      </c>
      <c r="E273" s="21" t="inlineStr">
        <is>
          <t>Alkali wash</t>
        </is>
      </c>
      <c r="F273" s="21" t="inlineStr">
        <is>
          <t>Mild</t>
        </is>
      </c>
      <c r="G273" s="4" t="inlineStr">
        <is>
          <t>One step</t>
        </is>
      </c>
      <c r="H273" s="4" t="inlineStr">
        <is>
          <t xml:space="preserve">Pyrolysis </t>
        </is>
      </c>
      <c r="I273" s="20" t="inlineStr">
        <is>
          <t>No</t>
        </is>
      </c>
      <c r="J273" s="20" t="n">
        <v>300</v>
      </c>
      <c r="K273" s="20" t="n">
        <v>5</v>
      </c>
      <c r="L273" s="20" t="n">
        <v>1100</v>
      </c>
      <c r="M273" s="4" t="inlineStr">
        <is>
          <t>No</t>
        </is>
      </c>
      <c r="N273" s="4" t="inlineStr">
        <is>
          <t>No</t>
        </is>
      </c>
      <c r="O273" s="4" t="inlineStr">
        <is>
          <t>No</t>
        </is>
      </c>
      <c r="P273" s="4" t="inlineStr">
        <is>
          <t>No</t>
        </is>
      </c>
      <c r="Q273" s="4" t="inlineStr">
        <is>
          <t>No</t>
        </is>
      </c>
      <c r="R273" s="20" t="n">
        <v>19.3</v>
      </c>
      <c r="S273" s="20" t="n">
        <v>0.391</v>
      </c>
      <c r="T273" s="22" t="n">
        <v>0.91</v>
      </c>
      <c r="U273" s="20" t="n">
        <v>4.15</v>
      </c>
      <c r="V273" s="20" t="n">
        <v>1.59</v>
      </c>
      <c r="W273" s="20" t="n">
        <v>0.052</v>
      </c>
      <c r="X273" s="20" t="n">
        <v>87.44</v>
      </c>
      <c r="Y273" s="24" t="inlineStr">
        <is>
          <t>[76]</t>
        </is>
      </c>
    </row>
    <row r="274" ht="15" customHeight="1">
      <c r="A274" s="20" t="inlineStr">
        <is>
          <t>Banana peel</t>
        </is>
      </c>
      <c r="B274" s="21" t="inlineStr">
        <is>
          <t>Biomass (H2O) / Carbon (20% KOH + 2M HCl + H2O)</t>
        </is>
      </c>
      <c r="C274" s="21" t="inlineStr">
        <is>
          <t>Water wash</t>
        </is>
      </c>
      <c r="D274" s="21" t="inlineStr">
        <is>
          <t>No</t>
        </is>
      </c>
      <c r="E274" s="21" t="inlineStr">
        <is>
          <t>Alkali wash</t>
        </is>
      </c>
      <c r="F274" s="21" t="inlineStr">
        <is>
          <t>Mild</t>
        </is>
      </c>
      <c r="G274" s="4" t="inlineStr">
        <is>
          <t>One step</t>
        </is>
      </c>
      <c r="H274" s="4" t="inlineStr">
        <is>
          <t xml:space="preserve">Pyrolysis </t>
        </is>
      </c>
      <c r="I274" s="20" t="inlineStr">
        <is>
          <t>No</t>
        </is>
      </c>
      <c r="J274" s="20" t="n">
        <v>300</v>
      </c>
      <c r="K274" s="20" t="n">
        <v>5</v>
      </c>
      <c r="L274" s="20" t="n">
        <v>1400</v>
      </c>
      <c r="M274" s="4" t="inlineStr">
        <is>
          <t>No</t>
        </is>
      </c>
      <c r="N274" s="4" t="inlineStr">
        <is>
          <t>No</t>
        </is>
      </c>
      <c r="O274" s="4" t="inlineStr">
        <is>
          <t>No</t>
        </is>
      </c>
      <c r="P274" s="4" t="inlineStr">
        <is>
          <t>No</t>
        </is>
      </c>
      <c r="Q274" s="4" t="inlineStr">
        <is>
          <t>No</t>
        </is>
      </c>
      <c r="R274" s="20" t="n">
        <v>14.5</v>
      </c>
      <c r="S274" s="20" t="n">
        <v>0.384</v>
      </c>
      <c r="T274" s="22" t="n">
        <v>0.93</v>
      </c>
      <c r="U274" s="20" t="n">
        <v>7.3</v>
      </c>
      <c r="V274" s="20" t="n">
        <v>2.04</v>
      </c>
      <c r="W274" s="20" t="n">
        <v>0.047</v>
      </c>
      <c r="X274" s="20" t="n">
        <v>92.42</v>
      </c>
      <c r="Y274" s="24" t="inlineStr">
        <is>
          <t>[76]</t>
        </is>
      </c>
    </row>
    <row r="275" ht="15" customHeight="1">
      <c r="A275" s="20" t="inlineStr">
        <is>
          <t>Banana peel</t>
        </is>
      </c>
      <c r="B275" s="21" t="inlineStr">
        <is>
          <t>Biomass (H2O) / Carbon (20% KOH + 2M HCl + H2O)</t>
        </is>
      </c>
      <c r="C275" s="21" t="inlineStr">
        <is>
          <t>Water wash</t>
        </is>
      </c>
      <c r="D275" s="21" t="inlineStr">
        <is>
          <t>No</t>
        </is>
      </c>
      <c r="E275" s="21" t="inlineStr">
        <is>
          <t>Alkali wash</t>
        </is>
      </c>
      <c r="F275" s="21" t="inlineStr">
        <is>
          <t>Mild</t>
        </is>
      </c>
      <c r="G275" s="4" t="inlineStr">
        <is>
          <t>Two step</t>
        </is>
      </c>
      <c r="H275" s="4" t="inlineStr">
        <is>
          <t xml:space="preserve">Pyrolysis </t>
        </is>
      </c>
      <c r="I275" s="20" t="inlineStr">
        <is>
          <t>No</t>
        </is>
      </c>
      <c r="J275" s="20" t="n">
        <v>300</v>
      </c>
      <c r="K275" s="20" t="n">
        <v>5</v>
      </c>
      <c r="L275" s="20" t="n">
        <v>800</v>
      </c>
      <c r="M275" s="4" t="inlineStr">
        <is>
          <t>Activation</t>
        </is>
      </c>
      <c r="N275" s="20" t="inlineStr">
        <is>
          <t>Air</t>
        </is>
      </c>
      <c r="O275" s="4" t="n">
        <v>3</v>
      </c>
      <c r="P275" s="4" t="n">
        <v>5</v>
      </c>
      <c r="Q275" s="4" t="n">
        <v>300</v>
      </c>
      <c r="R275" s="20" t="n">
        <v>217.3</v>
      </c>
      <c r="S275" s="20" t="n">
        <v>0.399</v>
      </c>
      <c r="T275" s="22" t="n">
        <v>0.79</v>
      </c>
      <c r="U275" s="20" t="n">
        <v>2.43</v>
      </c>
      <c r="V275" s="20" t="n">
        <v>1.59</v>
      </c>
      <c r="W275" s="20" t="n">
        <v>0.23</v>
      </c>
      <c r="X275" s="20" t="n">
        <v>83.42</v>
      </c>
      <c r="Y275" s="24" t="inlineStr">
        <is>
          <t>[76]</t>
        </is>
      </c>
    </row>
    <row r="276" ht="15" customHeight="1">
      <c r="A276" s="20" t="inlineStr">
        <is>
          <t>Banana peel</t>
        </is>
      </c>
      <c r="B276" s="21" t="inlineStr">
        <is>
          <t>Biomass (H2O) / Carbon (20% KOH + 2M HCl + H2O)</t>
        </is>
      </c>
      <c r="C276" s="21" t="inlineStr">
        <is>
          <t>Water wash</t>
        </is>
      </c>
      <c r="D276" s="21" t="inlineStr">
        <is>
          <t>No</t>
        </is>
      </c>
      <c r="E276" s="21" t="inlineStr">
        <is>
          <t>Alkali wash</t>
        </is>
      </c>
      <c r="F276" s="21" t="inlineStr">
        <is>
          <t>Mild</t>
        </is>
      </c>
      <c r="G276" s="4" t="inlineStr">
        <is>
          <t>Two step</t>
        </is>
      </c>
      <c r="H276" s="4" t="inlineStr">
        <is>
          <t xml:space="preserve">Pyrolysis </t>
        </is>
      </c>
      <c r="I276" s="20" t="inlineStr">
        <is>
          <t>No</t>
        </is>
      </c>
      <c r="J276" s="20" t="n">
        <v>300</v>
      </c>
      <c r="K276" s="20" t="n">
        <v>5</v>
      </c>
      <c r="L276" s="20" t="n">
        <v>1100</v>
      </c>
      <c r="M276" s="4" t="inlineStr">
        <is>
          <t>Activation</t>
        </is>
      </c>
      <c r="N276" s="20" t="inlineStr">
        <is>
          <t>Air</t>
        </is>
      </c>
      <c r="O276" s="4" t="n">
        <v>3</v>
      </c>
      <c r="P276" s="4" t="n">
        <v>5</v>
      </c>
      <c r="Q276" s="4" t="n">
        <v>300</v>
      </c>
      <c r="R276" s="20" t="n">
        <v>130.8</v>
      </c>
      <c r="S276" s="20" t="n">
        <v>0.392</v>
      </c>
      <c r="T276" s="22" t="n">
        <v>0.92</v>
      </c>
      <c r="U276" s="20" t="n">
        <v>4.36</v>
      </c>
      <c r="V276" s="20" t="n">
        <v>1.62</v>
      </c>
      <c r="W276" s="20" t="n">
        <v>0.19</v>
      </c>
      <c r="X276" s="20" t="n">
        <v>88.34</v>
      </c>
      <c r="Y276" s="24" t="inlineStr">
        <is>
          <t>[76]</t>
        </is>
      </c>
    </row>
    <row r="277" ht="15" customHeight="1">
      <c r="A277" s="20" t="inlineStr">
        <is>
          <t>Banana peel</t>
        </is>
      </c>
      <c r="B277" s="21" t="inlineStr">
        <is>
          <t>Biomass (H2O) / Carbon (20% KOH + 2M HCl + H2O)</t>
        </is>
      </c>
      <c r="C277" s="21" t="inlineStr">
        <is>
          <t>Water wash</t>
        </is>
      </c>
      <c r="D277" s="21" t="inlineStr">
        <is>
          <t>No</t>
        </is>
      </c>
      <c r="E277" s="21" t="inlineStr">
        <is>
          <t>Alkali wash</t>
        </is>
      </c>
      <c r="F277" s="21" t="inlineStr">
        <is>
          <t>Mild</t>
        </is>
      </c>
      <c r="G277" s="4" t="inlineStr">
        <is>
          <t>Two step</t>
        </is>
      </c>
      <c r="H277" s="4" t="inlineStr">
        <is>
          <t xml:space="preserve">Pyrolysis </t>
        </is>
      </c>
      <c r="I277" s="20" t="inlineStr">
        <is>
          <t>No</t>
        </is>
      </c>
      <c r="J277" s="20" t="n">
        <v>300</v>
      </c>
      <c r="K277" s="20" t="n">
        <v>5</v>
      </c>
      <c r="L277" s="20" t="n">
        <v>1400</v>
      </c>
      <c r="M277" s="4" t="inlineStr">
        <is>
          <t>Activation</t>
        </is>
      </c>
      <c r="N277" s="20" t="inlineStr">
        <is>
          <t>Air</t>
        </is>
      </c>
      <c r="O277" s="4" t="n">
        <v>3</v>
      </c>
      <c r="P277" s="4" t="n">
        <v>5</v>
      </c>
      <c r="Q277" s="4" t="n">
        <v>300</v>
      </c>
      <c r="R277" s="20" t="n">
        <v>62.1</v>
      </c>
      <c r="S277" s="20" t="n">
        <v>0.386</v>
      </c>
      <c r="T277" s="22" t="n">
        <v>0.9399999999999999</v>
      </c>
      <c r="U277" s="20" t="n">
        <v>7.43</v>
      </c>
      <c r="V277" s="20" t="n">
        <v>2.12</v>
      </c>
      <c r="W277" s="20" t="n">
        <v>0.14</v>
      </c>
      <c r="X277" s="20" t="n">
        <v>92.87</v>
      </c>
      <c r="Y277" s="24" t="inlineStr">
        <is>
          <t>[76]</t>
        </is>
      </c>
    </row>
    <row r="278" ht="15" customHeight="1">
      <c r="A278" s="20" t="inlineStr">
        <is>
          <t>Lotus petioles</t>
        </is>
      </c>
      <c r="B278" s="21" t="inlineStr">
        <is>
          <t>Biomass (H2O) / Carbon (5M KOH + 2M HCl + H2O)</t>
        </is>
      </c>
      <c r="C278" s="21" t="inlineStr">
        <is>
          <t>Water wash</t>
        </is>
      </c>
      <c r="D278" s="21" t="inlineStr">
        <is>
          <t>No</t>
        </is>
      </c>
      <c r="E278" s="21" t="inlineStr">
        <is>
          <t>Alkali wash</t>
        </is>
      </c>
      <c r="F278" s="21" t="inlineStr">
        <is>
          <t>Moderate</t>
        </is>
      </c>
      <c r="G278" s="4" t="inlineStr">
        <is>
          <t>Two step</t>
        </is>
      </c>
      <c r="H278" s="4" t="inlineStr">
        <is>
          <t xml:space="preserve">Pyrolysis </t>
        </is>
      </c>
      <c r="I278" s="20" t="inlineStr">
        <is>
          <t>No</t>
        </is>
      </c>
      <c r="J278" s="20" t="inlineStr">
        <is>
          <t>No</t>
        </is>
      </c>
      <c r="K278" s="20" t="n"/>
      <c r="L278" s="20" t="n">
        <v>1100</v>
      </c>
      <c r="M278" s="4" t="inlineStr">
        <is>
          <t>Activation</t>
        </is>
      </c>
      <c r="N278" s="20" t="inlineStr">
        <is>
          <t>Air</t>
        </is>
      </c>
      <c r="O278" s="4" t="n">
        <v>5</v>
      </c>
      <c r="P278" s="4" t="n"/>
      <c r="Q278" s="4" t="n">
        <v>300</v>
      </c>
      <c r="R278" s="20" t="n">
        <v>46.4</v>
      </c>
      <c r="S278" s="20" t="n">
        <v>0.4</v>
      </c>
      <c r="T278" s="22" t="n">
        <v>1.01</v>
      </c>
      <c r="U278" s="20" t="n"/>
      <c r="V278" s="20" t="n"/>
      <c r="W278" s="20" t="n"/>
      <c r="X278" s="20" t="n">
        <v>92.59999999999999</v>
      </c>
      <c r="Y278" s="24" t="inlineStr">
        <is>
          <t>[77]</t>
        </is>
      </c>
    </row>
    <row r="279" ht="15" customHeight="1">
      <c r="A279" s="20" t="inlineStr">
        <is>
          <t>Banan peel</t>
        </is>
      </c>
      <c r="B279" s="21" t="inlineStr">
        <is>
          <t>Biomass (H2O) / Carbon (5M KOH + 2M HCl + H2O)</t>
        </is>
      </c>
      <c r="C279" s="21" t="inlineStr">
        <is>
          <t>Water wash</t>
        </is>
      </c>
      <c r="D279" s="21" t="inlineStr">
        <is>
          <t>No</t>
        </is>
      </c>
      <c r="E279" s="21" t="inlineStr">
        <is>
          <t>Alkali wash</t>
        </is>
      </c>
      <c r="F279" s="21" t="inlineStr">
        <is>
          <t>Moderate</t>
        </is>
      </c>
      <c r="G279" s="4" t="inlineStr">
        <is>
          <t>Two step</t>
        </is>
      </c>
      <c r="H279" s="4" t="inlineStr">
        <is>
          <t xml:space="preserve">Pyrolysis </t>
        </is>
      </c>
      <c r="I279" s="20" t="inlineStr">
        <is>
          <t>No</t>
        </is>
      </c>
      <c r="J279" s="20" t="inlineStr">
        <is>
          <t>No</t>
        </is>
      </c>
      <c r="K279" s="20" t="n"/>
      <c r="L279" s="20" t="n">
        <v>1100</v>
      </c>
      <c r="M279" s="4" t="inlineStr">
        <is>
          <t>Activation</t>
        </is>
      </c>
      <c r="N279" s="20" t="inlineStr">
        <is>
          <t>Air</t>
        </is>
      </c>
      <c r="O279" s="4" t="n">
        <v>5</v>
      </c>
      <c r="P279" s="4" t="n"/>
      <c r="Q279" s="4" t="n">
        <v>300</v>
      </c>
      <c r="R279" s="20" t="n">
        <v>763.3</v>
      </c>
      <c r="S279" s="20" t="n">
        <v>0.4</v>
      </c>
      <c r="T279" s="22" t="n">
        <v>0.98</v>
      </c>
      <c r="U279" s="20" t="n"/>
      <c r="V279" s="20" t="n"/>
      <c r="W279" s="20" t="n"/>
      <c r="X279" s="20" t="n"/>
      <c r="Y279" s="24" t="inlineStr">
        <is>
          <t>[77]</t>
        </is>
      </c>
    </row>
    <row r="280" ht="15" customHeight="1">
      <c r="A280" s="21" t="inlineStr">
        <is>
          <t>Coir</t>
        </is>
      </c>
      <c r="B280" s="21" t="inlineStr">
        <is>
          <t>Biomass (H2O + EtOH) / Carbon (10% KOH + 1M HCl) / Washing ZnCl2 + K2CO3 + H3PO4</t>
        </is>
      </c>
      <c r="C280" s="21" t="inlineStr">
        <is>
          <t>Organic wash</t>
        </is>
      </c>
      <c r="D280" s="21" t="inlineStr">
        <is>
          <t>No</t>
        </is>
      </c>
      <c r="E280" s="21" t="inlineStr">
        <is>
          <t>Alkali wash</t>
        </is>
      </c>
      <c r="F280" s="21" t="inlineStr">
        <is>
          <t>Mild</t>
        </is>
      </c>
      <c r="G280" s="5" t="inlineStr">
        <is>
          <t>One step</t>
        </is>
      </c>
      <c r="H280" s="5" t="inlineStr">
        <is>
          <t xml:space="preserve">Pyrolysis </t>
        </is>
      </c>
      <c r="I280" s="21" t="inlineStr">
        <is>
          <t>No</t>
        </is>
      </c>
      <c r="J280" s="21" t="inlineStr">
        <is>
          <t>No</t>
        </is>
      </c>
      <c r="K280" s="21" t="n"/>
      <c r="L280" s="21" t="n">
        <v>800</v>
      </c>
      <c r="M280" s="5" t="inlineStr">
        <is>
          <t>No</t>
        </is>
      </c>
      <c r="N280" s="5" t="inlineStr">
        <is>
          <t>No</t>
        </is>
      </c>
      <c r="O280" s="5" t="inlineStr">
        <is>
          <t>No</t>
        </is>
      </c>
      <c r="P280" s="5" t="inlineStr">
        <is>
          <t>No</t>
        </is>
      </c>
      <c r="Q280" s="5" t="inlineStr">
        <is>
          <t>No</t>
        </is>
      </c>
      <c r="R280" s="21" t="n"/>
      <c r="S280" s="21" t="n">
        <v>0.392</v>
      </c>
      <c r="T280" s="35" t="n">
        <v>0.72</v>
      </c>
      <c r="U280" s="21" t="n">
        <v>13.84</v>
      </c>
      <c r="V280" s="21" t="n">
        <v>1.43</v>
      </c>
      <c r="W280" s="21" t="n"/>
      <c r="X280" s="21" t="n">
        <v>85.67</v>
      </c>
      <c r="Y280" s="39" t="inlineStr">
        <is>
          <t>[78]</t>
        </is>
      </c>
    </row>
    <row r="281" ht="15" customHeight="1">
      <c r="A281" s="21" t="inlineStr">
        <is>
          <t>Coir</t>
        </is>
      </c>
      <c r="B281" s="21" t="inlineStr">
        <is>
          <t>Biomass (H2O + EtOH) / Carbon (10% KOH + 1M HCl) / Washing ZnCl2 + K2CO3 + H3PO5</t>
        </is>
      </c>
      <c r="C281" s="21" t="inlineStr">
        <is>
          <t>Organic wash</t>
        </is>
      </c>
      <c r="D281" s="21" t="inlineStr">
        <is>
          <t>No</t>
        </is>
      </c>
      <c r="E281" s="21" t="inlineStr">
        <is>
          <t>Alkali wash</t>
        </is>
      </c>
      <c r="F281" s="21" t="inlineStr">
        <is>
          <t>Mild</t>
        </is>
      </c>
      <c r="G281" s="5" t="inlineStr">
        <is>
          <t>One step</t>
        </is>
      </c>
      <c r="H281" s="5" t="inlineStr">
        <is>
          <t xml:space="preserve">Pyrolysis </t>
        </is>
      </c>
      <c r="I281" s="21" t="inlineStr">
        <is>
          <t>No</t>
        </is>
      </c>
      <c r="J281" s="21" t="inlineStr">
        <is>
          <t>No</t>
        </is>
      </c>
      <c r="K281" s="21" t="n"/>
      <c r="L281" s="21" t="n">
        <v>1000</v>
      </c>
      <c r="M281" s="5" t="inlineStr">
        <is>
          <t>No</t>
        </is>
      </c>
      <c r="N281" s="5" t="inlineStr">
        <is>
          <t>No</t>
        </is>
      </c>
      <c r="O281" s="5" t="inlineStr">
        <is>
          <t>No</t>
        </is>
      </c>
      <c r="P281" s="5" t="inlineStr">
        <is>
          <t>No</t>
        </is>
      </c>
      <c r="Q281" s="5" t="inlineStr">
        <is>
          <t>No</t>
        </is>
      </c>
      <c r="R281" s="21" t="n"/>
      <c r="S281" s="21" t="n">
        <v>0.386</v>
      </c>
      <c r="T281" s="35" t="n">
        <v>0.83</v>
      </c>
      <c r="U281" s="21" t="n">
        <v>15.96</v>
      </c>
      <c r="V281" s="21" t="n">
        <v>1.57</v>
      </c>
      <c r="W281" s="21" t="n"/>
      <c r="X281" s="21" t="n">
        <v>90.31999999999999</v>
      </c>
      <c r="Y281" s="39" t="inlineStr">
        <is>
          <t>[78]</t>
        </is>
      </c>
    </row>
    <row r="282" ht="15" customHeight="1">
      <c r="A282" s="21" t="inlineStr">
        <is>
          <t>Coir</t>
        </is>
      </c>
      <c r="B282" s="21" t="inlineStr">
        <is>
          <t>Biomass (H2O + EtOH) / Carbon (10% KOH + 1M HCl) / Washing ZnCl2 + K2CO3 + H3PO6</t>
        </is>
      </c>
      <c r="C282" s="21" t="inlineStr">
        <is>
          <t>Organic wash</t>
        </is>
      </c>
      <c r="D282" s="21" t="inlineStr">
        <is>
          <t>No</t>
        </is>
      </c>
      <c r="E282" s="21" t="inlineStr">
        <is>
          <t>Alkali wash</t>
        </is>
      </c>
      <c r="F282" s="21" t="inlineStr">
        <is>
          <t>Mild</t>
        </is>
      </c>
      <c r="G282" s="5" t="inlineStr">
        <is>
          <t>One step</t>
        </is>
      </c>
      <c r="H282" s="5" t="inlineStr">
        <is>
          <t xml:space="preserve">Pyrolysis </t>
        </is>
      </c>
      <c r="I282" s="21" t="inlineStr">
        <is>
          <t>No</t>
        </is>
      </c>
      <c r="J282" s="21" t="inlineStr">
        <is>
          <t>No</t>
        </is>
      </c>
      <c r="K282" s="21" t="n"/>
      <c r="L282" s="21" t="n">
        <v>1200</v>
      </c>
      <c r="M282" s="5" t="inlineStr">
        <is>
          <t>No</t>
        </is>
      </c>
      <c r="N282" s="5" t="inlineStr">
        <is>
          <t>No</t>
        </is>
      </c>
      <c r="O282" s="5" t="inlineStr">
        <is>
          <t>No</t>
        </is>
      </c>
      <c r="P282" s="5" t="inlineStr">
        <is>
          <t>No</t>
        </is>
      </c>
      <c r="Q282" s="5" t="inlineStr">
        <is>
          <t>No</t>
        </is>
      </c>
      <c r="R282" s="21" t="n">
        <v>73</v>
      </c>
      <c r="S282" s="21" t="n">
        <v>0.372</v>
      </c>
      <c r="T282" s="35" t="n">
        <v>0.84</v>
      </c>
      <c r="U282" s="21" t="n">
        <v>16.15</v>
      </c>
      <c r="V282" s="21" t="n">
        <v>1.62</v>
      </c>
      <c r="W282" s="21" t="n"/>
      <c r="X282" s="21" t="n">
        <v>89.94</v>
      </c>
      <c r="Y282" s="39" t="inlineStr">
        <is>
          <t>[78]</t>
        </is>
      </c>
    </row>
    <row r="283" ht="15" customHeight="1">
      <c r="A283" s="21" t="inlineStr">
        <is>
          <t>Coir</t>
        </is>
      </c>
      <c r="B283" s="21" t="inlineStr">
        <is>
          <t>Biomass (H2O + EtOH) / Carbon (10% KOH + 1M HCl) / Washing ZnCl2 + K2CO3 + H3PO7</t>
        </is>
      </c>
      <c r="C283" s="21" t="inlineStr">
        <is>
          <t>Organic wash</t>
        </is>
      </c>
      <c r="D283" s="21" t="inlineStr">
        <is>
          <t>No</t>
        </is>
      </c>
      <c r="E283" s="21" t="inlineStr">
        <is>
          <t>Alkali wash</t>
        </is>
      </c>
      <c r="F283" s="21" t="inlineStr">
        <is>
          <t>Mild</t>
        </is>
      </c>
      <c r="G283" s="5" t="inlineStr">
        <is>
          <t>Two step</t>
        </is>
      </c>
      <c r="H283" s="5" t="inlineStr">
        <is>
          <t xml:space="preserve">Pyrolysis </t>
        </is>
      </c>
      <c r="I283" s="21" t="inlineStr">
        <is>
          <t>No</t>
        </is>
      </c>
      <c r="J283" s="21" t="inlineStr">
        <is>
          <t>No</t>
        </is>
      </c>
      <c r="K283" s="21" t="n"/>
      <c r="L283" s="21" t="n">
        <v>1000</v>
      </c>
      <c r="M283" s="5" t="inlineStr">
        <is>
          <t>Activation</t>
        </is>
      </c>
      <c r="N283" s="21" t="inlineStr">
        <is>
          <t>ZnCl2 + K2CO3 + H3PO4</t>
        </is>
      </c>
      <c r="O283" s="5" t="n">
        <v>5</v>
      </c>
      <c r="P283" s="5" t="n"/>
      <c r="Q283" s="5" t="n">
        <v>500</v>
      </c>
      <c r="R283" s="21" t="n">
        <v>607</v>
      </c>
      <c r="S283" s="21" t="n"/>
      <c r="T283" s="35" t="n"/>
      <c r="U283" s="21" t="n"/>
      <c r="V283" s="21" t="n"/>
      <c r="W283" s="21" t="n"/>
      <c r="X283" s="21" t="n"/>
      <c r="Y283" s="39" t="inlineStr">
        <is>
          <t>[78]</t>
        </is>
      </c>
    </row>
    <row r="284" ht="15" customHeight="1">
      <c r="A284" s="20" t="inlineStr">
        <is>
          <t>Sugarcane</t>
        </is>
      </c>
      <c r="B284" s="21" t="inlineStr">
        <is>
          <t>Biomass (H2O) / Carbon (H2O)</t>
        </is>
      </c>
      <c r="C284" s="21" t="inlineStr">
        <is>
          <t>Water wash</t>
        </is>
      </c>
      <c r="D284" s="21" t="inlineStr">
        <is>
          <t>No</t>
        </is>
      </c>
      <c r="E284" s="21" t="inlineStr">
        <is>
          <t>Water wash</t>
        </is>
      </c>
      <c r="F284" s="21" t="inlineStr">
        <is>
          <t>No</t>
        </is>
      </c>
      <c r="G284" s="4" t="inlineStr">
        <is>
          <t>One step</t>
        </is>
      </c>
      <c r="H284" s="4" t="inlineStr">
        <is>
          <t xml:space="preserve">Pyrolysis </t>
        </is>
      </c>
      <c r="I284" s="20" t="inlineStr">
        <is>
          <t>No</t>
        </is>
      </c>
      <c r="J284" s="20" t="n">
        <v>120</v>
      </c>
      <c r="K284" s="20" t="n">
        <v>3</v>
      </c>
      <c r="L284" s="20" t="n">
        <v>800</v>
      </c>
      <c r="M284" s="4" t="inlineStr">
        <is>
          <t>No</t>
        </is>
      </c>
      <c r="N284" s="4" t="inlineStr">
        <is>
          <t>No</t>
        </is>
      </c>
      <c r="O284" s="4" t="inlineStr">
        <is>
          <t>No</t>
        </is>
      </c>
      <c r="P284" s="4" t="inlineStr">
        <is>
          <t>No</t>
        </is>
      </c>
      <c r="Q284" s="4" t="inlineStr">
        <is>
          <t>No</t>
        </is>
      </c>
      <c r="R284" s="20" t="n">
        <v>299</v>
      </c>
      <c r="S284" s="20" t="n">
        <v>0.398</v>
      </c>
      <c r="T284" s="22" t="n">
        <v>0.88</v>
      </c>
      <c r="U284" s="20" t="n"/>
      <c r="V284" s="20" t="n"/>
      <c r="W284" s="20" t="n"/>
      <c r="X284" s="20" t="n"/>
      <c r="Y284" s="24" t="inlineStr">
        <is>
          <t>[79]</t>
        </is>
      </c>
    </row>
    <row r="285" ht="15" customHeight="1">
      <c r="A285" s="20" t="inlineStr">
        <is>
          <t>Sugarcane</t>
        </is>
      </c>
      <c r="B285" s="21" t="inlineStr">
        <is>
          <t>Biomass (H2O) / Carbon (H2O)</t>
        </is>
      </c>
      <c r="C285" s="21" t="inlineStr">
        <is>
          <t>Water wash</t>
        </is>
      </c>
      <c r="D285" s="21" t="inlineStr">
        <is>
          <t>No</t>
        </is>
      </c>
      <c r="E285" s="21" t="inlineStr">
        <is>
          <t>Water wash</t>
        </is>
      </c>
      <c r="F285" s="21" t="inlineStr">
        <is>
          <t>No</t>
        </is>
      </c>
      <c r="G285" s="4" t="inlineStr">
        <is>
          <t>One step</t>
        </is>
      </c>
      <c r="H285" s="4" t="inlineStr">
        <is>
          <t xml:space="preserve">Pyrolysis </t>
        </is>
      </c>
      <c r="I285" s="20" t="inlineStr">
        <is>
          <t>No</t>
        </is>
      </c>
      <c r="J285" s="20" t="n">
        <v>120</v>
      </c>
      <c r="K285" s="20" t="n">
        <v>3</v>
      </c>
      <c r="L285" s="20" t="n">
        <v>900</v>
      </c>
      <c r="M285" s="4" t="inlineStr">
        <is>
          <t>No</t>
        </is>
      </c>
      <c r="N285" s="4" t="inlineStr">
        <is>
          <t>No</t>
        </is>
      </c>
      <c r="O285" s="4" t="inlineStr">
        <is>
          <t>No</t>
        </is>
      </c>
      <c r="P285" s="4" t="inlineStr">
        <is>
          <t>No</t>
        </is>
      </c>
      <c r="Q285" s="4" t="inlineStr">
        <is>
          <t>No</t>
        </is>
      </c>
      <c r="R285" s="20" t="n">
        <v>254</v>
      </c>
      <c r="S285" s="20" t="n">
        <v>0.396</v>
      </c>
      <c r="T285" s="22" t="n">
        <v>0.89</v>
      </c>
      <c r="U285" s="20" t="n"/>
      <c r="V285" s="20" t="n"/>
      <c r="W285" s="20" t="n"/>
      <c r="X285" s="20" t="n"/>
      <c r="Y285" s="24" t="inlineStr">
        <is>
          <t>[79]</t>
        </is>
      </c>
    </row>
    <row r="286" ht="15" customHeight="1">
      <c r="A286" s="20" t="inlineStr">
        <is>
          <t>Sugarcane</t>
        </is>
      </c>
      <c r="B286" s="21" t="inlineStr">
        <is>
          <t>Biomass (H2O) / Carbon (H2O)</t>
        </is>
      </c>
      <c r="C286" s="21" t="inlineStr">
        <is>
          <t>Water wash</t>
        </is>
      </c>
      <c r="D286" s="21" t="inlineStr">
        <is>
          <t>No</t>
        </is>
      </c>
      <c r="E286" s="21" t="inlineStr">
        <is>
          <t>Water wash</t>
        </is>
      </c>
      <c r="F286" s="21" t="inlineStr">
        <is>
          <t>No</t>
        </is>
      </c>
      <c r="G286" s="4" t="inlineStr">
        <is>
          <t>One step</t>
        </is>
      </c>
      <c r="H286" s="4" t="inlineStr">
        <is>
          <t xml:space="preserve">Pyrolysis </t>
        </is>
      </c>
      <c r="I286" s="20" t="inlineStr">
        <is>
          <t>No</t>
        </is>
      </c>
      <c r="J286" s="20" t="n">
        <v>120</v>
      </c>
      <c r="K286" s="20" t="n">
        <v>3</v>
      </c>
      <c r="L286" s="20" t="n">
        <v>1000</v>
      </c>
      <c r="M286" s="4" t="inlineStr">
        <is>
          <t>No</t>
        </is>
      </c>
      <c r="N286" s="4" t="inlineStr">
        <is>
          <t>No</t>
        </is>
      </c>
      <c r="O286" s="4" t="inlineStr">
        <is>
          <t>No</t>
        </is>
      </c>
      <c r="P286" s="4" t="inlineStr">
        <is>
          <t>No</t>
        </is>
      </c>
      <c r="Q286" s="4" t="inlineStr">
        <is>
          <t>No</t>
        </is>
      </c>
      <c r="R286" s="20" t="n">
        <v>218</v>
      </c>
      <c r="S286" s="20" t="n">
        <v>0.394</v>
      </c>
      <c r="T286" s="22" t="n">
        <v>0.92</v>
      </c>
      <c r="U286" s="20" t="n"/>
      <c r="V286" s="20" t="n"/>
      <c r="W286" s="20" t="n"/>
      <c r="X286" s="20" t="n"/>
      <c r="Y286" s="24" t="inlineStr">
        <is>
          <t>[79]</t>
        </is>
      </c>
    </row>
    <row r="287" ht="15" customHeight="1">
      <c r="A287" s="20" t="inlineStr">
        <is>
          <t>Sugarcane</t>
        </is>
      </c>
      <c r="B287" s="21" t="inlineStr">
        <is>
          <t>Biomass (H2O) / Carbon (H2O)</t>
        </is>
      </c>
      <c r="C287" s="21" t="inlineStr">
        <is>
          <t>Water wash</t>
        </is>
      </c>
      <c r="D287" s="21" t="inlineStr">
        <is>
          <t>No</t>
        </is>
      </c>
      <c r="E287" s="21" t="inlineStr">
        <is>
          <t>Water wash</t>
        </is>
      </c>
      <c r="F287" s="21" t="inlineStr">
        <is>
          <t>No</t>
        </is>
      </c>
      <c r="G287" s="4" t="inlineStr">
        <is>
          <t>One step</t>
        </is>
      </c>
      <c r="H287" s="4" t="inlineStr">
        <is>
          <t xml:space="preserve">Pyrolysis </t>
        </is>
      </c>
      <c r="I287" s="20" t="inlineStr">
        <is>
          <t>No</t>
        </is>
      </c>
      <c r="J287" s="20" t="n">
        <v>120</v>
      </c>
      <c r="K287" s="20" t="n">
        <v>3</v>
      </c>
      <c r="L287" s="20" t="n">
        <v>1100</v>
      </c>
      <c r="M287" s="4" t="inlineStr">
        <is>
          <t>No</t>
        </is>
      </c>
      <c r="N287" s="4" t="inlineStr">
        <is>
          <t>No</t>
        </is>
      </c>
      <c r="O287" s="4" t="inlineStr">
        <is>
          <t>No</t>
        </is>
      </c>
      <c r="P287" s="4" t="inlineStr">
        <is>
          <t>No</t>
        </is>
      </c>
      <c r="Q287" s="4" t="inlineStr">
        <is>
          <t>No</t>
        </is>
      </c>
      <c r="R287" s="20" t="n">
        <v>152</v>
      </c>
      <c r="S287" s="20" t="n">
        <v>0.39</v>
      </c>
      <c r="T287" s="22" t="n">
        <v>0.96</v>
      </c>
      <c r="U287" s="20" t="n"/>
      <c r="V287" s="20" t="n"/>
      <c r="W287" s="20" t="n"/>
      <c r="X287" s="20" t="n"/>
      <c r="Y287" s="24" t="inlineStr">
        <is>
          <t>[79]</t>
        </is>
      </c>
    </row>
    <row r="288" ht="15" customHeight="1">
      <c r="A288" s="20" t="inlineStr">
        <is>
          <t>Sugarcane</t>
        </is>
      </c>
      <c r="B288" s="21" t="inlineStr">
        <is>
          <t>Biomass (H2O) / Carbon (H2O)</t>
        </is>
      </c>
      <c r="C288" s="21" t="inlineStr">
        <is>
          <t>Water wash</t>
        </is>
      </c>
      <c r="D288" s="21" t="inlineStr">
        <is>
          <t>No</t>
        </is>
      </c>
      <c r="E288" s="21" t="inlineStr">
        <is>
          <t>Water wash</t>
        </is>
      </c>
      <c r="F288" s="21" t="inlineStr">
        <is>
          <t>No</t>
        </is>
      </c>
      <c r="G288" s="4" t="inlineStr">
        <is>
          <t>One step</t>
        </is>
      </c>
      <c r="H288" s="4" t="inlineStr">
        <is>
          <t xml:space="preserve">Pyrolysis </t>
        </is>
      </c>
      <c r="I288" s="20" t="inlineStr">
        <is>
          <t>No</t>
        </is>
      </c>
      <c r="J288" s="20" t="n">
        <v>120</v>
      </c>
      <c r="K288" s="20" t="n">
        <v>3</v>
      </c>
      <c r="L288" s="20" t="n">
        <v>1200</v>
      </c>
      <c r="M288" s="4" t="inlineStr">
        <is>
          <t>No</t>
        </is>
      </c>
      <c r="N288" s="4" t="inlineStr">
        <is>
          <t>No</t>
        </is>
      </c>
      <c r="O288" s="4" t="inlineStr">
        <is>
          <t>No</t>
        </is>
      </c>
      <c r="P288" s="4" t="inlineStr">
        <is>
          <t>No</t>
        </is>
      </c>
      <c r="Q288" s="4" t="inlineStr">
        <is>
          <t>No</t>
        </is>
      </c>
      <c r="R288" s="20" t="n">
        <v>49</v>
      </c>
      <c r="S288" s="20" t="n">
        <v>0.385</v>
      </c>
      <c r="T288" s="22" t="n">
        <v>0.99</v>
      </c>
      <c r="U288" s="20" t="n"/>
      <c r="V288" s="20" t="n"/>
      <c r="W288" s="20" t="n"/>
      <c r="X288" s="20" t="n"/>
      <c r="Y288" s="24" t="inlineStr">
        <is>
          <t>[79]</t>
        </is>
      </c>
    </row>
    <row r="289" ht="15" customHeight="1">
      <c r="A289" s="20" t="inlineStr">
        <is>
          <t>Sugarcane</t>
        </is>
      </c>
      <c r="B289" s="21" t="inlineStr">
        <is>
          <t>Biomass (H2O) / Carbon (H2O)</t>
        </is>
      </c>
      <c r="C289" s="21" t="inlineStr">
        <is>
          <t>Water wash</t>
        </is>
      </c>
      <c r="D289" s="21" t="inlineStr">
        <is>
          <t>No</t>
        </is>
      </c>
      <c r="E289" s="21" t="inlineStr">
        <is>
          <t>Water wash</t>
        </is>
      </c>
      <c r="F289" s="21" t="inlineStr">
        <is>
          <t>No</t>
        </is>
      </c>
      <c r="G289" s="4" t="inlineStr">
        <is>
          <t>One step</t>
        </is>
      </c>
      <c r="H289" s="4" t="inlineStr">
        <is>
          <t xml:space="preserve">Pyrolysis </t>
        </is>
      </c>
      <c r="I289" s="20" t="inlineStr">
        <is>
          <t>No</t>
        </is>
      </c>
      <c r="J289" s="20" t="n">
        <v>120</v>
      </c>
      <c r="K289" s="20" t="n">
        <v>3</v>
      </c>
      <c r="L289" s="20" t="n">
        <v>1300</v>
      </c>
      <c r="M289" s="4" t="inlineStr">
        <is>
          <t>No</t>
        </is>
      </c>
      <c r="N289" s="4" t="inlineStr">
        <is>
          <t>No</t>
        </is>
      </c>
      <c r="O289" s="4" t="inlineStr">
        <is>
          <t>No</t>
        </is>
      </c>
      <c r="P289" s="4" t="inlineStr">
        <is>
          <t>No</t>
        </is>
      </c>
      <c r="Q289" s="4" t="inlineStr">
        <is>
          <t>No</t>
        </is>
      </c>
      <c r="R289" s="20" t="n">
        <v>22</v>
      </c>
      <c r="S289" s="20" t="n">
        <v>0.372</v>
      </c>
      <c r="T289" s="22" t="n">
        <v>1.01</v>
      </c>
      <c r="U289" s="20" t="n"/>
      <c r="V289" s="20" t="n"/>
      <c r="W289" s="20" t="n"/>
      <c r="X289" s="20" t="n"/>
      <c r="Y289" s="24" t="inlineStr">
        <is>
          <t>[79]</t>
        </is>
      </c>
    </row>
    <row r="290" ht="15" customHeight="1">
      <c r="A290" s="20" t="inlineStr">
        <is>
          <t>Sugarcane</t>
        </is>
      </c>
      <c r="B290" s="21" t="inlineStr">
        <is>
          <t>Biomass (H2O) / Carbon (H2O)</t>
        </is>
      </c>
      <c r="C290" s="21" t="inlineStr">
        <is>
          <t>Water wash</t>
        </is>
      </c>
      <c r="D290" s="21" t="inlineStr">
        <is>
          <t>No</t>
        </is>
      </c>
      <c r="E290" s="21" t="inlineStr">
        <is>
          <t>Water wash</t>
        </is>
      </c>
      <c r="F290" s="21" t="inlineStr">
        <is>
          <t>No</t>
        </is>
      </c>
      <c r="G290" s="4" t="inlineStr">
        <is>
          <t>Two step</t>
        </is>
      </c>
      <c r="H290" s="4" t="inlineStr">
        <is>
          <t xml:space="preserve">Pyrolysis </t>
        </is>
      </c>
      <c r="I290" s="20" t="inlineStr">
        <is>
          <t>No</t>
        </is>
      </c>
      <c r="J290" s="20" t="n">
        <v>120</v>
      </c>
      <c r="K290" s="20" t="n">
        <v>3</v>
      </c>
      <c r="L290" s="20" t="n">
        <v>1200</v>
      </c>
      <c r="M290" s="4" t="inlineStr">
        <is>
          <t>Activation</t>
        </is>
      </c>
      <c r="N290" s="4" t="inlineStr">
        <is>
          <t>HCl</t>
        </is>
      </c>
      <c r="O290" s="4" t="n">
        <v>1</v>
      </c>
      <c r="P290" s="4" t="inlineStr">
        <is>
          <t>No</t>
        </is>
      </c>
      <c r="Q290" s="4" t="inlineStr">
        <is>
          <t>No</t>
        </is>
      </c>
      <c r="R290" s="20" t="n">
        <v>70</v>
      </c>
      <c r="S290" s="20" t="n">
        <v>0.379</v>
      </c>
      <c r="T290" s="22" t="n">
        <v>1.04</v>
      </c>
      <c r="U290" s="20" t="n"/>
      <c r="V290" s="20" t="n"/>
      <c r="W290" s="20" t="n"/>
      <c r="X290" s="20" t="n"/>
      <c r="Y290" s="24" t="inlineStr">
        <is>
          <t>[79]</t>
        </is>
      </c>
    </row>
    <row r="291" ht="15" customHeight="1">
      <c r="A291" s="20" t="inlineStr">
        <is>
          <t>Peanut skin</t>
        </is>
      </c>
      <c r="B291" s="21" t="inlineStr">
        <is>
          <t>Carbon (2M HCl + H2O)</t>
        </is>
      </c>
      <c r="C291" s="21" t="inlineStr">
        <is>
          <t>No wash</t>
        </is>
      </c>
      <c r="D291" s="21" t="inlineStr">
        <is>
          <t>No</t>
        </is>
      </c>
      <c r="E291" s="21" t="inlineStr">
        <is>
          <t>Acid wash</t>
        </is>
      </c>
      <c r="F291" s="21" t="inlineStr">
        <is>
          <t>Mild</t>
        </is>
      </c>
      <c r="G291" s="4" t="inlineStr">
        <is>
          <t>Two step</t>
        </is>
      </c>
      <c r="H291" s="4" t="inlineStr">
        <is>
          <t>HTC</t>
        </is>
      </c>
      <c r="I291" s="4" t="inlineStr">
        <is>
          <t>H2SO4</t>
        </is>
      </c>
      <c r="J291" s="4">
        <f>24*60</f>
        <v/>
      </c>
      <c r="K291" s="4" t="n"/>
      <c r="L291" s="4" t="n">
        <v>180</v>
      </c>
      <c r="M291" s="4" t="inlineStr">
        <is>
          <t>Activation</t>
        </is>
      </c>
      <c r="N291" s="4" t="inlineStr">
        <is>
          <t>KOH</t>
        </is>
      </c>
      <c r="O291" s="20" t="inlineStr">
        <is>
          <t>No</t>
        </is>
      </c>
      <c r="P291" s="20" t="n"/>
      <c r="Q291" s="4" t="n">
        <v>800</v>
      </c>
      <c r="R291" s="20" t="n">
        <v>1930</v>
      </c>
      <c r="S291" s="20" t="n">
        <v>0.37</v>
      </c>
      <c r="T291" s="22" t="n">
        <v>0.64</v>
      </c>
      <c r="U291" s="20" t="n"/>
      <c r="V291" s="20" t="n">
        <v>0.88</v>
      </c>
      <c r="W291" s="20" t="n">
        <v>1.28</v>
      </c>
      <c r="X291" s="20" t="n">
        <v>95.31999999999999</v>
      </c>
      <c r="Y291" s="24" t="inlineStr">
        <is>
          <t>[80]</t>
        </is>
      </c>
    </row>
    <row r="292" ht="15" customHeight="1">
      <c r="A292" s="20" t="inlineStr">
        <is>
          <t>Peanut skin</t>
        </is>
      </c>
      <c r="B292" s="21" t="inlineStr">
        <is>
          <t>Carbon (2M HCl + H2O)</t>
        </is>
      </c>
      <c r="C292" s="21" t="inlineStr">
        <is>
          <t>No wash</t>
        </is>
      </c>
      <c r="D292" s="21" t="inlineStr">
        <is>
          <t>No</t>
        </is>
      </c>
      <c r="E292" s="21" t="inlineStr">
        <is>
          <t>Acid wash</t>
        </is>
      </c>
      <c r="F292" s="21" t="inlineStr">
        <is>
          <t>Mild</t>
        </is>
      </c>
      <c r="G292" s="4" t="inlineStr">
        <is>
          <t>Two step</t>
        </is>
      </c>
      <c r="H292" s="4" t="inlineStr">
        <is>
          <t>HTC</t>
        </is>
      </c>
      <c r="I292" s="4" t="inlineStr">
        <is>
          <t>H2SO4</t>
        </is>
      </c>
      <c r="J292" s="4">
        <f>24*60</f>
        <v/>
      </c>
      <c r="K292" s="4" t="n"/>
      <c r="L292" s="4" t="n">
        <v>180</v>
      </c>
      <c r="M292" s="4" t="inlineStr">
        <is>
          <t>Activation</t>
        </is>
      </c>
      <c r="N292" s="4" t="inlineStr">
        <is>
          <t>KOH</t>
        </is>
      </c>
      <c r="O292" s="20" t="inlineStr">
        <is>
          <t>No</t>
        </is>
      </c>
      <c r="P292" s="20" t="n"/>
      <c r="Q292" s="4" t="n">
        <v>800</v>
      </c>
      <c r="R292" s="20" t="n">
        <v>2500</v>
      </c>
      <c r="S292" s="20" t="n">
        <v>0.37</v>
      </c>
      <c r="T292" s="22" t="n">
        <v>0.62</v>
      </c>
      <c r="U292" s="20" t="n"/>
      <c r="V292" s="20" t="n">
        <v>0.79</v>
      </c>
      <c r="W292" s="20" t="n">
        <v>1.69</v>
      </c>
      <c r="X292" s="20" t="n">
        <v>95.94</v>
      </c>
      <c r="Y292" s="24" t="inlineStr">
        <is>
          <t>[80]</t>
        </is>
      </c>
    </row>
    <row r="293" ht="15" customHeight="1">
      <c r="A293" s="20" t="inlineStr">
        <is>
          <t>Peanut skin</t>
        </is>
      </c>
      <c r="B293" s="21" t="inlineStr">
        <is>
          <t>Carbon (2M HCl + H2O)</t>
        </is>
      </c>
      <c r="C293" s="21" t="inlineStr">
        <is>
          <t>No wash</t>
        </is>
      </c>
      <c r="D293" s="21" t="inlineStr">
        <is>
          <t>No</t>
        </is>
      </c>
      <c r="E293" s="21" t="inlineStr">
        <is>
          <t>Acid wash</t>
        </is>
      </c>
      <c r="F293" s="21" t="inlineStr">
        <is>
          <t>Mild</t>
        </is>
      </c>
      <c r="G293" s="4" t="inlineStr">
        <is>
          <t>Two step</t>
        </is>
      </c>
      <c r="H293" s="4" t="n"/>
      <c r="I293" s="4" t="inlineStr">
        <is>
          <t>H2SO4</t>
        </is>
      </c>
      <c r="J293" s="4">
        <f>24*60</f>
        <v/>
      </c>
      <c r="K293" s="4" t="n"/>
      <c r="L293" s="4" t="n">
        <v>180</v>
      </c>
      <c r="M293" s="4" t="inlineStr">
        <is>
          <t>Activation</t>
        </is>
      </c>
      <c r="N293" s="4" t="inlineStr">
        <is>
          <t>KOH</t>
        </is>
      </c>
      <c r="O293" s="20" t="inlineStr">
        <is>
          <t>No</t>
        </is>
      </c>
      <c r="P293" s="20" t="n"/>
      <c r="Q293" s="4" t="n">
        <v>800</v>
      </c>
      <c r="R293" s="20" t="n">
        <v>1430</v>
      </c>
      <c r="S293" s="20" t="n">
        <v>0.39</v>
      </c>
      <c r="T293" s="22" t="n">
        <v>0.53</v>
      </c>
      <c r="U293" s="20" t="n"/>
      <c r="V293" s="20" t="n">
        <v>0.78</v>
      </c>
      <c r="W293" s="20" t="n">
        <v>0.84</v>
      </c>
      <c r="X293" s="20" t="n">
        <v>95.95</v>
      </c>
      <c r="Y293" s="24" t="inlineStr">
        <is>
          <t>[80]</t>
        </is>
      </c>
    </row>
    <row r="294" ht="15" customHeight="1">
      <c r="A294" s="20" t="inlineStr">
        <is>
          <t>Peanut skin</t>
        </is>
      </c>
      <c r="B294" s="21" t="inlineStr">
        <is>
          <t>Carbon (2M HCl + H2O)</t>
        </is>
      </c>
      <c r="C294" s="21" t="inlineStr">
        <is>
          <t>No wash</t>
        </is>
      </c>
      <c r="D294" s="21" t="inlineStr">
        <is>
          <t>No</t>
        </is>
      </c>
      <c r="E294" s="21" t="inlineStr">
        <is>
          <t>Acid wash</t>
        </is>
      </c>
      <c r="F294" s="21" t="inlineStr">
        <is>
          <t>Mild</t>
        </is>
      </c>
      <c r="G294" s="4" t="inlineStr">
        <is>
          <t>Two step</t>
        </is>
      </c>
      <c r="H294" s="4" t="n"/>
      <c r="I294" s="4" t="inlineStr">
        <is>
          <t>H2SO4</t>
        </is>
      </c>
      <c r="J294" s="4">
        <f>24*60</f>
        <v/>
      </c>
      <c r="K294" s="4" t="n"/>
      <c r="L294" s="4" t="n">
        <v>180</v>
      </c>
      <c r="M294" s="4" t="inlineStr">
        <is>
          <t>Activation</t>
        </is>
      </c>
      <c r="N294" s="4" t="inlineStr">
        <is>
          <t>KOH</t>
        </is>
      </c>
      <c r="O294" s="20" t="inlineStr">
        <is>
          <t>No</t>
        </is>
      </c>
      <c r="P294" s="20" t="n"/>
      <c r="Q294" s="4" t="n">
        <v>800</v>
      </c>
      <c r="R294" s="20" t="n">
        <v>1580</v>
      </c>
      <c r="S294" s="20" t="n">
        <v>0.39</v>
      </c>
      <c r="T294" s="22" t="n">
        <v>0.52</v>
      </c>
      <c r="U294" s="20" t="n"/>
      <c r="V294" s="20" t="n">
        <v>0.6899999999999999</v>
      </c>
      <c r="W294" s="20" t="n">
        <v>1.09</v>
      </c>
      <c r="X294" s="20" t="n">
        <v>96.56</v>
      </c>
      <c r="Y294" s="24" t="inlineStr">
        <is>
          <t>[80]</t>
        </is>
      </c>
    </row>
    <row r="295" ht="15" customHeight="1">
      <c r="A295" s="20" t="inlineStr">
        <is>
          <t>Rape seed shuck</t>
        </is>
      </c>
      <c r="B295" s="21" t="inlineStr">
        <is>
          <t>Biomass (H2O) / Carbon (H2O + EthOH)</t>
        </is>
      </c>
      <c r="C295" s="21" t="inlineStr">
        <is>
          <t>Water wash</t>
        </is>
      </c>
      <c r="D295" s="21" t="inlineStr">
        <is>
          <t>No</t>
        </is>
      </c>
      <c r="E295" s="21" t="inlineStr">
        <is>
          <t>Organic wash</t>
        </is>
      </c>
      <c r="F295" s="21" t="inlineStr">
        <is>
          <t>No</t>
        </is>
      </c>
      <c r="G295" s="4" t="inlineStr">
        <is>
          <t>Two step</t>
        </is>
      </c>
      <c r="H295" s="4" t="inlineStr">
        <is>
          <t>HTC</t>
        </is>
      </c>
      <c r="I295" s="20" t="inlineStr">
        <is>
          <t>HNO3</t>
        </is>
      </c>
      <c r="J295" s="4" t="n">
        <v>1440</v>
      </c>
      <c r="K295" s="4" t="n"/>
      <c r="L295" s="4" t="n">
        <v>180</v>
      </c>
      <c r="M295" s="4" t="inlineStr">
        <is>
          <t xml:space="preserve">Pyrolysis </t>
        </is>
      </c>
      <c r="N295" s="20" t="inlineStr">
        <is>
          <t>No</t>
        </is>
      </c>
      <c r="O295" s="20" t="inlineStr">
        <is>
          <t>No</t>
        </is>
      </c>
      <c r="P295" s="20" t="n"/>
      <c r="Q295" s="4" t="n">
        <v>500</v>
      </c>
      <c r="R295" s="20" t="n">
        <v>360.62</v>
      </c>
      <c r="S295" s="20" t="n"/>
      <c r="T295" s="22" t="n">
        <v>0.42</v>
      </c>
      <c r="U295" s="20" t="n"/>
      <c r="V295" s="20" t="n"/>
      <c r="W295" s="20" t="n">
        <v>0.27</v>
      </c>
      <c r="X295" s="20" t="n"/>
      <c r="Y295" s="24" t="inlineStr">
        <is>
          <t>[81]</t>
        </is>
      </c>
    </row>
    <row r="296" ht="15" customHeight="1">
      <c r="A296" s="20" t="inlineStr">
        <is>
          <t>Rape seed shuck</t>
        </is>
      </c>
      <c r="B296" s="21" t="inlineStr">
        <is>
          <t>Biomass (H2O) / Carbon (H2O + EthOH)</t>
        </is>
      </c>
      <c r="C296" s="21" t="inlineStr">
        <is>
          <t>Water wash</t>
        </is>
      </c>
      <c r="D296" s="21" t="inlineStr">
        <is>
          <t>No</t>
        </is>
      </c>
      <c r="E296" s="21" t="inlineStr">
        <is>
          <t>Organic wash</t>
        </is>
      </c>
      <c r="F296" s="21" t="inlineStr">
        <is>
          <t>No</t>
        </is>
      </c>
      <c r="G296" s="4" t="inlineStr">
        <is>
          <t>Two step</t>
        </is>
      </c>
      <c r="H296" s="4" t="inlineStr">
        <is>
          <t>HTC</t>
        </is>
      </c>
      <c r="I296" s="20" t="inlineStr">
        <is>
          <t>HNO3</t>
        </is>
      </c>
      <c r="J296" s="4" t="n">
        <v>1440</v>
      </c>
      <c r="K296" s="4" t="n"/>
      <c r="L296" s="4" t="n">
        <v>180</v>
      </c>
      <c r="M296" s="4" t="inlineStr">
        <is>
          <t xml:space="preserve">Pyrolysis </t>
        </is>
      </c>
      <c r="N296" s="20" t="inlineStr">
        <is>
          <t>No</t>
        </is>
      </c>
      <c r="O296" s="20" t="inlineStr">
        <is>
          <t>No</t>
        </is>
      </c>
      <c r="P296" s="20" t="n"/>
      <c r="Q296" s="4" t="n">
        <v>600</v>
      </c>
      <c r="R296" s="20" t="n">
        <v>26.8</v>
      </c>
      <c r="S296" s="20" t="n"/>
      <c r="T296" s="22" t="n">
        <v>0.44</v>
      </c>
      <c r="U296" s="20" t="n"/>
      <c r="V296" s="20" t="n"/>
      <c r="W296" s="20" t="n">
        <v>0.17</v>
      </c>
      <c r="X296" s="20" t="n"/>
      <c r="Y296" s="24" t="inlineStr">
        <is>
          <t>[81]</t>
        </is>
      </c>
    </row>
    <row r="297" ht="15" customHeight="1">
      <c r="A297" s="20" t="inlineStr">
        <is>
          <t>Rape seed shuck</t>
        </is>
      </c>
      <c r="B297" s="21" t="inlineStr">
        <is>
          <t>Biomass (H2O) / Carbon (H2O + EthOH)</t>
        </is>
      </c>
      <c r="C297" s="21" t="inlineStr">
        <is>
          <t>Water wash</t>
        </is>
      </c>
      <c r="D297" s="21" t="inlineStr">
        <is>
          <t>No</t>
        </is>
      </c>
      <c r="E297" s="21" t="inlineStr">
        <is>
          <t>Organic wash</t>
        </is>
      </c>
      <c r="F297" s="21" t="inlineStr">
        <is>
          <t>No</t>
        </is>
      </c>
      <c r="G297" s="4" t="inlineStr">
        <is>
          <t>Two step</t>
        </is>
      </c>
      <c r="H297" s="4" t="inlineStr">
        <is>
          <t>HTC</t>
        </is>
      </c>
      <c r="I297" s="20" t="inlineStr">
        <is>
          <t>HNO3</t>
        </is>
      </c>
      <c r="J297" s="4" t="n">
        <v>1440</v>
      </c>
      <c r="K297" s="4" t="n"/>
      <c r="L297" s="4" t="n">
        <v>180</v>
      </c>
      <c r="M297" s="4" t="inlineStr">
        <is>
          <t xml:space="preserve">Pyrolysis </t>
        </is>
      </c>
      <c r="N297" s="20" t="inlineStr">
        <is>
          <t>No</t>
        </is>
      </c>
      <c r="O297" s="20" t="inlineStr">
        <is>
          <t>No</t>
        </is>
      </c>
      <c r="P297" s="20" t="n"/>
      <c r="Q297" s="4" t="n">
        <v>700</v>
      </c>
      <c r="R297" s="20" t="n">
        <v>11.73</v>
      </c>
      <c r="S297" s="20" t="n"/>
      <c r="T297" s="22" t="n">
        <v>0.49</v>
      </c>
      <c r="U297" s="20" t="n"/>
      <c r="V297" s="20" t="n"/>
      <c r="W297" s="20" t="n">
        <v>0.05</v>
      </c>
      <c r="X297" s="20" t="n">
        <v>78.2</v>
      </c>
      <c r="Y297" s="24" t="inlineStr">
        <is>
          <t>[81]</t>
        </is>
      </c>
    </row>
    <row r="298" ht="15" customHeight="1">
      <c r="A298" s="20" t="inlineStr">
        <is>
          <t>Rape seed shuck</t>
        </is>
      </c>
      <c r="B298" s="21" t="inlineStr">
        <is>
          <t>Biomass (H2O) / Carbon (H2O + EthOH)</t>
        </is>
      </c>
      <c r="C298" s="21" t="inlineStr">
        <is>
          <t>Water wash</t>
        </is>
      </c>
      <c r="D298" s="21" t="inlineStr">
        <is>
          <t>No</t>
        </is>
      </c>
      <c r="E298" s="21" t="inlineStr">
        <is>
          <t>Organic wash</t>
        </is>
      </c>
      <c r="F298" s="21" t="inlineStr">
        <is>
          <t>No</t>
        </is>
      </c>
      <c r="G298" s="4" t="inlineStr">
        <is>
          <t>Two step</t>
        </is>
      </c>
      <c r="H298" s="4" t="inlineStr">
        <is>
          <t>HTC</t>
        </is>
      </c>
      <c r="I298" s="20" t="inlineStr">
        <is>
          <t>HNO3</t>
        </is>
      </c>
      <c r="J298" s="4" t="n">
        <v>1440</v>
      </c>
      <c r="K298" s="4" t="n"/>
      <c r="L298" s="4" t="n">
        <v>180</v>
      </c>
      <c r="M298" s="4" t="inlineStr">
        <is>
          <t xml:space="preserve">Pyrolysis </t>
        </is>
      </c>
      <c r="N298" s="20" t="inlineStr">
        <is>
          <t>No</t>
        </is>
      </c>
      <c r="O298" s="20" t="inlineStr">
        <is>
          <t>No</t>
        </is>
      </c>
      <c r="P298" s="20" t="n"/>
      <c r="Q298" s="4" t="n">
        <v>800</v>
      </c>
      <c r="R298" s="20" t="n">
        <v>53.98</v>
      </c>
      <c r="S298" s="20" t="n"/>
      <c r="T298" s="22" t="n">
        <v>0.53</v>
      </c>
      <c r="U298" s="20" t="n"/>
      <c r="V298" s="20" t="n"/>
      <c r="W298" s="20" t="n">
        <v>0.15</v>
      </c>
      <c r="X298" s="20" t="n"/>
      <c r="Y298" s="24" t="inlineStr">
        <is>
          <t>[81]</t>
        </is>
      </c>
    </row>
    <row r="299" ht="15" customHeight="1">
      <c r="A299" s="20" t="inlineStr">
        <is>
          <t>Rape pollen</t>
        </is>
      </c>
      <c r="B299" s="21" t="inlineStr">
        <is>
          <t>Biomass (H2O) / Carbon (EtOH + H2O)</t>
        </is>
      </c>
      <c r="C299" s="21" t="inlineStr">
        <is>
          <t>Water wash</t>
        </is>
      </c>
      <c r="D299" s="21" t="inlineStr">
        <is>
          <t>No</t>
        </is>
      </c>
      <c r="E299" s="21" t="inlineStr">
        <is>
          <t>Organic wash</t>
        </is>
      </c>
      <c r="F299" s="21" t="inlineStr">
        <is>
          <t>No</t>
        </is>
      </c>
      <c r="G299" s="4" t="inlineStr">
        <is>
          <t>Two step</t>
        </is>
      </c>
      <c r="H299" s="4" t="inlineStr">
        <is>
          <t>HTC</t>
        </is>
      </c>
      <c r="I299" s="20" t="inlineStr">
        <is>
          <t>H2SO4</t>
        </is>
      </c>
      <c r="J299" s="4" t="n">
        <v>1440</v>
      </c>
      <c r="K299" s="4" t="n"/>
      <c r="L299" s="4" t="n">
        <v>180</v>
      </c>
      <c r="M299" s="4" t="inlineStr">
        <is>
          <t xml:space="preserve">Pyrolysis </t>
        </is>
      </c>
      <c r="N299" s="20" t="inlineStr">
        <is>
          <t>No</t>
        </is>
      </c>
      <c r="O299" s="20" t="inlineStr">
        <is>
          <t>No</t>
        </is>
      </c>
      <c r="P299" s="20" t="n"/>
      <c r="Q299" s="4" t="n">
        <v>500</v>
      </c>
      <c r="R299" s="20" t="n">
        <v>6.2</v>
      </c>
      <c r="S299" s="20" t="n">
        <v>0.354</v>
      </c>
      <c r="T299" s="22" t="n">
        <v>0.59</v>
      </c>
      <c r="U299" s="20" t="n">
        <v>2.6</v>
      </c>
      <c r="V299" s="20" t="n">
        <v>1.2</v>
      </c>
      <c r="W299" s="20" t="n">
        <v>0.017</v>
      </c>
      <c r="X299" s="20" t="n">
        <v>91.59</v>
      </c>
      <c r="Y299" s="24" t="inlineStr">
        <is>
          <t>[82]</t>
        </is>
      </c>
    </row>
    <row r="300" ht="15" customHeight="1">
      <c r="A300" s="20" t="inlineStr">
        <is>
          <t>Rape pollen</t>
        </is>
      </c>
      <c r="B300" s="21" t="inlineStr">
        <is>
          <t>Biomass (H2O) / Carbon (EtOH + H2O)</t>
        </is>
      </c>
      <c r="C300" s="21" t="inlineStr">
        <is>
          <t>Water wash</t>
        </is>
      </c>
      <c r="D300" s="21" t="inlineStr">
        <is>
          <t>No</t>
        </is>
      </c>
      <c r="E300" s="21" t="inlineStr">
        <is>
          <t>Organic wash</t>
        </is>
      </c>
      <c r="F300" s="21" t="inlineStr">
        <is>
          <t>No</t>
        </is>
      </c>
      <c r="G300" s="4" t="inlineStr">
        <is>
          <t>Two step</t>
        </is>
      </c>
      <c r="H300" s="4" t="inlineStr">
        <is>
          <t>HTC</t>
        </is>
      </c>
      <c r="I300" s="20" t="inlineStr">
        <is>
          <t>H2SO4</t>
        </is>
      </c>
      <c r="J300" s="4" t="n">
        <v>1440</v>
      </c>
      <c r="K300" s="4" t="n"/>
      <c r="L300" s="4" t="n">
        <v>180</v>
      </c>
      <c r="M300" s="4" t="inlineStr">
        <is>
          <t xml:space="preserve">Pyrolysis </t>
        </is>
      </c>
      <c r="N300" s="20" t="inlineStr">
        <is>
          <t>No</t>
        </is>
      </c>
      <c r="O300" s="20" t="inlineStr">
        <is>
          <t>No</t>
        </is>
      </c>
      <c r="P300" s="20" t="n"/>
      <c r="Q300" s="4" t="n">
        <v>600</v>
      </c>
      <c r="R300" s="20" t="n"/>
      <c r="S300" s="20" t="n">
        <v>0.37</v>
      </c>
      <c r="T300" s="22" t="n">
        <v>0.84</v>
      </c>
      <c r="U300" s="20" t="n">
        <v>3.7</v>
      </c>
      <c r="V300" s="20" t="n">
        <v>1.26</v>
      </c>
      <c r="W300" s="20" t="n"/>
      <c r="X300" s="20" t="n">
        <v>93.54000000000001</v>
      </c>
      <c r="Y300" s="24" t="inlineStr">
        <is>
          <t>[82]</t>
        </is>
      </c>
    </row>
    <row r="301" ht="15" customHeight="1">
      <c r="A301" s="20" t="inlineStr">
        <is>
          <t>Rape pollen</t>
        </is>
      </c>
      <c r="B301" s="21" t="inlineStr">
        <is>
          <t>Biomass (H2O) / Carbon (EtOH + H2O)</t>
        </is>
      </c>
      <c r="C301" s="21" t="inlineStr">
        <is>
          <t>Water wash</t>
        </is>
      </c>
      <c r="D301" s="21" t="inlineStr">
        <is>
          <t>No</t>
        </is>
      </c>
      <c r="E301" s="21" t="inlineStr">
        <is>
          <t>Organic wash</t>
        </is>
      </c>
      <c r="F301" s="21" t="inlineStr">
        <is>
          <t>No</t>
        </is>
      </c>
      <c r="G301" s="4" t="inlineStr">
        <is>
          <t>Two step</t>
        </is>
      </c>
      <c r="H301" s="4" t="inlineStr">
        <is>
          <t>HTC</t>
        </is>
      </c>
      <c r="I301" s="20" t="inlineStr">
        <is>
          <t>H2SO4</t>
        </is>
      </c>
      <c r="J301" s="4" t="n">
        <v>1440</v>
      </c>
      <c r="K301" s="4" t="n"/>
      <c r="L301" s="4" t="n">
        <v>180</v>
      </c>
      <c r="M301" s="4" t="inlineStr">
        <is>
          <t xml:space="preserve">Pyrolysis </t>
        </is>
      </c>
      <c r="N301" s="20" t="inlineStr">
        <is>
          <t>No</t>
        </is>
      </c>
      <c r="O301" s="20" t="inlineStr">
        <is>
          <t>No</t>
        </is>
      </c>
      <c r="P301" s="20" t="n"/>
      <c r="Q301" s="4" t="n">
        <v>800</v>
      </c>
      <c r="R301" s="20" t="n"/>
      <c r="S301" s="20" t="n">
        <v>0.353</v>
      </c>
      <c r="T301" s="22" t="n">
        <v>0.54</v>
      </c>
      <c r="U301" s="20" t="n">
        <v>2.38</v>
      </c>
      <c r="V301" s="20" t="n">
        <v>1.13</v>
      </c>
      <c r="W301" s="20" t="n"/>
      <c r="X301" s="20" t="n">
        <v>95.36</v>
      </c>
      <c r="Y301" s="24" t="inlineStr">
        <is>
          <t>[82]</t>
        </is>
      </c>
    </row>
    <row r="302" ht="15" customHeight="1">
      <c r="A302" s="20" t="inlineStr">
        <is>
          <t>Rape pollen</t>
        </is>
      </c>
      <c r="B302" s="21" t="inlineStr">
        <is>
          <t>Biomass (H2O) / Carbon (EtOH + H2O)</t>
        </is>
      </c>
      <c r="C302" s="21" t="inlineStr">
        <is>
          <t>Water wash</t>
        </is>
      </c>
      <c r="D302" s="21" t="inlineStr">
        <is>
          <t>No</t>
        </is>
      </c>
      <c r="E302" s="21" t="inlineStr">
        <is>
          <t>Organic wash</t>
        </is>
      </c>
      <c r="F302" s="21" t="inlineStr">
        <is>
          <t>No</t>
        </is>
      </c>
      <c r="G302" s="4" t="inlineStr">
        <is>
          <t>Two step</t>
        </is>
      </c>
      <c r="H302" s="4" t="inlineStr">
        <is>
          <t>HTC</t>
        </is>
      </c>
      <c r="I302" s="20" t="inlineStr">
        <is>
          <t>H2SO4</t>
        </is>
      </c>
      <c r="J302" s="4" t="n">
        <v>1440</v>
      </c>
      <c r="K302" s="4" t="n"/>
      <c r="L302" s="4" t="n">
        <v>180</v>
      </c>
      <c r="M302" s="4" t="inlineStr">
        <is>
          <t xml:space="preserve">Pyrolysis </t>
        </is>
      </c>
      <c r="N302" s="20" t="inlineStr">
        <is>
          <t>No</t>
        </is>
      </c>
      <c r="O302" s="20" t="inlineStr">
        <is>
          <t>No</t>
        </is>
      </c>
      <c r="P302" s="20" t="n"/>
      <c r="Q302" s="4" t="n">
        <v>1000</v>
      </c>
      <c r="R302" s="20" t="n">
        <v>11.3</v>
      </c>
      <c r="S302" s="20" t="n">
        <v>0.347</v>
      </c>
      <c r="T302" s="22" t="n">
        <v>0.47</v>
      </c>
      <c r="U302" s="20" t="n">
        <v>2.07</v>
      </c>
      <c r="V302" s="20" t="n">
        <v>1.12</v>
      </c>
      <c r="W302" s="20" t="n">
        <v>0.027</v>
      </c>
      <c r="X302" s="20" t="n">
        <v>96.25</v>
      </c>
      <c r="Y302" s="24" t="inlineStr">
        <is>
          <t>[82]</t>
        </is>
      </c>
    </row>
    <row r="303" ht="15" customHeight="1">
      <c r="A303" s="20" t="inlineStr">
        <is>
          <t>Apple pomace</t>
        </is>
      </c>
      <c r="B303" s="21" t="inlineStr">
        <is>
          <t>Carbon (EtOH + H2O)</t>
        </is>
      </c>
      <c r="C303" s="21" t="inlineStr">
        <is>
          <t>No wash</t>
        </is>
      </c>
      <c r="D303" s="21" t="inlineStr">
        <is>
          <t>No</t>
        </is>
      </c>
      <c r="E303" s="21" t="inlineStr">
        <is>
          <t>Organic wash</t>
        </is>
      </c>
      <c r="F303" s="21" t="inlineStr">
        <is>
          <t>No</t>
        </is>
      </c>
      <c r="G303" s="4" t="inlineStr">
        <is>
          <t>Two step</t>
        </is>
      </c>
      <c r="H303" s="4" t="inlineStr">
        <is>
          <t>HTC</t>
        </is>
      </c>
      <c r="I303" s="20" t="inlineStr">
        <is>
          <t>KOH</t>
        </is>
      </c>
      <c r="J303" s="4" t="n">
        <v>30</v>
      </c>
      <c r="K303" s="4" t="n"/>
      <c r="L303" s="4" t="n">
        <v>180</v>
      </c>
      <c r="M303" s="4" t="inlineStr">
        <is>
          <t xml:space="preserve">Pyrolysis </t>
        </is>
      </c>
      <c r="N303" s="20" t="inlineStr">
        <is>
          <t>No</t>
        </is>
      </c>
      <c r="O303" s="20" t="inlineStr">
        <is>
          <t>No</t>
        </is>
      </c>
      <c r="P303" s="20" t="n"/>
      <c r="Q303" s="4" t="n">
        <v>500</v>
      </c>
      <c r="R303" s="20" t="n">
        <v>81.7</v>
      </c>
      <c r="S303" s="20" t="n">
        <v>0.384</v>
      </c>
      <c r="T303" s="22" t="n">
        <v>0.92</v>
      </c>
      <c r="U303" s="20" t="n"/>
      <c r="V303" s="20" t="n"/>
      <c r="W303" s="20" t="n"/>
      <c r="X303" s="20" t="n"/>
      <c r="Y303" s="24" t="inlineStr">
        <is>
          <t>[83]</t>
        </is>
      </c>
    </row>
    <row r="304" ht="15" customHeight="1">
      <c r="A304" s="20" t="inlineStr">
        <is>
          <t>Apple pomace</t>
        </is>
      </c>
      <c r="B304" s="21" t="inlineStr">
        <is>
          <t>Carbon (EtOH + H2O)</t>
        </is>
      </c>
      <c r="C304" s="21" t="inlineStr">
        <is>
          <t>No wash</t>
        </is>
      </c>
      <c r="D304" s="21" t="inlineStr">
        <is>
          <t>No</t>
        </is>
      </c>
      <c r="E304" s="21" t="inlineStr">
        <is>
          <t>Organic wash</t>
        </is>
      </c>
      <c r="F304" s="21" t="inlineStr">
        <is>
          <t>No</t>
        </is>
      </c>
      <c r="G304" s="4" t="inlineStr">
        <is>
          <t>Two step</t>
        </is>
      </c>
      <c r="H304" s="4" t="inlineStr">
        <is>
          <t>HTC</t>
        </is>
      </c>
      <c r="I304" s="20" t="inlineStr">
        <is>
          <t>KOH</t>
        </is>
      </c>
      <c r="J304" s="4" t="n">
        <v>30</v>
      </c>
      <c r="K304" s="4" t="n"/>
      <c r="L304" s="4" t="n">
        <v>180</v>
      </c>
      <c r="M304" s="4" t="inlineStr">
        <is>
          <t xml:space="preserve">Pyrolysis </t>
        </is>
      </c>
      <c r="N304" s="20" t="inlineStr">
        <is>
          <t>No</t>
        </is>
      </c>
      <c r="O304" s="20" t="inlineStr">
        <is>
          <t>No</t>
        </is>
      </c>
      <c r="P304" s="20" t="n"/>
      <c r="Q304" s="4" t="n">
        <v>600</v>
      </c>
      <c r="R304" s="20" t="n">
        <v>117.4</v>
      </c>
      <c r="S304" s="20" t="n">
        <v>0.372</v>
      </c>
      <c r="T304" s="22" t="n">
        <v>1.08</v>
      </c>
      <c r="U304" s="20" t="n"/>
      <c r="V304" s="20" t="n"/>
      <c r="W304" s="20" t="n"/>
      <c r="X304" s="20" t="n"/>
      <c r="Y304" s="24" t="inlineStr">
        <is>
          <t>[83]</t>
        </is>
      </c>
    </row>
    <row r="305" ht="15" customHeight="1">
      <c r="A305" s="20" t="inlineStr">
        <is>
          <t>Apple pomace</t>
        </is>
      </c>
      <c r="B305" s="21" t="inlineStr">
        <is>
          <t>Carbon (EtOH + H2O)</t>
        </is>
      </c>
      <c r="C305" s="21" t="inlineStr">
        <is>
          <t>No wash</t>
        </is>
      </c>
      <c r="D305" s="21" t="inlineStr">
        <is>
          <t>No</t>
        </is>
      </c>
      <c r="E305" s="21" t="inlineStr">
        <is>
          <t>Organic wash</t>
        </is>
      </c>
      <c r="F305" s="21" t="inlineStr">
        <is>
          <t>No</t>
        </is>
      </c>
      <c r="G305" s="4" t="inlineStr">
        <is>
          <t>Two step</t>
        </is>
      </c>
      <c r="H305" s="4" t="inlineStr">
        <is>
          <t>HTC</t>
        </is>
      </c>
      <c r="I305" s="20" t="inlineStr">
        <is>
          <t>KOH</t>
        </is>
      </c>
      <c r="J305" s="4" t="n">
        <v>30</v>
      </c>
      <c r="K305" s="4" t="n"/>
      <c r="L305" s="4" t="n">
        <v>180</v>
      </c>
      <c r="M305" s="4" t="inlineStr">
        <is>
          <t xml:space="preserve">Pyrolysis </t>
        </is>
      </c>
      <c r="N305" s="20" t="inlineStr">
        <is>
          <t>No</t>
        </is>
      </c>
      <c r="O305" s="20" t="inlineStr">
        <is>
          <t>No</t>
        </is>
      </c>
      <c r="P305" s="20" t="n"/>
      <c r="Q305" s="4" t="n">
        <v>700</v>
      </c>
      <c r="R305" s="20" t="n">
        <v>66.5</v>
      </c>
      <c r="S305" s="20" t="n">
        <v>0.359</v>
      </c>
      <c r="T305" s="22" t="n">
        <v>1.13</v>
      </c>
      <c r="U305" s="20" t="n"/>
      <c r="V305" s="20" t="n"/>
      <c r="W305" s="20" t="n"/>
      <c r="X305" s="20" t="n"/>
      <c r="Y305" s="24" t="inlineStr">
        <is>
          <t>[83]</t>
        </is>
      </c>
    </row>
    <row r="306" ht="15" customHeight="1">
      <c r="A306" s="20" t="inlineStr">
        <is>
          <t>Shaddock peel</t>
        </is>
      </c>
      <c r="B306" s="21" t="inlineStr">
        <is>
          <t>Carbon (EtOH + H2O)</t>
        </is>
      </c>
      <c r="C306" s="21" t="inlineStr">
        <is>
          <t>No wash</t>
        </is>
      </c>
      <c r="D306" s="21" t="inlineStr">
        <is>
          <t>No</t>
        </is>
      </c>
      <c r="E306" s="21" t="inlineStr">
        <is>
          <t>Organic wash</t>
        </is>
      </c>
      <c r="F306" s="21" t="inlineStr">
        <is>
          <t>No</t>
        </is>
      </c>
      <c r="G306" s="4" t="inlineStr">
        <is>
          <t>Two step</t>
        </is>
      </c>
      <c r="H306" s="4" t="inlineStr">
        <is>
          <t>HTC</t>
        </is>
      </c>
      <c r="I306" s="20" t="inlineStr">
        <is>
          <t>H2SO4</t>
        </is>
      </c>
      <c r="J306" s="4" t="n">
        <v>1440</v>
      </c>
      <c r="K306" s="4" t="n"/>
      <c r="L306" s="4" t="n">
        <v>180</v>
      </c>
      <c r="M306" s="4" t="inlineStr">
        <is>
          <t xml:space="preserve">Pyrolysis </t>
        </is>
      </c>
      <c r="N306" s="20" t="inlineStr">
        <is>
          <t>No</t>
        </is>
      </c>
      <c r="O306" s="20" t="inlineStr">
        <is>
          <t>No</t>
        </is>
      </c>
      <c r="P306" s="20" t="n"/>
      <c r="Q306" s="4" t="n">
        <v>500</v>
      </c>
      <c r="R306" s="20" t="n">
        <v>473</v>
      </c>
      <c r="S306" s="20" t="n">
        <v>0.384</v>
      </c>
      <c r="T306" s="22" t="n">
        <v>0.49</v>
      </c>
      <c r="U306" s="20" t="n"/>
      <c r="V306" s="20" t="n"/>
      <c r="W306" s="20" t="n"/>
      <c r="X306" s="20" t="n">
        <v>80.04000000000001</v>
      </c>
      <c r="Y306" s="24" t="inlineStr">
        <is>
          <t>[84]</t>
        </is>
      </c>
    </row>
    <row r="307" ht="15" customHeight="1">
      <c r="A307" s="20" t="inlineStr">
        <is>
          <t>Shaddock peel</t>
        </is>
      </c>
      <c r="B307" s="21" t="inlineStr">
        <is>
          <t>Carbon (EtOH + H2O)</t>
        </is>
      </c>
      <c r="C307" s="21" t="inlineStr">
        <is>
          <t>No wash</t>
        </is>
      </c>
      <c r="D307" s="21" t="inlineStr">
        <is>
          <t>No</t>
        </is>
      </c>
      <c r="E307" s="21" t="inlineStr">
        <is>
          <t>Organic wash</t>
        </is>
      </c>
      <c r="F307" s="21" t="inlineStr">
        <is>
          <t>No</t>
        </is>
      </c>
      <c r="G307" s="4" t="inlineStr">
        <is>
          <t>Two step</t>
        </is>
      </c>
      <c r="H307" s="4" t="inlineStr">
        <is>
          <t>HTC</t>
        </is>
      </c>
      <c r="I307" s="20" t="inlineStr">
        <is>
          <t>H2SO4</t>
        </is>
      </c>
      <c r="J307" s="4" t="n">
        <v>1440</v>
      </c>
      <c r="K307" s="4" t="n"/>
      <c r="L307" s="4" t="n">
        <v>180</v>
      </c>
      <c r="M307" s="4" t="inlineStr">
        <is>
          <t xml:space="preserve">Pyrolysis </t>
        </is>
      </c>
      <c r="N307" s="20" t="inlineStr">
        <is>
          <t>No</t>
        </is>
      </c>
      <c r="O307" s="20" t="inlineStr">
        <is>
          <t>No</t>
        </is>
      </c>
      <c r="P307" s="20" t="n"/>
      <c r="Q307" s="4" t="n">
        <v>600</v>
      </c>
      <c r="R307" s="20" t="n">
        <v>538</v>
      </c>
      <c r="S307" s="20" t="n">
        <v>0.381</v>
      </c>
      <c r="T307" s="22" t="n">
        <v>0.57</v>
      </c>
      <c r="U307" s="20" t="n"/>
      <c r="V307" s="20" t="n"/>
      <c r="W307" s="20" t="n"/>
      <c r="X307" s="20" t="n">
        <v>86.97</v>
      </c>
      <c r="Y307" s="24" t="inlineStr">
        <is>
          <t>[84]</t>
        </is>
      </c>
    </row>
    <row r="308" ht="15" customHeight="1">
      <c r="A308" s="20" t="inlineStr">
        <is>
          <t>Shaddock peel</t>
        </is>
      </c>
      <c r="B308" s="21" t="inlineStr">
        <is>
          <t>Carbon (EtOH + H2O)</t>
        </is>
      </c>
      <c r="C308" s="21" t="inlineStr">
        <is>
          <t>No wash</t>
        </is>
      </c>
      <c r="D308" s="21" t="inlineStr">
        <is>
          <t>No</t>
        </is>
      </c>
      <c r="E308" s="21" t="inlineStr">
        <is>
          <t>Organic wash</t>
        </is>
      </c>
      <c r="F308" s="21" t="inlineStr">
        <is>
          <t>No</t>
        </is>
      </c>
      <c r="G308" s="4" t="inlineStr">
        <is>
          <t>Two step</t>
        </is>
      </c>
      <c r="H308" s="4" t="inlineStr">
        <is>
          <t>HTC</t>
        </is>
      </c>
      <c r="I308" s="20" t="inlineStr">
        <is>
          <t>H2SO4</t>
        </is>
      </c>
      <c r="J308" s="4" t="n">
        <v>1440</v>
      </c>
      <c r="K308" s="4" t="n"/>
      <c r="L308" s="4" t="n">
        <v>180</v>
      </c>
      <c r="M308" s="4" t="inlineStr">
        <is>
          <t xml:space="preserve">Pyrolysis </t>
        </is>
      </c>
      <c r="N308" s="20" t="inlineStr">
        <is>
          <t>No</t>
        </is>
      </c>
      <c r="O308" s="20" t="inlineStr">
        <is>
          <t>No</t>
        </is>
      </c>
      <c r="P308" s="20" t="n"/>
      <c r="Q308" s="4" t="n">
        <v>700</v>
      </c>
      <c r="R308" s="20" t="n">
        <v>515</v>
      </c>
      <c r="S308" s="20" t="n">
        <v>0.379</v>
      </c>
      <c r="T308" s="22" t="n">
        <v>0.76</v>
      </c>
      <c r="U308" s="20" t="n"/>
      <c r="V308" s="20" t="n"/>
      <c r="W308" s="20" t="n"/>
      <c r="X308" s="20" t="n">
        <v>89.06999999999999</v>
      </c>
      <c r="Y308" s="24" t="inlineStr">
        <is>
          <t>[84]</t>
        </is>
      </c>
    </row>
    <row r="309" ht="15" customHeight="1">
      <c r="A309" s="4" t="inlineStr">
        <is>
          <t>Fir wood</t>
        </is>
      </c>
      <c r="B309" s="5" t="inlineStr">
        <is>
          <t>3% H2SO4</t>
        </is>
      </c>
      <c r="C309" s="5" t="inlineStr">
        <is>
          <t>Acid wash</t>
        </is>
      </c>
      <c r="D309" s="5" t="inlineStr">
        <is>
          <t>Mild</t>
        </is>
      </c>
      <c r="E309" s="5" t="inlineStr">
        <is>
          <t>No wash</t>
        </is>
      </c>
      <c r="F309" s="5" t="inlineStr">
        <is>
          <t>No wash</t>
        </is>
      </c>
      <c r="G309" s="4" t="inlineStr">
        <is>
          <t>Two step</t>
        </is>
      </c>
      <c r="H309" s="4" t="inlineStr">
        <is>
          <t>Pyrolysis</t>
        </is>
      </c>
      <c r="I309" s="4" t="inlineStr">
        <is>
          <t>No</t>
        </is>
      </c>
      <c r="J309" s="4" t="n">
        <v>60</v>
      </c>
      <c r="K309" s="4" t="n">
        <v>10</v>
      </c>
      <c r="L309" s="4" t="n">
        <v>800</v>
      </c>
      <c r="M309" s="4" t="inlineStr">
        <is>
          <t>No</t>
        </is>
      </c>
      <c r="N309" s="4" t="inlineStr">
        <is>
          <t>No</t>
        </is>
      </c>
      <c r="O309" s="4" t="inlineStr">
        <is>
          <t>No</t>
        </is>
      </c>
      <c r="P309" s="4" t="inlineStr">
        <is>
          <t>No</t>
        </is>
      </c>
      <c r="Q309" s="4" t="inlineStr">
        <is>
          <t>No</t>
        </is>
      </c>
      <c r="R309" s="4" t="n">
        <v>35.5</v>
      </c>
      <c r="S309" s="4" t="n">
        <v>0.391</v>
      </c>
      <c r="T309" s="23" t="n">
        <v>0.55</v>
      </c>
      <c r="U309" s="4" t="n">
        <v>2.95</v>
      </c>
      <c r="V309" s="4" t="n">
        <v>0.92</v>
      </c>
      <c r="W309" s="4" t="n">
        <v>0.032</v>
      </c>
      <c r="X309" s="4" t="n">
        <v>89.94</v>
      </c>
      <c r="Y309" s="29" t="inlineStr">
        <is>
          <t>[84]</t>
        </is>
      </c>
    </row>
    <row r="310" ht="15" customHeight="1">
      <c r="A310" s="4" t="inlineStr">
        <is>
          <t>Fir wood</t>
        </is>
      </c>
      <c r="B310" s="5" t="inlineStr">
        <is>
          <t>3% H2SO4</t>
        </is>
      </c>
      <c r="C310" s="5" t="inlineStr">
        <is>
          <t>Acid wash</t>
        </is>
      </c>
      <c r="D310" s="5" t="inlineStr">
        <is>
          <t>Mild</t>
        </is>
      </c>
      <c r="E310" s="5" t="inlineStr">
        <is>
          <t>No wash</t>
        </is>
      </c>
      <c r="F310" s="5" t="inlineStr">
        <is>
          <t>No wash</t>
        </is>
      </c>
      <c r="G310" s="4" t="inlineStr">
        <is>
          <t>Two step</t>
        </is>
      </c>
      <c r="H310" s="4" t="inlineStr">
        <is>
          <t>Pyrolysis</t>
        </is>
      </c>
      <c r="I310" s="4" t="inlineStr">
        <is>
          <t>No</t>
        </is>
      </c>
      <c r="J310" s="4" t="n">
        <v>60</v>
      </c>
      <c r="K310" s="4" t="n">
        <v>10</v>
      </c>
      <c r="L310" s="4" t="n">
        <v>800</v>
      </c>
      <c r="M310" s="4" t="inlineStr">
        <is>
          <t>Pyrolysis</t>
        </is>
      </c>
      <c r="N310" s="4" t="inlineStr">
        <is>
          <t>No</t>
        </is>
      </c>
      <c r="O310" s="4" t="n">
        <v>480</v>
      </c>
      <c r="P310" s="4" t="n">
        <v>10</v>
      </c>
      <c r="Q310" s="4" t="n">
        <v>1100</v>
      </c>
      <c r="R310" s="4" t="n">
        <v>42.9</v>
      </c>
      <c r="S310" s="4" t="n">
        <v>0.383</v>
      </c>
      <c r="T310" s="23" t="n">
        <v>0.62</v>
      </c>
      <c r="U310" s="4" t="n">
        <v>3.07</v>
      </c>
      <c r="V310" s="4" t="n">
        <v>1.03</v>
      </c>
      <c r="W310" s="4" t="n">
        <v>0.08599999999999999</v>
      </c>
      <c r="X310" s="4" t="n">
        <v>94.04000000000001</v>
      </c>
      <c r="Y310" s="29" t="inlineStr">
        <is>
          <t>[84]</t>
        </is>
      </c>
    </row>
    <row r="311" ht="15" customHeight="1">
      <c r="A311" s="4" t="inlineStr">
        <is>
          <t>Fir wood</t>
        </is>
      </c>
      <c r="B311" s="5" t="inlineStr">
        <is>
          <t>3% H2SO4</t>
        </is>
      </c>
      <c r="C311" s="5" t="inlineStr">
        <is>
          <t>Acid wash</t>
        </is>
      </c>
      <c r="D311" s="5" t="inlineStr">
        <is>
          <t>Mild</t>
        </is>
      </c>
      <c r="E311" s="5" t="inlineStr">
        <is>
          <t>No wash</t>
        </is>
      </c>
      <c r="F311" s="5" t="inlineStr">
        <is>
          <t>No wash</t>
        </is>
      </c>
      <c r="G311" s="4" t="inlineStr">
        <is>
          <t>Two step</t>
        </is>
      </c>
      <c r="H311" s="4" t="inlineStr">
        <is>
          <t>Pyrolysis</t>
        </is>
      </c>
      <c r="I311" s="4" t="inlineStr">
        <is>
          <t>No</t>
        </is>
      </c>
      <c r="J311" s="4" t="n">
        <v>60</v>
      </c>
      <c r="K311" s="4" t="n">
        <v>10</v>
      </c>
      <c r="L311" s="4" t="n">
        <v>800</v>
      </c>
      <c r="M311" s="4" t="inlineStr">
        <is>
          <t>Pyrolysis</t>
        </is>
      </c>
      <c r="N311" s="4" t="inlineStr">
        <is>
          <t>No</t>
        </is>
      </c>
      <c r="O311" s="4" t="n">
        <v>480</v>
      </c>
      <c r="P311" s="4" t="n">
        <v>10</v>
      </c>
      <c r="Q311" s="4" t="n">
        <v>1300</v>
      </c>
      <c r="R311" s="4" t="n">
        <v>23.7</v>
      </c>
      <c r="S311" s="4" t="n">
        <v>0.377</v>
      </c>
      <c r="T311" s="23" t="n">
        <v>0.66</v>
      </c>
      <c r="U311" s="4" t="n">
        <v>3.53</v>
      </c>
      <c r="V311" s="4" t="n">
        <v>1.11</v>
      </c>
      <c r="W311" s="4" t="n">
        <v>0.045</v>
      </c>
      <c r="X311" s="4" t="n">
        <v>95.59999999999999</v>
      </c>
      <c r="Y311" s="29" t="inlineStr">
        <is>
          <t>[84]</t>
        </is>
      </c>
    </row>
    <row r="312" ht="15" customHeight="1">
      <c r="A312" s="4" t="inlineStr">
        <is>
          <t>Fir wood</t>
        </is>
      </c>
      <c r="B312" s="5" t="inlineStr">
        <is>
          <t>3% H2SO4</t>
        </is>
      </c>
      <c r="C312" s="5" t="inlineStr">
        <is>
          <t>Acid wash</t>
        </is>
      </c>
      <c r="D312" s="5" t="inlineStr">
        <is>
          <t>Mild</t>
        </is>
      </c>
      <c r="E312" s="5" t="inlineStr">
        <is>
          <t>No wash</t>
        </is>
      </c>
      <c r="F312" s="5" t="inlineStr">
        <is>
          <t>No wash</t>
        </is>
      </c>
      <c r="G312" s="4" t="inlineStr">
        <is>
          <t>Two step</t>
        </is>
      </c>
      <c r="H312" s="4" t="inlineStr">
        <is>
          <t>Pyrolysis</t>
        </is>
      </c>
      <c r="I312" s="4" t="inlineStr">
        <is>
          <t>No</t>
        </is>
      </c>
      <c r="J312" s="4" t="n">
        <v>60</v>
      </c>
      <c r="K312" s="4" t="n">
        <v>10</v>
      </c>
      <c r="L312" s="4" t="n">
        <v>800</v>
      </c>
      <c r="M312" s="4" t="inlineStr">
        <is>
          <t>Pyrolysis</t>
        </is>
      </c>
      <c r="N312" s="4" t="inlineStr">
        <is>
          <t>No</t>
        </is>
      </c>
      <c r="O312" s="4" t="n">
        <v>480</v>
      </c>
      <c r="P312" s="4" t="n">
        <v>10</v>
      </c>
      <c r="Q312" s="4" t="n">
        <v>1500</v>
      </c>
      <c r="R312" s="4" t="n">
        <v>20.4</v>
      </c>
      <c r="S312" s="4" t="n">
        <v>0.375</v>
      </c>
      <c r="T312" s="23" t="n">
        <v>0.67</v>
      </c>
      <c r="U312" s="4" t="n">
        <v>3.55</v>
      </c>
      <c r="V312" s="4" t="n">
        <v>1.14</v>
      </c>
      <c r="W312" s="4" t="n">
        <v>0.049</v>
      </c>
      <c r="X312" s="4" t="n">
        <v>99.97</v>
      </c>
      <c r="Y312" s="29" t="inlineStr">
        <is>
          <t>[84]</t>
        </is>
      </c>
    </row>
    <row r="313" ht="15" customHeight="1">
      <c r="A313" s="4" t="inlineStr">
        <is>
          <t>Fir wood</t>
        </is>
      </c>
      <c r="B313" s="5" t="inlineStr">
        <is>
          <t>3% H2SO4</t>
        </is>
      </c>
      <c r="C313" s="5" t="inlineStr">
        <is>
          <t>Acid wash</t>
        </is>
      </c>
      <c r="D313" s="5" t="inlineStr">
        <is>
          <t>Mild</t>
        </is>
      </c>
      <c r="E313" s="5" t="inlineStr">
        <is>
          <t>No wash</t>
        </is>
      </c>
      <c r="F313" s="5" t="inlineStr">
        <is>
          <t>No wash</t>
        </is>
      </c>
      <c r="G313" s="4" t="inlineStr">
        <is>
          <t>Two step</t>
        </is>
      </c>
      <c r="H313" s="4" t="inlineStr">
        <is>
          <t>Pyrolysis</t>
        </is>
      </c>
      <c r="I313" s="4" t="inlineStr">
        <is>
          <t>No</t>
        </is>
      </c>
      <c r="J313" s="4" t="n">
        <v>60</v>
      </c>
      <c r="K313" s="4" t="n">
        <v>10</v>
      </c>
      <c r="L313" s="4" t="n">
        <v>800</v>
      </c>
      <c r="M313" s="4" t="inlineStr">
        <is>
          <t>Pyrolysis</t>
        </is>
      </c>
      <c r="N313" s="4" t="inlineStr">
        <is>
          <t>No</t>
        </is>
      </c>
      <c r="O313" s="4" t="n">
        <v>480</v>
      </c>
      <c r="P313" s="4" t="n">
        <v>10</v>
      </c>
      <c r="Q313" s="4" t="n">
        <v>1300</v>
      </c>
      <c r="R313" s="4" t="n">
        <v>10.4</v>
      </c>
      <c r="S313" s="4" t="n">
        <v>0.403</v>
      </c>
      <c r="T313" s="23" t="n">
        <v>0.63</v>
      </c>
      <c r="U313" s="4" t="n">
        <v>3.44</v>
      </c>
      <c r="V313" s="4" t="n">
        <v>1.1</v>
      </c>
      <c r="W313" s="4" t="n">
        <v>0.021</v>
      </c>
      <c r="X313" s="4" t="n">
        <v>91.39</v>
      </c>
      <c r="Y313" s="29" t="inlineStr">
        <is>
          <t>[84]</t>
        </is>
      </c>
    </row>
    <row r="314" ht="15" customHeight="1">
      <c r="A314" s="4" t="inlineStr">
        <is>
          <t>Lignin</t>
        </is>
      </c>
      <c r="B314" s="5" t="inlineStr">
        <is>
          <t>3% H2SO4</t>
        </is>
      </c>
      <c r="C314" s="5" t="inlineStr">
        <is>
          <t>Acid wash</t>
        </is>
      </c>
      <c r="D314" s="5" t="inlineStr">
        <is>
          <t>Mild</t>
        </is>
      </c>
      <c r="E314" s="5" t="inlineStr">
        <is>
          <t>No wash</t>
        </is>
      </c>
      <c r="F314" s="5" t="inlineStr">
        <is>
          <t>No wash</t>
        </is>
      </c>
      <c r="G314" s="4" t="inlineStr">
        <is>
          <t>Two step</t>
        </is>
      </c>
      <c r="H314" s="4" t="inlineStr">
        <is>
          <t>Pyrolysis</t>
        </is>
      </c>
      <c r="I314" s="4" t="inlineStr">
        <is>
          <t>No</t>
        </is>
      </c>
      <c r="J314" s="4" t="n">
        <v>60</v>
      </c>
      <c r="K314" s="4" t="n">
        <v>10</v>
      </c>
      <c r="L314" s="4" t="n">
        <v>800</v>
      </c>
      <c r="M314" s="4" t="inlineStr">
        <is>
          <t>Pyrolysis</t>
        </is>
      </c>
      <c r="N314" s="4" t="inlineStr">
        <is>
          <t>No</t>
        </is>
      </c>
      <c r="O314" s="4" t="n">
        <v>480</v>
      </c>
      <c r="P314" s="4" t="n">
        <v>10</v>
      </c>
      <c r="Q314" s="4" t="n">
        <v>1300</v>
      </c>
      <c r="R314" s="4" t="n">
        <v>38.8</v>
      </c>
      <c r="S314" s="4" t="n">
        <v>0.386</v>
      </c>
      <c r="T314" s="23" t="n">
        <v>0.62</v>
      </c>
      <c r="U314" s="4" t="n">
        <v>3.38</v>
      </c>
      <c r="V314" s="4" t="n">
        <v>1.1</v>
      </c>
      <c r="W314" s="4" t="n">
        <v>0.034</v>
      </c>
      <c r="X314" s="4" t="n">
        <v>93.37</v>
      </c>
      <c r="Y314" s="29" t="inlineStr">
        <is>
          <t>[84]</t>
        </is>
      </c>
    </row>
    <row r="315" ht="15" customHeight="1">
      <c r="A315" s="4" t="inlineStr">
        <is>
          <t>Cellulose</t>
        </is>
      </c>
      <c r="B315" s="5" t="inlineStr">
        <is>
          <t>3% H2SO4</t>
        </is>
      </c>
      <c r="C315" s="5" t="inlineStr">
        <is>
          <t>Acid wash</t>
        </is>
      </c>
      <c r="D315" s="5" t="inlineStr">
        <is>
          <t>Mild</t>
        </is>
      </c>
      <c r="E315" s="5" t="inlineStr">
        <is>
          <t>No wash</t>
        </is>
      </c>
      <c r="F315" s="5" t="inlineStr">
        <is>
          <t>No wash</t>
        </is>
      </c>
      <c r="G315" s="4" t="inlineStr">
        <is>
          <t>Two step</t>
        </is>
      </c>
      <c r="H315" s="4" t="inlineStr">
        <is>
          <t>Pyrolysis</t>
        </is>
      </c>
      <c r="I315" s="4" t="inlineStr">
        <is>
          <t>No</t>
        </is>
      </c>
      <c r="J315" s="4" t="n">
        <v>60</v>
      </c>
      <c r="K315" s="4" t="n">
        <v>10</v>
      </c>
      <c r="L315" s="4" t="n">
        <v>800</v>
      </c>
      <c r="M315" s="4" t="inlineStr">
        <is>
          <t>Pyrolysis</t>
        </is>
      </c>
      <c r="N315" s="4" t="inlineStr">
        <is>
          <t>No</t>
        </is>
      </c>
      <c r="O315" s="4" t="n">
        <v>480</v>
      </c>
      <c r="P315" s="4" t="n">
        <v>10</v>
      </c>
      <c r="Q315" s="4" t="n">
        <v>1300</v>
      </c>
      <c r="R315" s="4" t="n">
        <v>216</v>
      </c>
      <c r="S315" s="4" t="n">
        <v>0.383</v>
      </c>
      <c r="T315" s="23" t="n">
        <v>0.72</v>
      </c>
      <c r="U315" s="4" t="n">
        <v>3.97</v>
      </c>
      <c r="V315" s="4" t="n">
        <v>1.13</v>
      </c>
      <c r="W315" s="4" t="n">
        <v>0.369</v>
      </c>
      <c r="X315" s="4" t="n">
        <v>95.2</v>
      </c>
      <c r="Y315" s="29" t="inlineStr">
        <is>
          <t>[84]</t>
        </is>
      </c>
    </row>
    <row r="316" ht="15" customHeight="1">
      <c r="A316" s="20" t="inlineStr">
        <is>
          <t>Pistachio shells</t>
        </is>
      </c>
      <c r="B316" s="21" t="inlineStr">
        <is>
          <t>Biomass (EtOH + H2O)</t>
        </is>
      </c>
      <c r="C316" s="21" t="inlineStr">
        <is>
          <t>Organic wash</t>
        </is>
      </c>
      <c r="D316" s="21" t="inlineStr">
        <is>
          <t>No</t>
        </is>
      </c>
      <c r="E316" s="21" t="inlineStr">
        <is>
          <t>No wash</t>
        </is>
      </c>
      <c r="F316" s="21" t="inlineStr">
        <is>
          <t>No</t>
        </is>
      </c>
      <c r="G316" s="4" t="inlineStr">
        <is>
          <t>Two step</t>
        </is>
      </c>
      <c r="H316" s="4" t="inlineStr">
        <is>
          <t>HTC</t>
        </is>
      </c>
      <c r="I316" s="20" t="inlineStr">
        <is>
          <t>NaOH</t>
        </is>
      </c>
      <c r="J316" s="4" t="n">
        <v>360</v>
      </c>
      <c r="K316" s="4" t="n"/>
      <c r="L316" s="4" t="n">
        <v>165</v>
      </c>
      <c r="M316" s="4" t="inlineStr">
        <is>
          <t xml:space="preserve">Pyrolysis </t>
        </is>
      </c>
      <c r="N316" s="20" t="inlineStr">
        <is>
          <t>No</t>
        </is>
      </c>
      <c r="O316" s="20" t="inlineStr">
        <is>
          <t>No</t>
        </is>
      </c>
      <c r="P316" s="20" t="n"/>
      <c r="Q316" s="4" t="n">
        <v>800</v>
      </c>
      <c r="R316" s="20" t="n">
        <v>289.9</v>
      </c>
      <c r="S316" s="20" t="n">
        <v>0.379</v>
      </c>
      <c r="T316" s="22" t="n">
        <v>0.379</v>
      </c>
      <c r="U316" s="20" t="n">
        <v>6.36</v>
      </c>
      <c r="V316" s="20" t="n">
        <v>0.954</v>
      </c>
      <c r="W316" s="20" t="n">
        <v>0.201</v>
      </c>
      <c r="X316" s="20" t="n"/>
      <c r="Y316" s="24" t="inlineStr">
        <is>
          <t>[85]</t>
        </is>
      </c>
    </row>
    <row r="317" ht="15" customHeight="1">
      <c r="A317" s="20" t="inlineStr">
        <is>
          <t>Pistachio shells</t>
        </is>
      </c>
      <c r="B317" s="21" t="inlineStr">
        <is>
          <t>Biomass (EtOH + H2O)</t>
        </is>
      </c>
      <c r="C317" s="21" t="inlineStr">
        <is>
          <t>Organic wash</t>
        </is>
      </c>
      <c r="D317" s="21" t="inlineStr">
        <is>
          <t>No</t>
        </is>
      </c>
      <c r="E317" s="21" t="inlineStr">
        <is>
          <t>No wash</t>
        </is>
      </c>
      <c r="F317" s="21" t="inlineStr">
        <is>
          <t>No</t>
        </is>
      </c>
      <c r="G317" s="4" t="inlineStr">
        <is>
          <t>Two step</t>
        </is>
      </c>
      <c r="H317" s="4" t="inlineStr">
        <is>
          <t>HTC</t>
        </is>
      </c>
      <c r="I317" s="20" t="inlineStr">
        <is>
          <t>NaOH</t>
        </is>
      </c>
      <c r="J317" s="4" t="n">
        <v>360</v>
      </c>
      <c r="K317" s="4" t="n"/>
      <c r="L317" s="4" t="n">
        <v>165</v>
      </c>
      <c r="M317" s="4" t="inlineStr">
        <is>
          <t xml:space="preserve">Pyrolysis </t>
        </is>
      </c>
      <c r="N317" s="20" t="inlineStr">
        <is>
          <t>No</t>
        </is>
      </c>
      <c r="O317" s="20" t="inlineStr">
        <is>
          <t>No</t>
        </is>
      </c>
      <c r="P317" s="20" t="n"/>
      <c r="Q317" s="4" t="n">
        <v>900</v>
      </c>
      <c r="R317" s="20" t="n">
        <v>224.02</v>
      </c>
      <c r="S317" s="20" t="n">
        <v>0.373</v>
      </c>
      <c r="T317" s="22" t="n">
        <v>0.388</v>
      </c>
      <c r="U317" s="20" t="n">
        <v>6.5</v>
      </c>
      <c r="V317" s="20" t="n">
        <v>1.068</v>
      </c>
      <c r="W317" s="20" t="n">
        <v>0.122</v>
      </c>
      <c r="X317" s="20" t="n"/>
      <c r="Y317" s="24" t="inlineStr">
        <is>
          <t>[85]</t>
        </is>
      </c>
    </row>
    <row r="318" ht="15" customHeight="1">
      <c r="A318" s="20" t="inlineStr">
        <is>
          <t>Pistachio shells</t>
        </is>
      </c>
      <c r="B318" s="21" t="inlineStr">
        <is>
          <t>Biomass (EtOH + H2O)</t>
        </is>
      </c>
      <c r="C318" s="21" t="inlineStr">
        <is>
          <t>Organic wash</t>
        </is>
      </c>
      <c r="D318" s="21" t="inlineStr">
        <is>
          <t>No</t>
        </is>
      </c>
      <c r="E318" s="21" t="inlineStr">
        <is>
          <t>No wash</t>
        </is>
      </c>
      <c r="F318" s="21" t="inlineStr">
        <is>
          <t>No</t>
        </is>
      </c>
      <c r="G318" s="4" t="inlineStr">
        <is>
          <t>Two step</t>
        </is>
      </c>
      <c r="H318" s="4" t="inlineStr">
        <is>
          <t>HTC</t>
        </is>
      </c>
      <c r="I318" s="20" t="inlineStr">
        <is>
          <t>NaOH</t>
        </is>
      </c>
      <c r="J318" s="4" t="n">
        <v>360</v>
      </c>
      <c r="K318" s="4" t="n"/>
      <c r="L318" s="4" t="n">
        <v>165</v>
      </c>
      <c r="M318" s="4" t="inlineStr">
        <is>
          <t xml:space="preserve">Pyrolysis </t>
        </is>
      </c>
      <c r="N318" s="20" t="inlineStr">
        <is>
          <t>No</t>
        </is>
      </c>
      <c r="O318" s="20" t="inlineStr">
        <is>
          <t>No</t>
        </is>
      </c>
      <c r="P318" s="20" t="n"/>
      <c r="Q318" s="4" t="n">
        <v>1000</v>
      </c>
      <c r="R318" s="20" t="n">
        <v>137.07</v>
      </c>
      <c r="S318" s="20" t="n">
        <v>0.363</v>
      </c>
      <c r="T318" s="22" t="n">
        <v>0.404</v>
      </c>
      <c r="U318" s="20" t="n">
        <v>6.77</v>
      </c>
      <c r="V318" s="20" t="n">
        <v>1.072</v>
      </c>
      <c r="W318" s="20" t="n">
        <v>0.064</v>
      </c>
      <c r="X318" s="20" t="n"/>
      <c r="Y318" s="24" t="inlineStr">
        <is>
          <t>[85]</t>
        </is>
      </c>
    </row>
    <row r="319" ht="15" customHeight="1">
      <c r="A319" s="20" t="inlineStr">
        <is>
          <t>Pistachio shells</t>
        </is>
      </c>
      <c r="B319" s="21" t="inlineStr">
        <is>
          <t>Biomass (EtOH + H2O)</t>
        </is>
      </c>
      <c r="C319" s="21" t="inlineStr">
        <is>
          <t>Organic wash</t>
        </is>
      </c>
      <c r="D319" s="21" t="inlineStr">
        <is>
          <t>No</t>
        </is>
      </c>
      <c r="E319" s="21" t="inlineStr">
        <is>
          <t>No wash</t>
        </is>
      </c>
      <c r="F319" s="21" t="inlineStr">
        <is>
          <t>No</t>
        </is>
      </c>
      <c r="G319" s="4" t="inlineStr">
        <is>
          <t>Two step</t>
        </is>
      </c>
      <c r="H319" s="4" t="inlineStr">
        <is>
          <t>HTC</t>
        </is>
      </c>
      <c r="I319" s="20" t="inlineStr">
        <is>
          <t>NaOH</t>
        </is>
      </c>
      <c r="J319" s="4" t="n">
        <v>360</v>
      </c>
      <c r="K319" s="4" t="n"/>
      <c r="L319" s="4" t="n">
        <v>165</v>
      </c>
      <c r="M319" s="4" t="inlineStr">
        <is>
          <t xml:space="preserve">Pyrolysis </t>
        </is>
      </c>
      <c r="N319" s="20" t="inlineStr">
        <is>
          <t>No</t>
        </is>
      </c>
      <c r="O319" s="20" t="inlineStr">
        <is>
          <t>No</t>
        </is>
      </c>
      <c r="P319" s="20" t="n"/>
      <c r="Q319" s="4" t="n">
        <v>1100</v>
      </c>
      <c r="R319" s="20" t="n">
        <v>194.5</v>
      </c>
      <c r="S319" s="20" t="n">
        <v>0.36</v>
      </c>
      <c r="T319" s="22" t="n">
        <v>0.406</v>
      </c>
      <c r="U319" s="20" t="n">
        <v>6.81</v>
      </c>
      <c r="V319" s="20" t="n">
        <v>1.134</v>
      </c>
      <c r="W319" s="20" t="n">
        <v>0.1</v>
      </c>
      <c r="X319" s="20" t="n"/>
      <c r="Y319" s="24" t="inlineStr">
        <is>
          <t>[85]</t>
        </is>
      </c>
    </row>
    <row r="320" ht="15" customHeight="1">
      <c r="A320" s="20" t="inlineStr">
        <is>
          <t>Peanut skin</t>
        </is>
      </c>
      <c r="B320" s="21" t="inlineStr">
        <is>
          <t>Biomass (H2O) / Carbon (H2O)</t>
        </is>
      </c>
      <c r="C320" s="21" t="inlineStr">
        <is>
          <t>Water wash</t>
        </is>
      </c>
      <c r="D320" s="21" t="inlineStr">
        <is>
          <t>No</t>
        </is>
      </c>
      <c r="E320" s="21" t="inlineStr">
        <is>
          <t>Water wash</t>
        </is>
      </c>
      <c r="F320" s="21" t="inlineStr">
        <is>
          <t>No</t>
        </is>
      </c>
      <c r="G320" s="4" t="inlineStr">
        <is>
          <t>Two step</t>
        </is>
      </c>
      <c r="H320" s="4" t="inlineStr">
        <is>
          <t>HTC</t>
        </is>
      </c>
      <c r="I320" s="20" t="inlineStr">
        <is>
          <t>H2SO4</t>
        </is>
      </c>
      <c r="J320" s="4" t="n">
        <v>120</v>
      </c>
      <c r="K320" s="4" t="n"/>
      <c r="L320" s="4" t="n">
        <v>180</v>
      </c>
      <c r="M320" s="4" t="inlineStr">
        <is>
          <t>Activation</t>
        </is>
      </c>
      <c r="N320" s="4" t="inlineStr">
        <is>
          <t>KOH (0.15)</t>
        </is>
      </c>
      <c r="O320" s="20" t="inlineStr">
        <is>
          <t>No</t>
        </is>
      </c>
      <c r="P320" s="20" t="n"/>
      <c r="Q320" s="4" t="n">
        <v>700</v>
      </c>
      <c r="R320" s="20" t="n">
        <v>68.86</v>
      </c>
      <c r="S320" s="20" t="n"/>
      <c r="T320" s="22" t="n">
        <v>1.05</v>
      </c>
      <c r="U320" s="20" t="n"/>
      <c r="V320" s="20" t="n"/>
      <c r="W320" s="20" t="n"/>
      <c r="X320" s="20" t="n">
        <v>89.12</v>
      </c>
      <c r="Y320" s="24" t="inlineStr">
        <is>
          <t>[86]</t>
        </is>
      </c>
    </row>
    <row r="321" ht="15" customHeight="1">
      <c r="A321" s="20" t="inlineStr">
        <is>
          <t>Peanut skin</t>
        </is>
      </c>
      <c r="B321" s="21" t="inlineStr">
        <is>
          <t>Biomass (H2O) / Carbon (H2O)</t>
        </is>
      </c>
      <c r="C321" s="21" t="inlineStr">
        <is>
          <t>Water wash</t>
        </is>
      </c>
      <c r="D321" s="21" t="inlineStr">
        <is>
          <t>No</t>
        </is>
      </c>
      <c r="E321" s="21" t="inlineStr">
        <is>
          <t>Water wash</t>
        </is>
      </c>
      <c r="F321" s="21" t="inlineStr">
        <is>
          <t>No</t>
        </is>
      </c>
      <c r="G321" s="4" t="inlineStr">
        <is>
          <t>Two step</t>
        </is>
      </c>
      <c r="H321" s="4" t="inlineStr">
        <is>
          <t>HTC</t>
        </is>
      </c>
      <c r="I321" s="20" t="inlineStr">
        <is>
          <t>H2SO4</t>
        </is>
      </c>
      <c r="J321" s="4" t="n">
        <v>120</v>
      </c>
      <c r="K321" s="4" t="n"/>
      <c r="L321" s="4" t="n">
        <v>180</v>
      </c>
      <c r="M321" s="4" t="inlineStr">
        <is>
          <t>Activation</t>
        </is>
      </c>
      <c r="N321" s="4" t="inlineStr">
        <is>
          <t>KOH (0.3)</t>
        </is>
      </c>
      <c r="O321" s="20" t="inlineStr">
        <is>
          <t>No</t>
        </is>
      </c>
      <c r="P321" s="20" t="n"/>
      <c r="Q321" s="4" t="n">
        <v>700</v>
      </c>
      <c r="R321" s="20" t="n">
        <v>55.06</v>
      </c>
      <c r="S321" s="20" t="n"/>
      <c r="T321" s="22" t="n">
        <v>1.09</v>
      </c>
      <c r="U321" s="20" t="n"/>
      <c r="V321" s="20" t="n"/>
      <c r="W321" s="20" t="n"/>
      <c r="X321" s="20" t="n">
        <v>91.59999999999999</v>
      </c>
      <c r="Y321" s="24" t="inlineStr">
        <is>
          <t>[86]</t>
        </is>
      </c>
    </row>
    <row r="322" ht="15" customHeight="1">
      <c r="A322" s="20" t="inlineStr">
        <is>
          <t>Peanut skin</t>
        </is>
      </c>
      <c r="B322" s="21" t="inlineStr">
        <is>
          <t>Biomass (H2O) / Carbon (H2O)</t>
        </is>
      </c>
      <c r="C322" s="21" t="inlineStr">
        <is>
          <t>Water wash</t>
        </is>
      </c>
      <c r="D322" s="21" t="inlineStr">
        <is>
          <t>No</t>
        </is>
      </c>
      <c r="E322" s="21" t="inlineStr">
        <is>
          <t>Water wash</t>
        </is>
      </c>
      <c r="F322" s="21" t="inlineStr">
        <is>
          <t>No</t>
        </is>
      </c>
      <c r="G322" s="4" t="inlineStr">
        <is>
          <t>Two step</t>
        </is>
      </c>
      <c r="H322" s="4" t="inlineStr">
        <is>
          <t>HTC</t>
        </is>
      </c>
      <c r="I322" s="20" t="inlineStr">
        <is>
          <t>H2SO4</t>
        </is>
      </c>
      <c r="J322" s="4" t="n">
        <v>120</v>
      </c>
      <c r="K322" s="4" t="n"/>
      <c r="L322" s="4" t="n">
        <v>180</v>
      </c>
      <c r="M322" s="4" t="inlineStr">
        <is>
          <t>Activation</t>
        </is>
      </c>
      <c r="N322" s="4" t="inlineStr">
        <is>
          <t>KOH (0.45)</t>
        </is>
      </c>
      <c r="O322" s="20" t="inlineStr">
        <is>
          <t>No</t>
        </is>
      </c>
      <c r="P322" s="20" t="n"/>
      <c r="Q322" s="4" t="n">
        <v>700</v>
      </c>
      <c r="R322" s="20" t="n">
        <v>41.22</v>
      </c>
      <c r="S322" s="20" t="n"/>
      <c r="T322" s="22" t="n">
        <v>1.13</v>
      </c>
      <c r="U322" s="20" t="n"/>
      <c r="V322" s="20" t="n"/>
      <c r="W322" s="20" t="n"/>
      <c r="X322" s="20" t="n">
        <v>90.7</v>
      </c>
      <c r="Y322" s="24" t="inlineStr">
        <is>
          <t>[86]</t>
        </is>
      </c>
    </row>
    <row r="323" ht="15" customHeight="1">
      <c r="A323" s="20" t="inlineStr">
        <is>
          <t>Rambutan peel</t>
        </is>
      </c>
      <c r="B323" s="21" t="inlineStr">
        <is>
          <t>Biomass (H2O) / Carbon (EtOH + H2O)</t>
        </is>
      </c>
      <c r="C323" s="21" t="inlineStr">
        <is>
          <t>Water wash</t>
        </is>
      </c>
      <c r="D323" s="21" t="inlineStr">
        <is>
          <t>No</t>
        </is>
      </c>
      <c r="E323" s="21" t="inlineStr">
        <is>
          <t>Organic wash</t>
        </is>
      </c>
      <c r="F323" s="21" t="inlineStr">
        <is>
          <t>No</t>
        </is>
      </c>
      <c r="G323" s="4" t="inlineStr">
        <is>
          <t>Two step</t>
        </is>
      </c>
      <c r="H323" s="4" t="inlineStr">
        <is>
          <t>HTC</t>
        </is>
      </c>
      <c r="I323" s="20" t="inlineStr">
        <is>
          <t>NaOH</t>
        </is>
      </c>
      <c r="J323" s="4" t="n">
        <v>800</v>
      </c>
      <c r="K323" s="4" t="n"/>
      <c r="L323" s="4" t="n">
        <v>200</v>
      </c>
      <c r="M323" s="4" t="inlineStr">
        <is>
          <t>Activation</t>
        </is>
      </c>
      <c r="N323" s="20" t="inlineStr">
        <is>
          <t>No</t>
        </is>
      </c>
      <c r="O323" s="20" t="inlineStr">
        <is>
          <t>No</t>
        </is>
      </c>
      <c r="P323" s="20" t="n"/>
      <c r="Q323" s="4" t="n">
        <v>1000</v>
      </c>
      <c r="R323" s="20" t="n">
        <v>198</v>
      </c>
      <c r="S323" s="20" t="n">
        <v>0.387</v>
      </c>
      <c r="T323" s="22" t="n">
        <v>0.92</v>
      </c>
      <c r="U323" s="20" t="n"/>
      <c r="V323" s="20" t="n"/>
      <c r="W323" s="20" t="n">
        <v>0.12</v>
      </c>
      <c r="X323" s="20" t="n"/>
      <c r="Y323" s="24" t="inlineStr">
        <is>
          <t>[87]</t>
        </is>
      </c>
    </row>
    <row r="324" ht="15" customHeight="1">
      <c r="A324" s="20" t="inlineStr">
        <is>
          <t>Rambutan peel</t>
        </is>
      </c>
      <c r="B324" s="21" t="inlineStr">
        <is>
          <t>Biomass (H2O) / Carbon (EtOH + H2O)</t>
        </is>
      </c>
      <c r="C324" s="21" t="inlineStr">
        <is>
          <t>Water wash</t>
        </is>
      </c>
      <c r="D324" s="21" t="inlineStr">
        <is>
          <t>No</t>
        </is>
      </c>
      <c r="E324" s="21" t="inlineStr">
        <is>
          <t>Organic wash</t>
        </is>
      </c>
      <c r="F324" s="21" t="inlineStr">
        <is>
          <t>No</t>
        </is>
      </c>
      <c r="G324" s="4" t="inlineStr">
        <is>
          <t>Two step</t>
        </is>
      </c>
      <c r="H324" s="4" t="inlineStr">
        <is>
          <t>HTC</t>
        </is>
      </c>
      <c r="I324" s="20" t="inlineStr">
        <is>
          <t>NaOH</t>
        </is>
      </c>
      <c r="J324" s="4" t="n">
        <v>1000</v>
      </c>
      <c r="K324" s="4" t="n"/>
      <c r="L324" s="4" t="n">
        <v>200</v>
      </c>
      <c r="M324" s="4" t="inlineStr">
        <is>
          <t>Activation</t>
        </is>
      </c>
      <c r="N324" s="20" t="inlineStr">
        <is>
          <t>No</t>
        </is>
      </c>
      <c r="O324" s="20" t="inlineStr">
        <is>
          <t>No</t>
        </is>
      </c>
      <c r="P324" s="20" t="n"/>
      <c r="Q324" s="4" t="n">
        <v>1000</v>
      </c>
      <c r="R324" s="20" t="n">
        <v>282</v>
      </c>
      <c r="S324" s="20" t="n">
        <v>0.383</v>
      </c>
      <c r="T324" s="22" t="n">
        <v>0.85</v>
      </c>
      <c r="U324" s="20" t="n"/>
      <c r="V324" s="20" t="n"/>
      <c r="W324" s="20" t="n">
        <v>0.22</v>
      </c>
      <c r="X324" s="20" t="n"/>
      <c r="Y324" s="24" t="inlineStr">
        <is>
          <t>[87]</t>
        </is>
      </c>
    </row>
    <row r="325" ht="15" customHeight="1">
      <c r="A325" s="20" t="inlineStr">
        <is>
          <t>Rambutan peel</t>
        </is>
      </c>
      <c r="B325" s="21" t="inlineStr">
        <is>
          <t>Biomass (H2O) / Carbon (EtOH + H2O)</t>
        </is>
      </c>
      <c r="C325" s="21" t="inlineStr">
        <is>
          <t>Water wash</t>
        </is>
      </c>
      <c r="D325" s="21" t="inlineStr">
        <is>
          <t>No</t>
        </is>
      </c>
      <c r="E325" s="21" t="inlineStr">
        <is>
          <t>Organic wash</t>
        </is>
      </c>
      <c r="F325" s="21" t="inlineStr">
        <is>
          <t>No</t>
        </is>
      </c>
      <c r="G325" s="4" t="inlineStr">
        <is>
          <t>Two step</t>
        </is>
      </c>
      <c r="H325" s="4" t="inlineStr">
        <is>
          <t>HTC</t>
        </is>
      </c>
      <c r="I325" s="20" t="inlineStr">
        <is>
          <t>NaOH</t>
        </is>
      </c>
      <c r="J325" s="4" t="n">
        <v>1200</v>
      </c>
      <c r="K325" s="4" t="n"/>
      <c r="L325" s="4" t="n">
        <v>200</v>
      </c>
      <c r="M325" s="4" t="inlineStr">
        <is>
          <t>Activation</t>
        </is>
      </c>
      <c r="N325" s="20" t="inlineStr">
        <is>
          <t>No</t>
        </is>
      </c>
      <c r="O325" s="20" t="inlineStr">
        <is>
          <t>No</t>
        </is>
      </c>
      <c r="P325" s="20" t="n"/>
      <c r="Q325" s="4" t="n">
        <v>1000</v>
      </c>
      <c r="R325" s="20" t="n">
        <v>254</v>
      </c>
      <c r="S325" s="20" t="n">
        <v>0.381</v>
      </c>
      <c r="T325" s="22" t="n">
        <v>0.8100000000000001</v>
      </c>
      <c r="U325" s="20" t="n"/>
      <c r="V325" s="20" t="n"/>
      <c r="W325" s="20" t="n">
        <v>0.17</v>
      </c>
      <c r="X325" s="20" t="n"/>
      <c r="Y325" s="24" t="inlineStr">
        <is>
          <t>[87]</t>
        </is>
      </c>
    </row>
    <row r="326" ht="15" customHeight="1">
      <c r="A326" s="20" t="inlineStr">
        <is>
          <t>Walnut shell</t>
        </is>
      </c>
      <c r="B326" s="21" t="inlineStr">
        <is>
          <t>Biomass (H2O) / Carbon (H2O + EtOH)</t>
        </is>
      </c>
      <c r="C326" s="21" t="inlineStr">
        <is>
          <t>Water wash</t>
        </is>
      </c>
      <c r="D326" s="21" t="inlineStr">
        <is>
          <t>No</t>
        </is>
      </c>
      <c r="E326" s="21" t="inlineStr">
        <is>
          <t>Organic wash</t>
        </is>
      </c>
      <c r="F326" s="21" t="inlineStr">
        <is>
          <t>No</t>
        </is>
      </c>
      <c r="G326" s="4" t="inlineStr">
        <is>
          <t>Two step</t>
        </is>
      </c>
      <c r="H326" s="4" t="inlineStr">
        <is>
          <t>HTC</t>
        </is>
      </c>
      <c r="I326" s="20" t="inlineStr">
        <is>
          <t>KOH</t>
        </is>
      </c>
      <c r="J326" s="4" t="n">
        <v>720</v>
      </c>
      <c r="K326" s="4" t="n"/>
      <c r="L326" s="4" t="n">
        <v>180</v>
      </c>
      <c r="M326" s="4" t="inlineStr">
        <is>
          <t>Activation</t>
        </is>
      </c>
      <c r="N326" s="20" t="inlineStr">
        <is>
          <t>No</t>
        </is>
      </c>
      <c r="O326" s="20" t="inlineStr">
        <is>
          <t>No</t>
        </is>
      </c>
      <c r="P326" s="20" t="n"/>
      <c r="Q326" s="4" t="n">
        <v>1100</v>
      </c>
      <c r="R326" s="20" t="n">
        <v>9.4</v>
      </c>
      <c r="S326" s="20" t="n"/>
      <c r="T326" s="22" t="n"/>
      <c r="U326" s="20" t="n"/>
      <c r="V326" s="20" t="n"/>
      <c r="W326" s="20" t="n"/>
      <c r="X326" s="20" t="n"/>
      <c r="Y326" s="24" t="inlineStr">
        <is>
          <t>[88]</t>
        </is>
      </c>
    </row>
    <row r="327" ht="15" customHeight="1">
      <c r="A327" s="20" t="inlineStr">
        <is>
          <t>Litchi pericarp</t>
        </is>
      </c>
      <c r="B327" s="21" t="inlineStr">
        <is>
          <t>Biomass (H2O) / Carbon (dilute HCl + H2O)</t>
        </is>
      </c>
      <c r="C327" s="21" t="inlineStr">
        <is>
          <t>Water wash</t>
        </is>
      </c>
      <c r="D327" s="21" t="inlineStr">
        <is>
          <t>No</t>
        </is>
      </c>
      <c r="E327" s="21" t="inlineStr">
        <is>
          <t>Acid wash</t>
        </is>
      </c>
      <c r="F327" s="21" t="inlineStr">
        <is>
          <t>MIld</t>
        </is>
      </c>
      <c r="G327" s="4" t="inlineStr">
        <is>
          <t>Two step</t>
        </is>
      </c>
      <c r="H327" s="4" t="inlineStr">
        <is>
          <t>HTC</t>
        </is>
      </c>
      <c r="I327" s="20" t="inlineStr">
        <is>
          <t>H2SO4</t>
        </is>
      </c>
      <c r="J327" s="4" t="n">
        <v>1440</v>
      </c>
      <c r="K327" s="4" t="n"/>
      <c r="L327" s="4" t="n">
        <v>180</v>
      </c>
      <c r="M327" s="4" t="inlineStr">
        <is>
          <t>Activation</t>
        </is>
      </c>
      <c r="N327" s="20" t="inlineStr">
        <is>
          <t>No</t>
        </is>
      </c>
      <c r="O327" s="20" t="inlineStr">
        <is>
          <t>No</t>
        </is>
      </c>
      <c r="P327" s="20" t="n"/>
      <c r="Q327" s="4" t="n">
        <v>1200</v>
      </c>
      <c r="R327" s="20" t="n">
        <v>33.9</v>
      </c>
      <c r="S327" s="20" t="n"/>
      <c r="T327" s="22" t="n"/>
      <c r="U327" s="20" t="n"/>
      <c r="V327" s="20" t="n"/>
      <c r="W327" s="20" t="n"/>
      <c r="X327" s="20" t="n"/>
      <c r="Y327" s="24" t="inlineStr">
        <is>
          <t>[89]</t>
        </is>
      </c>
    </row>
    <row r="328" ht="15" customHeight="1">
      <c r="A328" s="20" t="inlineStr">
        <is>
          <t>Lotus leaves</t>
        </is>
      </c>
      <c r="B328" s="21" t="inlineStr">
        <is>
          <t>Biomass (EtOH + H2O) / Carbon (H2O)</t>
        </is>
      </c>
      <c r="C328" s="21" t="inlineStr">
        <is>
          <t>Organic wash</t>
        </is>
      </c>
      <c r="D328" s="21" t="inlineStr">
        <is>
          <t>No</t>
        </is>
      </c>
      <c r="E328" s="21" t="inlineStr">
        <is>
          <t>Water wash</t>
        </is>
      </c>
      <c r="F328" s="21" t="inlineStr">
        <is>
          <t>No</t>
        </is>
      </c>
      <c r="G328" s="4" t="inlineStr">
        <is>
          <t>Two step</t>
        </is>
      </c>
      <c r="H328" s="4" t="inlineStr">
        <is>
          <t>HTC</t>
        </is>
      </c>
      <c r="I328" s="20" t="inlineStr">
        <is>
          <t>HCl</t>
        </is>
      </c>
      <c r="J328" s="4" t="n">
        <v>600</v>
      </c>
      <c r="K328" s="4" t="n"/>
      <c r="L328" s="4" t="n">
        <v>180</v>
      </c>
      <c r="M328" s="4" t="inlineStr">
        <is>
          <t>Activation</t>
        </is>
      </c>
      <c r="N328" s="20" t="inlineStr">
        <is>
          <t>No</t>
        </is>
      </c>
      <c r="O328" s="20" t="inlineStr">
        <is>
          <t>No</t>
        </is>
      </c>
      <c r="P328" s="20" t="n"/>
      <c r="Q328" s="4" t="n">
        <v>800</v>
      </c>
      <c r="R328" s="20" t="n">
        <v>397.5</v>
      </c>
      <c r="S328" s="20" t="n"/>
      <c r="T328" s="22" t="n"/>
      <c r="U328" s="20" t="n"/>
      <c r="V328" s="20" t="n"/>
      <c r="W328" s="20" t="n"/>
      <c r="X328" s="20" t="n"/>
      <c r="Y328" s="24" t="inlineStr">
        <is>
          <t>[90]</t>
        </is>
      </c>
    </row>
    <row r="329" ht="15" customHeight="1">
      <c r="A329" s="4" t="inlineStr">
        <is>
          <t>Bagasse</t>
        </is>
      </c>
      <c r="B329" s="5" t="inlineStr">
        <is>
          <t>No</t>
        </is>
      </c>
      <c r="C329" s="5" t="inlineStr">
        <is>
          <t>No wash</t>
        </is>
      </c>
      <c r="D329" s="5" t="inlineStr">
        <is>
          <t>No wash</t>
        </is>
      </c>
      <c r="E329" s="5" t="inlineStr">
        <is>
          <t>No wash</t>
        </is>
      </c>
      <c r="F329" s="5" t="inlineStr">
        <is>
          <t>No wash</t>
        </is>
      </c>
      <c r="G329" s="4" t="inlineStr">
        <is>
          <t>One step</t>
        </is>
      </c>
      <c r="H329" s="4" t="inlineStr">
        <is>
          <t xml:space="preserve">Pyrolysis </t>
        </is>
      </c>
      <c r="I329" s="20" t="n"/>
      <c r="J329" s="4" t="n">
        <v>60</v>
      </c>
      <c r="K329" s="4" t="n">
        <v>5</v>
      </c>
      <c r="L329" s="4" t="n">
        <v>1400</v>
      </c>
      <c r="M329" s="4" t="inlineStr">
        <is>
          <t>No</t>
        </is>
      </c>
      <c r="N329" s="4" t="inlineStr">
        <is>
          <t>No</t>
        </is>
      </c>
      <c r="O329" s="4" t="inlineStr">
        <is>
          <t>No</t>
        </is>
      </c>
      <c r="P329" s="4" t="inlineStr">
        <is>
          <t>No</t>
        </is>
      </c>
      <c r="Q329" s="4" t="inlineStr">
        <is>
          <t>No</t>
        </is>
      </c>
      <c r="R329" s="4" t="n">
        <v>74.43000000000001</v>
      </c>
      <c r="S329" s="4" t="n"/>
      <c r="T329" s="23">
        <f>1/1.95</f>
        <v/>
      </c>
      <c r="U329" s="4" t="n">
        <v>8.58</v>
      </c>
      <c r="V329" s="4" t="n"/>
      <c r="W329" s="4" t="n">
        <v>0.08500000000000001</v>
      </c>
      <c r="X329" s="4" t="n"/>
      <c r="Y329" s="24" t="inlineStr">
        <is>
          <t>[91]</t>
        </is>
      </c>
    </row>
    <row r="330" ht="15" customHeight="1">
      <c r="A330" s="4" t="inlineStr">
        <is>
          <t>Corn cob</t>
        </is>
      </c>
      <c r="B330" s="5" t="inlineStr">
        <is>
          <t>No</t>
        </is>
      </c>
      <c r="C330" s="5" t="inlineStr">
        <is>
          <t>No wash</t>
        </is>
      </c>
      <c r="D330" s="5" t="inlineStr">
        <is>
          <t>No wash</t>
        </is>
      </c>
      <c r="E330" s="5" t="inlineStr">
        <is>
          <t>No wash</t>
        </is>
      </c>
      <c r="F330" s="5" t="inlineStr">
        <is>
          <t>No wash</t>
        </is>
      </c>
      <c r="G330" s="4" t="inlineStr">
        <is>
          <t>One step</t>
        </is>
      </c>
      <c r="H330" s="4" t="inlineStr">
        <is>
          <t xml:space="preserve">Pyrolysis </t>
        </is>
      </c>
      <c r="I330" s="20" t="n"/>
      <c r="J330" s="4" t="n">
        <v>60</v>
      </c>
      <c r="K330" s="4" t="n">
        <v>5</v>
      </c>
      <c r="L330" s="4" t="n">
        <v>1400</v>
      </c>
      <c r="M330" s="4" t="inlineStr">
        <is>
          <t>No</t>
        </is>
      </c>
      <c r="N330" s="4" t="inlineStr">
        <is>
          <t>No</t>
        </is>
      </c>
      <c r="O330" s="4" t="inlineStr">
        <is>
          <t>No</t>
        </is>
      </c>
      <c r="P330" s="4" t="inlineStr">
        <is>
          <t>No</t>
        </is>
      </c>
      <c r="Q330" s="4" t="inlineStr">
        <is>
          <t>No</t>
        </is>
      </c>
      <c r="R330" s="4" t="n">
        <v>1.5</v>
      </c>
      <c r="S330" s="4" t="n"/>
      <c r="T330" s="23">
        <f>1/2.25</f>
        <v/>
      </c>
      <c r="U330" s="4" t="n">
        <v>7.46</v>
      </c>
      <c r="V330" s="4" t="n"/>
      <c r="W330" s="4" t="n">
        <v>0.01</v>
      </c>
      <c r="X330" s="4" t="n"/>
      <c r="Y330" s="24" t="inlineStr">
        <is>
          <t>[91]</t>
        </is>
      </c>
    </row>
    <row r="331" ht="15" customHeight="1">
      <c r="A331" s="4" t="inlineStr">
        <is>
          <t>Corn cob</t>
        </is>
      </c>
      <c r="B331" s="5" t="inlineStr">
        <is>
          <t>No</t>
        </is>
      </c>
      <c r="C331" s="5" t="inlineStr">
        <is>
          <t>No wash</t>
        </is>
      </c>
      <c r="D331" s="5" t="inlineStr">
        <is>
          <t>No wash</t>
        </is>
      </c>
      <c r="E331" s="5" t="inlineStr">
        <is>
          <t>No wash</t>
        </is>
      </c>
      <c r="F331" s="5" t="inlineStr">
        <is>
          <t>No wash</t>
        </is>
      </c>
      <c r="G331" s="4" t="inlineStr">
        <is>
          <t>Two step</t>
        </is>
      </c>
      <c r="H331" s="4" t="inlineStr">
        <is>
          <t xml:space="preserve">Pyrolysis </t>
        </is>
      </c>
      <c r="I331" s="20" t="inlineStr">
        <is>
          <t>No</t>
        </is>
      </c>
      <c r="J331" s="4" t="n">
        <v>120</v>
      </c>
      <c r="K331" s="4" t="n"/>
      <c r="L331" s="4" t="n">
        <v>500</v>
      </c>
      <c r="M331" s="4" t="inlineStr">
        <is>
          <t>Activation</t>
        </is>
      </c>
      <c r="N331" s="4" t="inlineStr">
        <is>
          <t>2M HCl / 2M NaOH</t>
        </is>
      </c>
      <c r="O331" s="4" t="n">
        <v>120</v>
      </c>
      <c r="P331" s="4" t="n"/>
      <c r="Q331" s="4" t="n">
        <v>1150</v>
      </c>
      <c r="R331" s="4" t="n">
        <v>14.27</v>
      </c>
      <c r="S331" s="4" t="n">
        <v>0.382</v>
      </c>
      <c r="T331" s="23">
        <f>1/1.622</f>
        <v/>
      </c>
      <c r="U331" s="4" t="n">
        <v>4.546</v>
      </c>
      <c r="V331" s="4" t="n">
        <v>1.326</v>
      </c>
      <c r="W331" s="4" t="n">
        <v>0.0484</v>
      </c>
      <c r="X331" s="4" t="n"/>
      <c r="Y331" s="29" t="inlineStr">
        <is>
          <t>[92]</t>
        </is>
      </c>
    </row>
    <row r="332" ht="15" customHeight="1">
      <c r="A332" s="4" t="inlineStr">
        <is>
          <t>Corn cob</t>
        </is>
      </c>
      <c r="B332" s="5" t="inlineStr">
        <is>
          <t>No</t>
        </is>
      </c>
      <c r="C332" s="5" t="inlineStr">
        <is>
          <t>No wash</t>
        </is>
      </c>
      <c r="D332" s="5" t="inlineStr">
        <is>
          <t>No wash</t>
        </is>
      </c>
      <c r="E332" s="5" t="inlineStr">
        <is>
          <t>No wash</t>
        </is>
      </c>
      <c r="F332" s="5" t="inlineStr">
        <is>
          <t>No wash</t>
        </is>
      </c>
      <c r="G332" s="4" t="inlineStr">
        <is>
          <t>Two step</t>
        </is>
      </c>
      <c r="H332" s="4" t="inlineStr">
        <is>
          <t xml:space="preserve">Pyrolysis </t>
        </is>
      </c>
      <c r="I332" s="20" t="inlineStr">
        <is>
          <t>No</t>
        </is>
      </c>
      <c r="J332" s="4" t="n">
        <v>120</v>
      </c>
      <c r="K332" s="4" t="n"/>
      <c r="L332" s="4" t="n">
        <v>500</v>
      </c>
      <c r="M332" s="4" t="inlineStr">
        <is>
          <t>Activation</t>
        </is>
      </c>
      <c r="N332" s="4" t="inlineStr">
        <is>
          <t>2M HCl / 2M NaOH</t>
        </is>
      </c>
      <c r="O332" s="4" t="n">
        <v>120</v>
      </c>
      <c r="P332" s="4" t="n"/>
      <c r="Q332" s="4" t="n">
        <v>1300</v>
      </c>
      <c r="R332" s="4" t="n">
        <v>12.9</v>
      </c>
      <c r="S332" s="4" t="n">
        <v>0.376</v>
      </c>
      <c r="T332" s="23">
        <f>1/1.575</f>
        <v/>
      </c>
      <c r="U332" s="4" t="n">
        <v>5.152</v>
      </c>
      <c r="V332" s="4" t="n">
        <v>1.388</v>
      </c>
      <c r="W332" s="4" t="n">
        <v>0.0424</v>
      </c>
      <c r="X332" s="4" t="n"/>
      <c r="Y332" s="29" t="inlineStr">
        <is>
          <t>[92]</t>
        </is>
      </c>
    </row>
    <row r="333" ht="15" customHeight="1">
      <c r="A333" s="4" t="inlineStr">
        <is>
          <t>Corn cob</t>
        </is>
      </c>
      <c r="B333" s="5" t="inlineStr">
        <is>
          <t>No</t>
        </is>
      </c>
      <c r="C333" s="5" t="inlineStr">
        <is>
          <t>No wash</t>
        </is>
      </c>
      <c r="D333" s="5" t="inlineStr">
        <is>
          <t>No wash</t>
        </is>
      </c>
      <c r="E333" s="5" t="inlineStr">
        <is>
          <t>No wash</t>
        </is>
      </c>
      <c r="F333" s="5" t="inlineStr">
        <is>
          <t>No wash</t>
        </is>
      </c>
      <c r="G333" s="4" t="inlineStr">
        <is>
          <t>Two step</t>
        </is>
      </c>
      <c r="H333" s="4" t="inlineStr">
        <is>
          <t xml:space="preserve">Pyrolysis </t>
        </is>
      </c>
      <c r="I333" s="20" t="inlineStr">
        <is>
          <t>No</t>
        </is>
      </c>
      <c r="J333" s="4" t="n">
        <v>120</v>
      </c>
      <c r="K333" s="4" t="n"/>
      <c r="L333" s="4" t="n">
        <v>500</v>
      </c>
      <c r="M333" s="4" t="inlineStr">
        <is>
          <t>Activation</t>
        </is>
      </c>
      <c r="N333" s="4" t="inlineStr">
        <is>
          <t>2M HCl / 2M NaOH</t>
        </is>
      </c>
      <c r="O333" s="4" t="n">
        <v>120</v>
      </c>
      <c r="P333" s="4" t="n"/>
      <c r="Q333" s="4" t="n">
        <v>1450</v>
      </c>
      <c r="R333" s="4" t="n">
        <v>14.9</v>
      </c>
      <c r="S333" s="4" t="n">
        <v>0.373</v>
      </c>
      <c r="T333" s="23">
        <f>1/1.499</f>
        <v/>
      </c>
      <c r="U333" s="4" t="n">
        <v>5.547</v>
      </c>
      <c r="V333" s="4" t="n">
        <v>1.444</v>
      </c>
      <c r="W333" s="4" t="n">
        <v>0.0474</v>
      </c>
      <c r="X333" s="4" t="n"/>
      <c r="Y333" s="29" t="inlineStr">
        <is>
          <t>[92]</t>
        </is>
      </c>
    </row>
    <row r="334" ht="15" customHeight="1">
      <c r="A334" s="4" t="inlineStr">
        <is>
          <t>Spartina alterniflora Loisel</t>
        </is>
      </c>
      <c r="B334" s="5" t="inlineStr">
        <is>
          <t xml:space="preserve"> Carbon 10wt% KOH and 2M HCL and Ethanol</t>
        </is>
      </c>
      <c r="C334" s="5" t="inlineStr">
        <is>
          <t>No wash</t>
        </is>
      </c>
      <c r="D334" s="5" t="inlineStr">
        <is>
          <t>No wash</t>
        </is>
      </c>
      <c r="E334" s="5" t="inlineStr">
        <is>
          <t>Alkali wash</t>
        </is>
      </c>
      <c r="F334" s="5" t="inlineStr">
        <is>
          <t>MIld</t>
        </is>
      </c>
      <c r="G334" s="4" t="inlineStr">
        <is>
          <t>Two step</t>
        </is>
      </c>
      <c r="H334" s="4" t="inlineStr">
        <is>
          <t xml:space="preserve">Pyrolysis </t>
        </is>
      </c>
      <c r="I334" s="20" t="inlineStr">
        <is>
          <t>No</t>
        </is>
      </c>
      <c r="J334" s="4" t="n">
        <v>120</v>
      </c>
      <c r="K334" s="4" t="n"/>
      <c r="L334" s="20" t="n">
        <v>600</v>
      </c>
      <c r="M334" s="20" t="inlineStr">
        <is>
          <t xml:space="preserve">Pyrolysis </t>
        </is>
      </c>
      <c r="N334" s="4" t="inlineStr">
        <is>
          <t>No</t>
        </is>
      </c>
      <c r="O334" s="4" t="n">
        <v>120</v>
      </c>
      <c r="P334" s="4" t="n"/>
      <c r="Q334" s="4" t="n">
        <v>1200</v>
      </c>
      <c r="R334" s="4" t="n">
        <v>100.4</v>
      </c>
      <c r="S334" s="4" t="n">
        <v>0.3754</v>
      </c>
      <c r="T334" s="23" t="n">
        <v>1.005</v>
      </c>
      <c r="U334" s="4" t="n"/>
      <c r="V334" s="4" t="n"/>
      <c r="W334" s="4" t="n"/>
      <c r="X334" s="4" t="n"/>
      <c r="Y334" s="29" t="inlineStr">
        <is>
          <t>[93]</t>
        </is>
      </c>
    </row>
    <row r="335" ht="15" customHeight="1">
      <c r="A335" s="4" t="inlineStr">
        <is>
          <t>Solidago canadensis L.</t>
        </is>
      </c>
      <c r="B335" s="5" t="inlineStr">
        <is>
          <t xml:space="preserve"> Carbon 10wt% KOH and 2M HCL and Ethanol</t>
        </is>
      </c>
      <c r="C335" s="5" t="inlineStr">
        <is>
          <t>No wash</t>
        </is>
      </c>
      <c r="D335" s="5" t="inlineStr">
        <is>
          <t>No wash</t>
        </is>
      </c>
      <c r="E335" s="5" t="inlineStr">
        <is>
          <t>Alkali wash</t>
        </is>
      </c>
      <c r="F335" s="5" t="inlineStr">
        <is>
          <t>MIld</t>
        </is>
      </c>
      <c r="G335" s="4" t="inlineStr">
        <is>
          <t>Two step</t>
        </is>
      </c>
      <c r="H335" s="4" t="inlineStr">
        <is>
          <t xml:space="preserve">Pyrolysis </t>
        </is>
      </c>
      <c r="I335" s="20" t="inlineStr">
        <is>
          <t>No</t>
        </is>
      </c>
      <c r="J335" s="4" t="n">
        <v>120</v>
      </c>
      <c r="K335" s="4" t="n"/>
      <c r="L335" s="20" t="n">
        <v>600</v>
      </c>
      <c r="M335" s="20" t="inlineStr">
        <is>
          <t xml:space="preserve">Pyrolysis </t>
        </is>
      </c>
      <c r="N335" s="4" t="inlineStr">
        <is>
          <t>No</t>
        </is>
      </c>
      <c r="O335" s="4" t="n">
        <v>120</v>
      </c>
      <c r="P335" s="4" t="n"/>
      <c r="Q335" s="4" t="n">
        <v>1200</v>
      </c>
      <c r="R335" s="4" t="n">
        <v>62.1</v>
      </c>
      <c r="S335" s="4" t="n">
        <v>0.3705</v>
      </c>
      <c r="T335" s="23" t="n">
        <v>0.987</v>
      </c>
      <c r="U335" s="4" t="n"/>
      <c r="V335" s="4" t="n"/>
      <c r="W335" s="4" t="n"/>
      <c r="X335" s="4" t="n"/>
      <c r="Y335" s="29" t="inlineStr">
        <is>
          <t>[93]</t>
        </is>
      </c>
    </row>
    <row r="336" ht="15" customHeight="1">
      <c r="A336" s="4" t="inlineStr">
        <is>
          <t>Erigeron canadensis L.</t>
        </is>
      </c>
      <c r="B336" s="5" t="inlineStr">
        <is>
          <t xml:space="preserve"> Carbon 10wt% KOH and 2M HCL and Ethanol</t>
        </is>
      </c>
      <c r="C336" s="5" t="inlineStr">
        <is>
          <t>No wash</t>
        </is>
      </c>
      <c r="D336" s="5" t="inlineStr">
        <is>
          <t>No wash</t>
        </is>
      </c>
      <c r="E336" s="5" t="inlineStr">
        <is>
          <t>Alkali wash</t>
        </is>
      </c>
      <c r="F336" s="5" t="inlineStr">
        <is>
          <t>MIld</t>
        </is>
      </c>
      <c r="G336" s="4" t="inlineStr">
        <is>
          <t>Two step</t>
        </is>
      </c>
      <c r="H336" s="4" t="inlineStr">
        <is>
          <t xml:space="preserve">Pyrolysis </t>
        </is>
      </c>
      <c r="I336" s="20" t="inlineStr">
        <is>
          <t>No</t>
        </is>
      </c>
      <c r="J336" s="4" t="n">
        <v>120</v>
      </c>
      <c r="K336" s="4" t="n"/>
      <c r="L336" s="20" t="n">
        <v>600</v>
      </c>
      <c r="M336" s="20" t="inlineStr">
        <is>
          <t xml:space="preserve">Pyrolysis </t>
        </is>
      </c>
      <c r="N336" s="4" t="inlineStr">
        <is>
          <t>No</t>
        </is>
      </c>
      <c r="O336" s="4" t="n">
        <v>120</v>
      </c>
      <c r="P336" s="4" t="n"/>
      <c r="Q336" s="4" t="n">
        <v>1200</v>
      </c>
      <c r="R336" s="4" t="n">
        <v>33.95</v>
      </c>
      <c r="S336" s="4" t="n">
        <v>0.3776</v>
      </c>
      <c r="T336" s="23" t="n">
        <v>0.986</v>
      </c>
      <c r="U336" s="4" t="n"/>
      <c r="V336" s="4" t="n"/>
      <c r="W336" s="4" t="n"/>
      <c r="X336" s="4" t="n"/>
      <c r="Y336" s="29" t="inlineStr">
        <is>
          <t>[93]</t>
        </is>
      </c>
    </row>
    <row r="337" ht="15" customHeight="1">
      <c r="A337" s="4" t="inlineStr">
        <is>
          <t>Switchgrass</t>
        </is>
      </c>
      <c r="B337" s="5" t="inlineStr">
        <is>
          <t>No</t>
        </is>
      </c>
      <c r="C337" s="5" t="inlineStr">
        <is>
          <t>No wash</t>
        </is>
      </c>
      <c r="D337" s="5" t="inlineStr">
        <is>
          <t>No wash</t>
        </is>
      </c>
      <c r="E337" s="5" t="inlineStr">
        <is>
          <t>No wash</t>
        </is>
      </c>
      <c r="F337" s="5" t="inlineStr">
        <is>
          <t>No wash</t>
        </is>
      </c>
      <c r="G337" s="4" t="inlineStr">
        <is>
          <t>Two step</t>
        </is>
      </c>
      <c r="H337" s="4" t="inlineStr">
        <is>
          <t>HTC</t>
        </is>
      </c>
      <c r="I337" s="4" t="inlineStr">
        <is>
          <t>No</t>
        </is>
      </c>
      <c r="J337" s="4" t="n">
        <v>120</v>
      </c>
      <c r="K337" s="4" t="n"/>
      <c r="L337" s="20" t="n">
        <v>160</v>
      </c>
      <c r="M337" s="20" t="inlineStr">
        <is>
          <t xml:space="preserve">Pyrolysis </t>
        </is>
      </c>
      <c r="N337" s="4" t="inlineStr">
        <is>
          <t>No</t>
        </is>
      </c>
      <c r="O337" s="4" t="n">
        <v>120</v>
      </c>
      <c r="P337" s="4" t="n"/>
      <c r="Q337" s="4" t="n">
        <v>1600</v>
      </c>
      <c r="R337" s="4" t="n">
        <v>13.3</v>
      </c>
      <c r="S337" s="4" t="n">
        <v>0.345</v>
      </c>
      <c r="T337" s="23">
        <f>1/1.6</f>
        <v/>
      </c>
      <c r="U337" s="4" t="n"/>
      <c r="V337" s="4" t="n">
        <v>0.98</v>
      </c>
      <c r="W337" s="4" t="n"/>
      <c r="X337" s="4" t="n">
        <v>98.73</v>
      </c>
      <c r="Y337" s="29" t="inlineStr">
        <is>
          <t>[94]</t>
        </is>
      </c>
    </row>
    <row r="338" ht="15" customHeight="1">
      <c r="A338" s="4" t="inlineStr">
        <is>
          <t>Switchgrass</t>
        </is>
      </c>
      <c r="B338" s="5" t="inlineStr">
        <is>
          <t>No</t>
        </is>
      </c>
      <c r="C338" s="5" t="inlineStr">
        <is>
          <t>No wash</t>
        </is>
      </c>
      <c r="D338" s="5" t="inlineStr">
        <is>
          <t>No wash</t>
        </is>
      </c>
      <c r="E338" s="5" t="inlineStr">
        <is>
          <t>No wash</t>
        </is>
      </c>
      <c r="F338" s="5" t="inlineStr">
        <is>
          <t>No wash</t>
        </is>
      </c>
      <c r="G338" s="4" t="inlineStr">
        <is>
          <t>Two step</t>
        </is>
      </c>
      <c r="H338" s="4" t="inlineStr">
        <is>
          <t>HTC</t>
        </is>
      </c>
      <c r="I338" s="4" t="inlineStr">
        <is>
          <t>No</t>
        </is>
      </c>
      <c r="J338" s="4" t="n">
        <v>120</v>
      </c>
      <c r="K338" s="4" t="n"/>
      <c r="L338" s="20" t="n">
        <v>190</v>
      </c>
      <c r="M338" s="20" t="inlineStr">
        <is>
          <t xml:space="preserve">Pyrolysis </t>
        </is>
      </c>
      <c r="N338" s="4" t="inlineStr">
        <is>
          <t>No</t>
        </is>
      </c>
      <c r="O338" s="4" t="n">
        <v>120</v>
      </c>
      <c r="P338" s="4" t="n"/>
      <c r="Q338" s="4" t="n">
        <v>1600</v>
      </c>
      <c r="R338" s="4" t="n">
        <v>15.95</v>
      </c>
      <c r="S338" s="4" t="n">
        <v>0.346</v>
      </c>
      <c r="T338" s="23">
        <f>1/1.71</f>
        <v/>
      </c>
      <c r="U338" s="4" t="n"/>
      <c r="V338" s="4" t="n">
        <v>0.9399999999999999</v>
      </c>
      <c r="W338" s="4" t="n"/>
      <c r="X338" s="4" t="n">
        <v>98.45</v>
      </c>
      <c r="Y338" s="29" t="inlineStr">
        <is>
          <t>[94]</t>
        </is>
      </c>
    </row>
    <row r="339" ht="15" customHeight="1">
      <c r="A339" s="4" t="inlineStr">
        <is>
          <t>Switchgrass</t>
        </is>
      </c>
      <c r="B339" s="5" t="inlineStr">
        <is>
          <t>No</t>
        </is>
      </c>
      <c r="C339" s="5" t="inlineStr">
        <is>
          <t>No wash</t>
        </is>
      </c>
      <c r="D339" s="5" t="inlineStr">
        <is>
          <t>No wash</t>
        </is>
      </c>
      <c r="E339" s="5" t="inlineStr">
        <is>
          <t>No wash</t>
        </is>
      </c>
      <c r="F339" s="5" t="inlineStr">
        <is>
          <t>No wash</t>
        </is>
      </c>
      <c r="G339" s="4" t="inlineStr">
        <is>
          <t>Two step</t>
        </is>
      </c>
      <c r="H339" s="4" t="inlineStr">
        <is>
          <t>HTC</t>
        </is>
      </c>
      <c r="I339" s="4" t="inlineStr">
        <is>
          <t>No</t>
        </is>
      </c>
      <c r="J339" s="4" t="n">
        <v>120</v>
      </c>
      <c r="K339" s="4" t="n"/>
      <c r="L339" s="20" t="n">
        <v>220</v>
      </c>
      <c r="M339" s="20" t="inlineStr">
        <is>
          <t xml:space="preserve">Pyrolysis </t>
        </is>
      </c>
      <c r="N339" s="4" t="inlineStr">
        <is>
          <t>No</t>
        </is>
      </c>
      <c r="O339" s="4" t="n">
        <v>120</v>
      </c>
      <c r="P339" s="4" t="n"/>
      <c r="Q339" s="4" t="n">
        <v>1600</v>
      </c>
      <c r="R339" s="4" t="n">
        <v>19.96</v>
      </c>
      <c r="S339" s="4" t="n">
        <v>0.346</v>
      </c>
      <c r="T339" s="23">
        <f>1/1.73</f>
        <v/>
      </c>
      <c r="U339" s="4" t="n"/>
      <c r="V339" s="4" t="n">
        <v>0.9</v>
      </c>
      <c r="W339" s="4" t="n"/>
      <c r="X339" s="4" t="n">
        <v>98.13</v>
      </c>
      <c r="Y339" s="29" t="inlineStr">
        <is>
          <t>[94]</t>
        </is>
      </c>
    </row>
    <row r="340" ht="15" customHeight="1">
      <c r="A340" s="4" t="inlineStr">
        <is>
          <t>Switchgrass</t>
        </is>
      </c>
      <c r="B340" s="5" t="inlineStr">
        <is>
          <t>No</t>
        </is>
      </c>
      <c r="C340" s="5" t="inlineStr">
        <is>
          <t>No wash</t>
        </is>
      </c>
      <c r="D340" s="5" t="inlineStr">
        <is>
          <t>No wash</t>
        </is>
      </c>
      <c r="E340" s="5" t="inlineStr">
        <is>
          <t>No wash</t>
        </is>
      </c>
      <c r="F340" s="5" t="inlineStr">
        <is>
          <t>No wash</t>
        </is>
      </c>
      <c r="G340" s="4" t="inlineStr">
        <is>
          <t>One step</t>
        </is>
      </c>
      <c r="H340" s="4" t="inlineStr">
        <is>
          <t xml:space="preserve">Pyrolysis </t>
        </is>
      </c>
      <c r="I340" s="4" t="inlineStr">
        <is>
          <t>No</t>
        </is>
      </c>
      <c r="J340" s="4" t="n">
        <v>120</v>
      </c>
      <c r="K340" s="4" t="n"/>
      <c r="L340" s="20" t="n">
        <v>1600</v>
      </c>
      <c r="M340" s="41" t="inlineStr">
        <is>
          <t>No</t>
        </is>
      </c>
      <c r="N340" s="41" t="inlineStr">
        <is>
          <t>No</t>
        </is>
      </c>
      <c r="O340" s="41" t="inlineStr">
        <is>
          <t>No</t>
        </is>
      </c>
      <c r="P340" s="41" t="inlineStr">
        <is>
          <t>No</t>
        </is>
      </c>
      <c r="Q340" s="41" t="inlineStr">
        <is>
          <t>No</t>
        </is>
      </c>
      <c r="R340" s="4" t="n">
        <v>67.37</v>
      </c>
      <c r="S340" s="4" t="n">
        <v>0.348</v>
      </c>
      <c r="T340" s="23">
        <f>1/1.47</f>
        <v/>
      </c>
      <c r="U340" s="4" t="n"/>
      <c r="V340" s="4" t="n">
        <v>0.91</v>
      </c>
      <c r="W340" s="4" t="n"/>
      <c r="X340" s="4" t="n">
        <v>82.13</v>
      </c>
      <c r="Y340" s="29" t="inlineStr">
        <is>
          <t>[94]</t>
        </is>
      </c>
    </row>
    <row r="341" ht="15" customHeight="1">
      <c r="A341" s="4" t="inlineStr">
        <is>
          <t>Ficus macrophylla</t>
        </is>
      </c>
      <c r="B341" s="5" t="inlineStr">
        <is>
          <t>No</t>
        </is>
      </c>
      <c r="C341" s="5" t="inlineStr">
        <is>
          <t>No wash</t>
        </is>
      </c>
      <c r="D341" s="5" t="inlineStr">
        <is>
          <t>No wash</t>
        </is>
      </c>
      <c r="E341" s="5" t="inlineStr">
        <is>
          <t>No wash</t>
        </is>
      </c>
      <c r="F341" s="5" t="inlineStr">
        <is>
          <t>No wash</t>
        </is>
      </c>
      <c r="G341" s="4" t="inlineStr">
        <is>
          <t>Two step</t>
        </is>
      </c>
      <c r="H341" s="4" t="inlineStr">
        <is>
          <t>HTC</t>
        </is>
      </c>
      <c r="I341" s="4" t="inlineStr">
        <is>
          <t>No</t>
        </is>
      </c>
      <c r="J341" s="4" t="n">
        <v>720</v>
      </c>
      <c r="K341" s="4" t="n"/>
      <c r="L341" s="20" t="n">
        <v>160</v>
      </c>
      <c r="M341" s="20" t="inlineStr">
        <is>
          <t xml:space="preserve">Pyrolysis </t>
        </is>
      </c>
      <c r="N341" s="4" t="inlineStr">
        <is>
          <t>No</t>
        </is>
      </c>
      <c r="O341" s="4" t="n">
        <v>120</v>
      </c>
      <c r="P341" s="4" t="n"/>
      <c r="Q341" s="4" t="n">
        <v>1600</v>
      </c>
      <c r="R341" s="4" t="n">
        <v>77</v>
      </c>
      <c r="S341" s="4" t="n"/>
      <c r="T341" s="23">
        <f>1/1.56</f>
        <v/>
      </c>
      <c r="U341" s="4" t="n"/>
      <c r="V341" s="4" t="n"/>
      <c r="W341" s="4" t="n"/>
      <c r="X341" s="4" t="n">
        <v>91.2</v>
      </c>
      <c r="Y341" s="29" t="inlineStr">
        <is>
          <t>[95]</t>
        </is>
      </c>
    </row>
    <row r="342" ht="15" customHeight="1">
      <c r="A342" s="4" t="inlineStr">
        <is>
          <t>Ficus macrophylla</t>
        </is>
      </c>
      <c r="B342" s="5" t="inlineStr">
        <is>
          <t>1M HCl</t>
        </is>
      </c>
      <c r="C342" s="5" t="inlineStr">
        <is>
          <t>Acid wash</t>
        </is>
      </c>
      <c r="D342" s="5" t="inlineStr">
        <is>
          <t>Mild</t>
        </is>
      </c>
      <c r="E342" s="5" t="inlineStr">
        <is>
          <t>No wash</t>
        </is>
      </c>
      <c r="F342" s="5" t="inlineStr">
        <is>
          <t>No wash</t>
        </is>
      </c>
      <c r="G342" s="4" t="inlineStr">
        <is>
          <t>Two step</t>
        </is>
      </c>
      <c r="H342" s="4" t="inlineStr">
        <is>
          <t>HTC</t>
        </is>
      </c>
      <c r="I342" s="4" t="inlineStr">
        <is>
          <t>No</t>
        </is>
      </c>
      <c r="J342" s="4" t="n">
        <v>720</v>
      </c>
      <c r="K342" s="4" t="n"/>
      <c r="L342" s="20" t="n">
        <v>190</v>
      </c>
      <c r="M342" s="20" t="inlineStr">
        <is>
          <t xml:space="preserve">Pyrolysis </t>
        </is>
      </c>
      <c r="N342" s="4" t="inlineStr">
        <is>
          <t>No</t>
        </is>
      </c>
      <c r="O342" s="4" t="n">
        <v>120</v>
      </c>
      <c r="P342" s="4" t="n"/>
      <c r="Q342" s="4" t="n">
        <v>1600</v>
      </c>
      <c r="R342" s="4" t="n"/>
      <c r="S342" s="4" t="n">
        <v>0.376</v>
      </c>
      <c r="T342" s="23">
        <f>1/1.68</f>
        <v/>
      </c>
      <c r="U342" s="4" t="n"/>
      <c r="V342" s="4" t="n"/>
      <c r="W342" s="4" t="n"/>
      <c r="X342" s="4" t="n">
        <v>93.8</v>
      </c>
      <c r="Y342" s="29" t="inlineStr">
        <is>
          <t>[95]</t>
        </is>
      </c>
    </row>
    <row r="343" ht="15" customHeight="1">
      <c r="A343" s="4" t="inlineStr">
        <is>
          <t>Ficus macrophylla</t>
        </is>
      </c>
      <c r="B343" s="5" t="inlineStr">
        <is>
          <t>1M HCl and 20% NaOH</t>
        </is>
      </c>
      <c r="C343" s="5" t="inlineStr">
        <is>
          <t>Alkali wash</t>
        </is>
      </c>
      <c r="D343" s="5" t="inlineStr">
        <is>
          <t>No</t>
        </is>
      </c>
      <c r="E343" s="5" t="inlineStr">
        <is>
          <t>No wash</t>
        </is>
      </c>
      <c r="F343" s="5" t="inlineStr">
        <is>
          <t>No wash</t>
        </is>
      </c>
      <c r="G343" s="4" t="inlineStr">
        <is>
          <t>Two step</t>
        </is>
      </c>
      <c r="H343" s="4" t="inlineStr">
        <is>
          <t>HTC</t>
        </is>
      </c>
      <c r="I343" s="4" t="inlineStr">
        <is>
          <t>No</t>
        </is>
      </c>
      <c r="J343" s="4" t="n">
        <v>720</v>
      </c>
      <c r="K343" s="4" t="n"/>
      <c r="L343" s="20" t="n">
        <v>220</v>
      </c>
      <c r="M343" s="20" t="inlineStr">
        <is>
          <t xml:space="preserve">Pyrolysis </t>
        </is>
      </c>
      <c r="N343" s="4" t="inlineStr">
        <is>
          <t>No</t>
        </is>
      </c>
      <c r="O343" s="4" t="n">
        <v>120</v>
      </c>
      <c r="P343" s="4" t="n"/>
      <c r="Q343" s="4" t="n">
        <v>1600</v>
      </c>
      <c r="R343" s="4" t="n">
        <v>212</v>
      </c>
      <c r="S343" s="4" t="n">
        <v>0.385</v>
      </c>
      <c r="T343" s="23">
        <f>1/1.96</f>
        <v/>
      </c>
      <c r="U343" s="4" t="n"/>
      <c r="V343" s="4" t="n"/>
      <c r="W343" s="4" t="n"/>
      <c r="X343" s="4" t="n">
        <v>95.3</v>
      </c>
      <c r="Y343" s="29" t="inlineStr">
        <is>
          <t>[95]</t>
        </is>
      </c>
    </row>
    <row r="344" ht="15" customHeight="1">
      <c r="A344" s="4" t="inlineStr">
        <is>
          <t>Jack fruit seed</t>
        </is>
      </c>
      <c r="B344" s="5" t="inlineStr">
        <is>
          <t xml:space="preserve">Carbon 50% HCl </t>
        </is>
      </c>
      <c r="C344" s="5" t="inlineStr">
        <is>
          <t>No wash</t>
        </is>
      </c>
      <c r="D344" s="5" t="inlineStr">
        <is>
          <t>No wash</t>
        </is>
      </c>
      <c r="E344" s="5" t="inlineStr">
        <is>
          <t>Acid wash</t>
        </is>
      </c>
      <c r="F344" s="5" t="inlineStr">
        <is>
          <t>Moderate</t>
        </is>
      </c>
      <c r="G344" s="4" t="inlineStr">
        <is>
          <t>One step</t>
        </is>
      </c>
      <c r="H344" s="4" t="inlineStr">
        <is>
          <t xml:space="preserve">Pyrolysis </t>
        </is>
      </c>
      <c r="I344" s="4" t="inlineStr">
        <is>
          <t>No</t>
        </is>
      </c>
      <c r="J344" s="4" t="n">
        <v>60</v>
      </c>
      <c r="K344" s="4" t="n">
        <v>5</v>
      </c>
      <c r="L344" s="20" t="n">
        <v>1000</v>
      </c>
      <c r="M344" s="20" t="inlineStr">
        <is>
          <t>No</t>
        </is>
      </c>
      <c r="N344" s="20" t="inlineStr">
        <is>
          <t>No</t>
        </is>
      </c>
      <c r="O344" s="20" t="inlineStr">
        <is>
          <t>No</t>
        </is>
      </c>
      <c r="P344" s="20" t="inlineStr">
        <is>
          <t>No</t>
        </is>
      </c>
      <c r="Q344" s="20" t="inlineStr">
        <is>
          <t>No</t>
        </is>
      </c>
      <c r="R344" s="4" t="n">
        <v>1.52</v>
      </c>
      <c r="S344" s="4" t="n"/>
      <c r="T344" s="23" t="n">
        <v>0.978</v>
      </c>
      <c r="U344" s="4" t="n"/>
      <c r="V344" s="4" t="n"/>
      <c r="W344" s="4" t="n">
        <v>0.00347</v>
      </c>
      <c r="X344" s="4" t="n">
        <v>90.66</v>
      </c>
      <c r="Y344" s="4" t="inlineStr">
        <is>
          <t>[96]</t>
        </is>
      </c>
    </row>
    <row r="345" ht="15" customHeight="1">
      <c r="A345" s="4" t="inlineStr">
        <is>
          <t>Jack fruit seed</t>
        </is>
      </c>
      <c r="B345" s="5" t="inlineStr">
        <is>
          <t xml:space="preserve">Carbon 50% HCl </t>
        </is>
      </c>
      <c r="C345" s="5" t="inlineStr">
        <is>
          <t>No wash</t>
        </is>
      </c>
      <c r="D345" s="5" t="inlineStr">
        <is>
          <t>No wash</t>
        </is>
      </c>
      <c r="E345" s="5" t="inlineStr">
        <is>
          <t>Acid wash</t>
        </is>
      </c>
      <c r="F345" s="5" t="inlineStr">
        <is>
          <t>Moderate</t>
        </is>
      </c>
      <c r="G345" s="4" t="inlineStr">
        <is>
          <t>One step</t>
        </is>
      </c>
      <c r="H345" s="4" t="inlineStr">
        <is>
          <t xml:space="preserve">Pyrolysis </t>
        </is>
      </c>
      <c r="I345" s="4" t="inlineStr">
        <is>
          <t>No</t>
        </is>
      </c>
      <c r="J345" s="4" t="n">
        <v>60</v>
      </c>
      <c r="K345" s="4" t="n">
        <v>5</v>
      </c>
      <c r="L345" s="4" t="n">
        <v>1100</v>
      </c>
      <c r="M345" s="20" t="inlineStr">
        <is>
          <t>No</t>
        </is>
      </c>
      <c r="N345" s="20" t="inlineStr">
        <is>
          <t>No</t>
        </is>
      </c>
      <c r="O345" s="20" t="inlineStr">
        <is>
          <t>No</t>
        </is>
      </c>
      <c r="P345" s="20" t="inlineStr">
        <is>
          <t>No</t>
        </is>
      </c>
      <c r="Q345" s="20" t="inlineStr">
        <is>
          <t>No</t>
        </is>
      </c>
      <c r="R345" s="4" t="n">
        <v>1.63</v>
      </c>
      <c r="S345" s="4" t="n"/>
      <c r="T345" s="23" t="n">
        <v>0.989</v>
      </c>
      <c r="U345" s="4" t="n"/>
      <c r="V345" s="4" t="n"/>
      <c r="W345" s="4" t="n">
        <v>0.00395</v>
      </c>
      <c r="X345" s="4" t="n">
        <v>91.01000000000001</v>
      </c>
      <c r="Y345" s="4" t="inlineStr">
        <is>
          <t>[96]</t>
        </is>
      </c>
    </row>
    <row r="346" ht="15" customHeight="1">
      <c r="A346" s="4" t="inlineStr">
        <is>
          <t>Jack fruit seed</t>
        </is>
      </c>
      <c r="B346" s="5" t="inlineStr">
        <is>
          <t xml:space="preserve">Carbon 50% HCl </t>
        </is>
      </c>
      <c r="C346" s="5" t="inlineStr">
        <is>
          <t>No wash</t>
        </is>
      </c>
      <c r="D346" s="5" t="inlineStr">
        <is>
          <t>No wash</t>
        </is>
      </c>
      <c r="E346" s="5" t="inlineStr">
        <is>
          <t>Acid wash</t>
        </is>
      </c>
      <c r="F346" s="5" t="inlineStr">
        <is>
          <t>Moderate</t>
        </is>
      </c>
      <c r="G346" s="4" t="inlineStr">
        <is>
          <t>One step</t>
        </is>
      </c>
      <c r="H346" s="4" t="inlineStr">
        <is>
          <t xml:space="preserve">Pyrolysis </t>
        </is>
      </c>
      <c r="I346" s="4" t="inlineStr">
        <is>
          <t>No</t>
        </is>
      </c>
      <c r="J346" s="4" t="n">
        <v>60</v>
      </c>
      <c r="K346" s="4" t="n">
        <v>5</v>
      </c>
      <c r="L346" s="4" t="n">
        <v>1200</v>
      </c>
      <c r="M346" s="20" t="inlineStr">
        <is>
          <t>No</t>
        </is>
      </c>
      <c r="N346" s="20" t="inlineStr">
        <is>
          <t>No</t>
        </is>
      </c>
      <c r="O346" s="20" t="inlineStr">
        <is>
          <t>No</t>
        </is>
      </c>
      <c r="P346" s="20" t="inlineStr">
        <is>
          <t>No</t>
        </is>
      </c>
      <c r="Q346" s="20" t="inlineStr">
        <is>
          <t>No</t>
        </is>
      </c>
      <c r="R346" s="4" t="n">
        <v>2.67</v>
      </c>
      <c r="S346" s="4" t="n"/>
      <c r="T346" s="23" t="n">
        <v>0.993</v>
      </c>
      <c r="U346" s="4" t="n"/>
      <c r="V346" s="4" t="n"/>
      <c r="W346" s="4" t="n">
        <v>0.00553</v>
      </c>
      <c r="X346" s="4" t="n">
        <v>91.44</v>
      </c>
      <c r="Y346" s="4" t="inlineStr">
        <is>
          <t>[96]</t>
        </is>
      </c>
    </row>
    <row r="347" ht="15" customHeight="1">
      <c r="A347" s="4" t="inlineStr">
        <is>
          <t>Jack fruit seed</t>
        </is>
      </c>
      <c r="B347" s="5" t="inlineStr">
        <is>
          <t xml:space="preserve">Carbon 50% HCl </t>
        </is>
      </c>
      <c r="C347" s="5" t="inlineStr">
        <is>
          <t>No wash</t>
        </is>
      </c>
      <c r="D347" s="5" t="inlineStr">
        <is>
          <t>No wash</t>
        </is>
      </c>
      <c r="E347" s="5" t="inlineStr">
        <is>
          <t>Acid wash</t>
        </is>
      </c>
      <c r="F347" s="5" t="inlineStr">
        <is>
          <t>Moderate</t>
        </is>
      </c>
      <c r="G347" s="4" t="inlineStr">
        <is>
          <t>One step</t>
        </is>
      </c>
      <c r="H347" s="4" t="inlineStr">
        <is>
          <t xml:space="preserve">Pyrolysis </t>
        </is>
      </c>
      <c r="I347" s="4" t="inlineStr">
        <is>
          <t>No</t>
        </is>
      </c>
      <c r="J347" s="4" t="n">
        <v>60</v>
      </c>
      <c r="K347" s="4" t="n">
        <v>5</v>
      </c>
      <c r="L347" s="4" t="n">
        <v>1300</v>
      </c>
      <c r="M347" s="20" t="inlineStr">
        <is>
          <t>No</t>
        </is>
      </c>
      <c r="N347" s="20" t="inlineStr">
        <is>
          <t>No</t>
        </is>
      </c>
      <c r="O347" s="20" t="inlineStr">
        <is>
          <t>No</t>
        </is>
      </c>
      <c r="P347" s="20" t="inlineStr">
        <is>
          <t>No</t>
        </is>
      </c>
      <c r="Q347" s="20" t="inlineStr">
        <is>
          <t>No</t>
        </is>
      </c>
      <c r="R347" s="4" t="n">
        <v>3.51</v>
      </c>
      <c r="S347" s="4" t="n"/>
      <c r="T347" s="23" t="n">
        <v>0.995</v>
      </c>
      <c r="U347" s="4" t="n"/>
      <c r="V347" s="4" t="n"/>
      <c r="W347" s="4" t="n">
        <v>0.00559</v>
      </c>
      <c r="X347" s="4" t="n">
        <v>92.43000000000001</v>
      </c>
      <c r="Y347" s="4" t="inlineStr">
        <is>
          <t>[96]</t>
        </is>
      </c>
    </row>
    <row r="348" ht="15" customHeight="1">
      <c r="A348" s="4" t="inlineStr">
        <is>
          <t>Peanut shell</t>
        </is>
      </c>
      <c r="B348" s="5" t="inlineStr">
        <is>
          <t>Carbon 1M HCl</t>
        </is>
      </c>
      <c r="C348" s="5" t="inlineStr">
        <is>
          <t>No wash</t>
        </is>
      </c>
      <c r="D348" s="5" t="inlineStr">
        <is>
          <t>No wash</t>
        </is>
      </c>
      <c r="E348" s="5" t="inlineStr">
        <is>
          <t>Acid wash</t>
        </is>
      </c>
      <c r="F348" s="5" t="inlineStr">
        <is>
          <t>Mild</t>
        </is>
      </c>
      <c r="G348" s="4" t="inlineStr">
        <is>
          <t>Two step</t>
        </is>
      </c>
      <c r="H348" s="4" t="inlineStr">
        <is>
          <t xml:space="preserve">Pyrolysis </t>
        </is>
      </c>
      <c r="I348" s="4" t="inlineStr">
        <is>
          <t>No</t>
        </is>
      </c>
      <c r="J348" s="4" t="n">
        <v>120</v>
      </c>
      <c r="K348" s="4" t="n">
        <v>3</v>
      </c>
      <c r="L348" s="4" t="n">
        <v>400</v>
      </c>
      <c r="M348" s="4" t="inlineStr">
        <is>
          <t xml:space="preserve">Pyrolysis </t>
        </is>
      </c>
      <c r="N348" s="4" t="inlineStr">
        <is>
          <t>No</t>
        </is>
      </c>
      <c r="O348" s="4" t="n">
        <v>120</v>
      </c>
      <c r="P348" s="4" t="n">
        <v>5</v>
      </c>
      <c r="Q348" s="4" t="n">
        <v>1000</v>
      </c>
      <c r="R348" s="4" t="n">
        <v>35.46</v>
      </c>
      <c r="S348" s="4" t="n">
        <v>0.373</v>
      </c>
      <c r="T348" s="23" t="n">
        <v>0.91</v>
      </c>
      <c r="U348" s="4" t="n"/>
      <c r="V348" s="4" t="n"/>
      <c r="W348" s="4" t="n"/>
      <c r="X348" s="4" t="n">
        <v>93.25</v>
      </c>
      <c r="Y348" s="29" t="inlineStr">
        <is>
          <t>[97]</t>
        </is>
      </c>
    </row>
    <row r="349" ht="15" customHeight="1">
      <c r="A349" s="4" t="inlineStr">
        <is>
          <t>Coffee ground</t>
        </is>
      </c>
      <c r="B349" s="5" t="inlineStr">
        <is>
          <t>Carbon 1M HCl</t>
        </is>
      </c>
      <c r="C349" s="5" t="inlineStr">
        <is>
          <t>No wash</t>
        </is>
      </c>
      <c r="D349" s="5" t="inlineStr">
        <is>
          <t>No wash</t>
        </is>
      </c>
      <c r="E349" s="5" t="inlineStr">
        <is>
          <t>Acid wash</t>
        </is>
      </c>
      <c r="F349" s="5" t="inlineStr">
        <is>
          <t>Mild</t>
        </is>
      </c>
      <c r="G349" s="4" t="inlineStr">
        <is>
          <t>Two step</t>
        </is>
      </c>
      <c r="H349" s="4" t="inlineStr">
        <is>
          <t xml:space="preserve">Pyrolysis </t>
        </is>
      </c>
      <c r="I349" s="4" t="inlineStr">
        <is>
          <t>No</t>
        </is>
      </c>
      <c r="J349" s="4" t="n">
        <v>120</v>
      </c>
      <c r="K349" s="4" t="n">
        <v>3</v>
      </c>
      <c r="L349" s="4" t="n">
        <v>400</v>
      </c>
      <c r="M349" s="4" t="inlineStr">
        <is>
          <t xml:space="preserve">Pyrolysis </t>
        </is>
      </c>
      <c r="N349" s="4" t="inlineStr">
        <is>
          <t>No</t>
        </is>
      </c>
      <c r="O349" s="4" t="n">
        <v>120</v>
      </c>
      <c r="P349" s="4" t="n">
        <v>5</v>
      </c>
      <c r="Q349" s="4" t="n">
        <v>1000</v>
      </c>
      <c r="R349" s="4" t="n">
        <v>57.79</v>
      </c>
      <c r="S349" s="4" t="n">
        <v>0.368</v>
      </c>
      <c r="T349" s="23" t="n">
        <v>0.91</v>
      </c>
      <c r="U349" s="4" t="n"/>
      <c r="V349" s="4" t="n"/>
      <c r="W349" s="4" t="n"/>
      <c r="X349" s="4" t="n">
        <v>87.26000000000001</v>
      </c>
      <c r="Y349" s="29" t="inlineStr">
        <is>
          <t>[97]</t>
        </is>
      </c>
    </row>
    <row r="350" ht="15" customHeight="1">
      <c r="A350" s="4" t="inlineStr">
        <is>
          <t>Sugarcane bagasse</t>
        </is>
      </c>
      <c r="B350" s="5" t="inlineStr">
        <is>
          <t>Carbon 1M HCl</t>
        </is>
      </c>
      <c r="C350" s="5" t="inlineStr">
        <is>
          <t>No wash</t>
        </is>
      </c>
      <c r="D350" s="5" t="inlineStr">
        <is>
          <t>No wash</t>
        </is>
      </c>
      <c r="E350" s="5" t="inlineStr">
        <is>
          <t>Acid wash</t>
        </is>
      </c>
      <c r="F350" s="5" t="inlineStr">
        <is>
          <t>Mild</t>
        </is>
      </c>
      <c r="G350" s="4" t="inlineStr">
        <is>
          <t>Two step</t>
        </is>
      </c>
      <c r="H350" s="4" t="inlineStr">
        <is>
          <t xml:space="preserve">Pyrolysis </t>
        </is>
      </c>
      <c r="I350" s="4" t="inlineStr">
        <is>
          <t>No</t>
        </is>
      </c>
      <c r="J350" s="4" t="n">
        <v>120</v>
      </c>
      <c r="K350" s="4" t="n">
        <v>3</v>
      </c>
      <c r="L350" s="4" t="n">
        <v>400</v>
      </c>
      <c r="M350" s="4" t="inlineStr">
        <is>
          <t xml:space="preserve">Pyrolysis </t>
        </is>
      </c>
      <c r="N350" s="4" t="inlineStr">
        <is>
          <t>No</t>
        </is>
      </c>
      <c r="O350" s="4" t="n">
        <v>120</v>
      </c>
      <c r="P350" s="4" t="n">
        <v>5</v>
      </c>
      <c r="Q350" s="4" t="n">
        <v>1000</v>
      </c>
      <c r="R350" s="4" t="n">
        <v>87.29000000000001</v>
      </c>
      <c r="S350" s="4" t="n">
        <v>0.355</v>
      </c>
      <c r="T350" s="23" t="n">
        <v>0.8100000000000001</v>
      </c>
      <c r="U350" s="4" t="n"/>
      <c r="V350" s="4" t="n"/>
      <c r="W350" s="4" t="n"/>
      <c r="X350" s="4" t="n">
        <v>94.45</v>
      </c>
      <c r="Y350" s="29" t="inlineStr">
        <is>
          <t>[97]</t>
        </is>
      </c>
    </row>
    <row r="351" ht="15" customHeight="1">
      <c r="A351" s="4" t="inlineStr">
        <is>
          <t>Rice husk</t>
        </is>
      </c>
      <c r="B351" s="5" t="inlineStr">
        <is>
          <t>2M HCl</t>
        </is>
      </c>
      <c r="C351" s="5" t="inlineStr">
        <is>
          <t>Acid wash</t>
        </is>
      </c>
      <c r="D351" s="5" t="inlineStr">
        <is>
          <t>Mild</t>
        </is>
      </c>
      <c r="E351" s="5" t="inlineStr">
        <is>
          <t>No wash</t>
        </is>
      </c>
      <c r="F351" s="5" t="inlineStr">
        <is>
          <t>No wash</t>
        </is>
      </c>
      <c r="G351" s="4" t="inlineStr">
        <is>
          <t>One step</t>
        </is>
      </c>
      <c r="H351" s="4" t="inlineStr">
        <is>
          <t xml:space="preserve">Pyrolysis </t>
        </is>
      </c>
      <c r="I351" s="4" t="inlineStr">
        <is>
          <t>No</t>
        </is>
      </c>
      <c r="J351" s="4" t="n">
        <v>150</v>
      </c>
      <c r="K351" s="4" t="n">
        <v>3</v>
      </c>
      <c r="L351" s="4" t="n">
        <v>600</v>
      </c>
      <c r="M351" s="4" t="inlineStr">
        <is>
          <t>No</t>
        </is>
      </c>
      <c r="N351" s="4" t="inlineStr">
        <is>
          <t>No</t>
        </is>
      </c>
      <c r="O351" s="4" t="n">
        <v>180</v>
      </c>
      <c r="P351" s="4" t="inlineStr">
        <is>
          <t>No</t>
        </is>
      </c>
      <c r="Q351" s="4" t="n">
        <v>600</v>
      </c>
      <c r="R351" s="4" t="n">
        <v>634.0599999999999</v>
      </c>
      <c r="S351" s="4" t="n">
        <v>0.402</v>
      </c>
      <c r="T351" s="23" t="n">
        <v>0.9399999999999999</v>
      </c>
      <c r="U351" s="4" t="n">
        <v>20.38</v>
      </c>
      <c r="V351" s="4" t="n"/>
      <c r="W351" s="4" t="n"/>
      <c r="X351" s="4" t="n"/>
      <c r="Y351" s="29" t="inlineStr">
        <is>
          <t>[98]</t>
        </is>
      </c>
    </row>
    <row r="352" ht="15" customHeight="1">
      <c r="A352" s="4" t="inlineStr">
        <is>
          <t>Rice husk</t>
        </is>
      </c>
      <c r="B352" s="5" t="inlineStr">
        <is>
          <t>2M HCl</t>
        </is>
      </c>
      <c r="C352" s="5" t="inlineStr">
        <is>
          <t>Acid wash</t>
        </is>
      </c>
      <c r="D352" s="5" t="inlineStr">
        <is>
          <t>Mild</t>
        </is>
      </c>
      <c r="E352" s="5" t="inlineStr">
        <is>
          <t>No wash</t>
        </is>
      </c>
      <c r="F352" s="5" t="inlineStr">
        <is>
          <t>No wash</t>
        </is>
      </c>
      <c r="G352" s="4" t="inlineStr">
        <is>
          <t>Two step</t>
        </is>
      </c>
      <c r="H352" s="4" t="inlineStr">
        <is>
          <t xml:space="preserve">Pyrolysis </t>
        </is>
      </c>
      <c r="I352" s="4" t="inlineStr">
        <is>
          <t>No</t>
        </is>
      </c>
      <c r="J352" s="4" t="n">
        <v>150</v>
      </c>
      <c r="K352" s="4" t="n">
        <v>3</v>
      </c>
      <c r="L352" s="4" t="n">
        <v>600</v>
      </c>
      <c r="M352" s="4" t="inlineStr">
        <is>
          <t>Activation</t>
        </is>
      </c>
      <c r="N352" s="4" t="inlineStr">
        <is>
          <t>10Wt% NaOH</t>
        </is>
      </c>
      <c r="O352" s="4" t="n">
        <v>180</v>
      </c>
      <c r="P352" s="4" t="inlineStr">
        <is>
          <t>No</t>
        </is>
      </c>
      <c r="Q352" s="4" t="n">
        <v>800</v>
      </c>
      <c r="R352" s="4" t="n">
        <v>757.63</v>
      </c>
      <c r="S352" s="4" t="n">
        <v>0.395</v>
      </c>
      <c r="T352" s="23" t="n">
        <v>0.73</v>
      </c>
      <c r="U352" s="4" t="n">
        <v>26.34</v>
      </c>
      <c r="V352" s="4" t="n"/>
      <c r="W352" s="4" t="n"/>
      <c r="X352" s="4" t="n"/>
      <c r="Y352" s="29" t="inlineStr">
        <is>
          <t>[98]</t>
        </is>
      </c>
    </row>
    <row r="353" ht="15" customHeight="1">
      <c r="A353" s="4" t="inlineStr">
        <is>
          <t>Rice husk</t>
        </is>
      </c>
      <c r="B353" s="5" t="inlineStr">
        <is>
          <t>2M HCl</t>
        </is>
      </c>
      <c r="C353" s="5" t="inlineStr">
        <is>
          <t>Acid wash</t>
        </is>
      </c>
      <c r="D353" s="5" t="inlineStr">
        <is>
          <t>Mild</t>
        </is>
      </c>
      <c r="E353" s="5" t="inlineStr">
        <is>
          <t>No wash</t>
        </is>
      </c>
      <c r="F353" s="5" t="inlineStr">
        <is>
          <t>No wash</t>
        </is>
      </c>
      <c r="G353" s="4" t="inlineStr">
        <is>
          <t>Two step</t>
        </is>
      </c>
      <c r="H353" s="4" t="inlineStr">
        <is>
          <t xml:space="preserve">Pyrolysis </t>
        </is>
      </c>
      <c r="I353" s="4" t="inlineStr">
        <is>
          <t>No</t>
        </is>
      </c>
      <c r="J353" s="4" t="n">
        <v>150</v>
      </c>
      <c r="K353" s="4" t="n">
        <v>3</v>
      </c>
      <c r="L353" s="4" t="n">
        <v>600</v>
      </c>
      <c r="M353" s="4" t="inlineStr">
        <is>
          <t>Activation</t>
        </is>
      </c>
      <c r="N353" s="4" t="inlineStr">
        <is>
          <t>10Wt% NaOH</t>
        </is>
      </c>
      <c r="O353" s="4" t="n">
        <v>180</v>
      </c>
      <c r="P353" s="4" t="inlineStr">
        <is>
          <t>No</t>
        </is>
      </c>
      <c r="Q353" s="4" t="n">
        <v>1000</v>
      </c>
      <c r="R353" s="4" t="n">
        <v>584.03</v>
      </c>
      <c r="S353" s="4" t="n">
        <v>0.387</v>
      </c>
      <c r="T353" s="23" t="n">
        <v>0.65</v>
      </c>
      <c r="U353" s="4" t="n">
        <v>29.6</v>
      </c>
      <c r="V353" s="4" t="n"/>
      <c r="W353" s="4" t="n"/>
      <c r="X353" s="4" t="n"/>
      <c r="Y353" s="29" t="inlineStr">
        <is>
          <t>[98]</t>
        </is>
      </c>
    </row>
    <row r="354" ht="15" customHeight="1">
      <c r="A354" s="4" t="inlineStr">
        <is>
          <t>Rice husk</t>
        </is>
      </c>
      <c r="B354" s="5" t="inlineStr">
        <is>
          <t>2M HCl</t>
        </is>
      </c>
      <c r="C354" s="5" t="inlineStr">
        <is>
          <t>Acid wash</t>
        </is>
      </c>
      <c r="D354" s="5" t="inlineStr">
        <is>
          <t>Mild</t>
        </is>
      </c>
      <c r="E354" s="5" t="inlineStr">
        <is>
          <t>No wash</t>
        </is>
      </c>
      <c r="F354" s="5" t="inlineStr">
        <is>
          <t>No wash</t>
        </is>
      </c>
      <c r="G354" s="4" t="inlineStr">
        <is>
          <t>Two step</t>
        </is>
      </c>
      <c r="H354" s="4" t="inlineStr">
        <is>
          <t xml:space="preserve">Pyrolysis </t>
        </is>
      </c>
      <c r="I354" s="4" t="inlineStr">
        <is>
          <t>No</t>
        </is>
      </c>
      <c r="J354" s="4" t="n">
        <v>150</v>
      </c>
      <c r="K354" s="4" t="n">
        <v>3</v>
      </c>
      <c r="L354" s="4" t="n">
        <v>600</v>
      </c>
      <c r="M354" s="4" t="inlineStr">
        <is>
          <t>Activation</t>
        </is>
      </c>
      <c r="N354" s="4" t="inlineStr">
        <is>
          <t>10Wt% NaOH</t>
        </is>
      </c>
      <c r="O354" s="4" t="n">
        <v>180</v>
      </c>
      <c r="P354" s="4" t="inlineStr">
        <is>
          <t>No</t>
        </is>
      </c>
      <c r="Q354" s="4" t="n">
        <v>1200</v>
      </c>
      <c r="R354" s="4" t="n">
        <v>459.29</v>
      </c>
      <c r="S354" s="4" t="n">
        <v>0.382</v>
      </c>
      <c r="T354" s="23" t="n">
        <v>0.5600000000000001</v>
      </c>
      <c r="U354" s="4" t="n">
        <v>34.41</v>
      </c>
      <c r="V354" s="4" t="n"/>
      <c r="W354" s="4" t="n"/>
      <c r="X354" s="4" t="n"/>
      <c r="Y354" s="29" t="inlineStr">
        <is>
          <t>[98]</t>
        </is>
      </c>
    </row>
    <row r="355" ht="15" customHeight="1">
      <c r="A355" s="4" t="inlineStr">
        <is>
          <t>Rice husk</t>
        </is>
      </c>
      <c r="B355" s="5" t="inlineStr">
        <is>
          <t>2M HCl</t>
        </is>
      </c>
      <c r="C355" s="5" t="inlineStr">
        <is>
          <t>Acid wash</t>
        </is>
      </c>
      <c r="D355" s="5" t="inlineStr">
        <is>
          <t>Mild</t>
        </is>
      </c>
      <c r="E355" s="5" t="inlineStr">
        <is>
          <t>No wash</t>
        </is>
      </c>
      <c r="F355" s="5" t="inlineStr">
        <is>
          <t>No wash</t>
        </is>
      </c>
      <c r="G355" s="4" t="inlineStr">
        <is>
          <t>Two step</t>
        </is>
      </c>
      <c r="H355" s="4" t="inlineStr">
        <is>
          <t xml:space="preserve">Pyrolysis </t>
        </is>
      </c>
      <c r="I355" s="4" t="inlineStr">
        <is>
          <t>No</t>
        </is>
      </c>
      <c r="J355" s="4" t="n">
        <v>150</v>
      </c>
      <c r="K355" s="4" t="n">
        <v>3</v>
      </c>
      <c r="L355" s="4" t="n">
        <v>600</v>
      </c>
      <c r="M355" s="4" t="inlineStr">
        <is>
          <t>Activation</t>
        </is>
      </c>
      <c r="N355" s="4" t="inlineStr">
        <is>
          <t>10Wt% NaOH</t>
        </is>
      </c>
      <c r="O355" s="4" t="n">
        <v>180</v>
      </c>
      <c r="P355" s="4" t="inlineStr">
        <is>
          <t>No</t>
        </is>
      </c>
      <c r="Q355" s="4" t="n">
        <v>1400</v>
      </c>
      <c r="R355" s="4" t="n">
        <v>424.86</v>
      </c>
      <c r="S355" s="4" t="n">
        <v>0.375</v>
      </c>
      <c r="T355" s="23" t="n">
        <v>0.37</v>
      </c>
      <c r="U355" s="4" t="n">
        <v>51.91</v>
      </c>
      <c r="V355" s="4" t="n"/>
      <c r="W355" s="4" t="n"/>
      <c r="X355" s="4" t="n"/>
      <c r="Y355" s="29" t="inlineStr">
        <is>
          <t>[98]</t>
        </is>
      </c>
    </row>
    <row r="356" ht="15" customHeight="1">
      <c r="A356" s="4" t="inlineStr">
        <is>
          <t xml:space="preserve">Eucalyptus wood </t>
        </is>
      </c>
      <c r="B356" s="5" t="inlineStr">
        <is>
          <t>10% HCl</t>
        </is>
      </c>
      <c r="C356" s="5" t="inlineStr">
        <is>
          <t>Acid wash</t>
        </is>
      </c>
      <c r="D356" s="5" t="inlineStr">
        <is>
          <t>Mild</t>
        </is>
      </c>
      <c r="E356" s="5" t="inlineStr">
        <is>
          <t>No wash</t>
        </is>
      </c>
      <c r="F356" s="5" t="inlineStr">
        <is>
          <t>No wash</t>
        </is>
      </c>
      <c r="G356" s="4" t="inlineStr">
        <is>
          <t>One step</t>
        </is>
      </c>
      <c r="H356" s="4" t="inlineStr">
        <is>
          <t xml:space="preserve">Pyrolysis </t>
        </is>
      </c>
      <c r="I356" s="4" t="inlineStr">
        <is>
          <t>No</t>
        </is>
      </c>
      <c r="J356" s="4" t="n">
        <v>120</v>
      </c>
      <c r="K356" s="4" t="n">
        <v>5</v>
      </c>
      <c r="L356" s="4" t="n">
        <v>700</v>
      </c>
      <c r="M356" s="4" t="inlineStr">
        <is>
          <t>No</t>
        </is>
      </c>
      <c r="N356" s="4" t="inlineStr">
        <is>
          <t>No</t>
        </is>
      </c>
      <c r="O356" s="4" t="inlineStr">
        <is>
          <t>No</t>
        </is>
      </c>
      <c r="P356" s="4" t="inlineStr">
        <is>
          <t>No</t>
        </is>
      </c>
      <c r="Q356" s="4" t="inlineStr">
        <is>
          <t>No</t>
        </is>
      </c>
      <c r="R356" s="4" t="n">
        <v>352.06</v>
      </c>
      <c r="S356" s="4" t="n">
        <v>0.403</v>
      </c>
      <c r="T356" s="23">
        <f>1/2.1</f>
        <v/>
      </c>
      <c r="U356" s="4" t="n">
        <v>9.15</v>
      </c>
      <c r="V356" s="4" t="n"/>
      <c r="W356" s="4" t="n">
        <v>0.17</v>
      </c>
      <c r="X356" s="4" t="n"/>
      <c r="Y356" s="29" t="inlineStr">
        <is>
          <t>[99]</t>
        </is>
      </c>
    </row>
    <row r="357" ht="15" customHeight="1">
      <c r="A357" s="4" t="inlineStr">
        <is>
          <t xml:space="preserve">Eucalyptus wood </t>
        </is>
      </c>
      <c r="B357" s="5" t="inlineStr">
        <is>
          <t>10% HCl</t>
        </is>
      </c>
      <c r="C357" s="5" t="inlineStr">
        <is>
          <t>Acid wash</t>
        </is>
      </c>
      <c r="D357" s="5" t="inlineStr">
        <is>
          <t>Mild</t>
        </is>
      </c>
      <c r="E357" s="5" t="inlineStr">
        <is>
          <t>No wash</t>
        </is>
      </c>
      <c r="F357" s="5" t="inlineStr">
        <is>
          <t>No wash</t>
        </is>
      </c>
      <c r="G357" s="4" t="inlineStr">
        <is>
          <t>One step</t>
        </is>
      </c>
      <c r="H357" s="4" t="inlineStr">
        <is>
          <t xml:space="preserve">Pyrolysis </t>
        </is>
      </c>
      <c r="I357" s="4" t="inlineStr">
        <is>
          <t>No</t>
        </is>
      </c>
      <c r="J357" s="4" t="n">
        <v>120</v>
      </c>
      <c r="K357" s="4" t="n">
        <v>5</v>
      </c>
      <c r="L357" s="4" t="n">
        <v>900</v>
      </c>
      <c r="M357" s="4" t="inlineStr">
        <is>
          <t>No</t>
        </is>
      </c>
      <c r="N357" s="4" t="inlineStr">
        <is>
          <t>No</t>
        </is>
      </c>
      <c r="O357" s="4" t="inlineStr">
        <is>
          <t>No</t>
        </is>
      </c>
      <c r="P357" s="4" t="inlineStr">
        <is>
          <t>No</t>
        </is>
      </c>
      <c r="Q357" s="4" t="inlineStr">
        <is>
          <t>No</t>
        </is>
      </c>
      <c r="R357" s="4" t="n">
        <v>131.8</v>
      </c>
      <c r="S357" s="4" t="n">
        <v>0.399</v>
      </c>
      <c r="T357" s="23">
        <f>1/2.01</f>
        <v/>
      </c>
      <c r="U357" s="4" t="n">
        <v>9.57</v>
      </c>
      <c r="V357" s="4" t="n"/>
      <c r="W357" s="4" t="n">
        <v>0.078</v>
      </c>
      <c r="X357" s="4" t="n"/>
      <c r="Y357" s="29" t="inlineStr">
        <is>
          <t>[99]</t>
        </is>
      </c>
    </row>
    <row r="358" ht="15" customHeight="1">
      <c r="A358" s="4" t="inlineStr">
        <is>
          <t xml:space="preserve">Eucalyptus wood </t>
        </is>
      </c>
      <c r="B358" s="5" t="inlineStr">
        <is>
          <t>10% HCl</t>
        </is>
      </c>
      <c r="C358" s="5" t="inlineStr">
        <is>
          <t>Acid wash</t>
        </is>
      </c>
      <c r="D358" s="5" t="inlineStr">
        <is>
          <t>Mild</t>
        </is>
      </c>
      <c r="E358" s="5" t="inlineStr">
        <is>
          <t>No wash</t>
        </is>
      </c>
      <c r="F358" s="5" t="inlineStr">
        <is>
          <t>No wash</t>
        </is>
      </c>
      <c r="G358" s="4" t="inlineStr">
        <is>
          <t>One step</t>
        </is>
      </c>
      <c r="H358" s="4" t="inlineStr">
        <is>
          <t xml:space="preserve">Pyrolysis </t>
        </is>
      </c>
      <c r="I358" s="4" t="inlineStr">
        <is>
          <t>No</t>
        </is>
      </c>
      <c r="J358" s="4" t="n">
        <v>120</v>
      </c>
      <c r="K358" s="4" t="n">
        <v>5</v>
      </c>
      <c r="L358" s="4" t="n">
        <v>1100</v>
      </c>
      <c r="M358" s="4" t="inlineStr">
        <is>
          <t>No</t>
        </is>
      </c>
      <c r="N358" s="4" t="inlineStr">
        <is>
          <t>No</t>
        </is>
      </c>
      <c r="O358" s="4" t="inlineStr">
        <is>
          <t>No</t>
        </is>
      </c>
      <c r="P358" s="4" t="inlineStr">
        <is>
          <t>No</t>
        </is>
      </c>
      <c r="Q358" s="4" t="inlineStr">
        <is>
          <t>No</t>
        </is>
      </c>
      <c r="R358" s="4" t="n">
        <v>18.74</v>
      </c>
      <c r="S358" s="4" t="n">
        <v>0.394</v>
      </c>
      <c r="T358" s="23">
        <f>1/1.77</f>
        <v/>
      </c>
      <c r="U358" s="4" t="n">
        <v>10.87</v>
      </c>
      <c r="V358" s="4" t="n"/>
      <c r="W358" s="4" t="n">
        <v>0.017</v>
      </c>
      <c r="X358" s="4" t="n"/>
      <c r="Y358" s="29" t="inlineStr">
        <is>
          <t>[99]</t>
        </is>
      </c>
    </row>
    <row r="359" ht="15" customHeight="1">
      <c r="A359" s="4" t="inlineStr">
        <is>
          <t xml:space="preserve">Eucalyptus wood </t>
        </is>
      </c>
      <c r="B359" s="5" t="inlineStr">
        <is>
          <t>10% HCl</t>
        </is>
      </c>
      <c r="C359" s="5" t="inlineStr">
        <is>
          <t>Acid wash</t>
        </is>
      </c>
      <c r="D359" s="5" t="inlineStr">
        <is>
          <t>Mild</t>
        </is>
      </c>
      <c r="E359" s="5" t="inlineStr">
        <is>
          <t>No wash</t>
        </is>
      </c>
      <c r="F359" s="5" t="inlineStr">
        <is>
          <t>No wash</t>
        </is>
      </c>
      <c r="G359" s="4" t="inlineStr">
        <is>
          <t>One step</t>
        </is>
      </c>
      <c r="H359" s="4" t="inlineStr">
        <is>
          <t xml:space="preserve">Pyrolysis </t>
        </is>
      </c>
      <c r="I359" s="4" t="inlineStr">
        <is>
          <t>No</t>
        </is>
      </c>
      <c r="J359" s="4" t="n">
        <v>120</v>
      </c>
      <c r="K359" s="4" t="n">
        <v>5</v>
      </c>
      <c r="L359" s="4" t="n">
        <v>1400</v>
      </c>
      <c r="M359" s="4" t="inlineStr">
        <is>
          <t>No</t>
        </is>
      </c>
      <c r="N359" s="4" t="inlineStr">
        <is>
          <t>No</t>
        </is>
      </c>
      <c r="O359" s="4" t="inlineStr">
        <is>
          <t>No</t>
        </is>
      </c>
      <c r="P359" s="4" t="inlineStr">
        <is>
          <t>No</t>
        </is>
      </c>
      <c r="Q359" s="4" t="inlineStr">
        <is>
          <t>No</t>
        </is>
      </c>
      <c r="R359" s="4" t="n">
        <v>6.64</v>
      </c>
      <c r="S359" s="4" t="n">
        <v>0.386</v>
      </c>
      <c r="T359" s="23">
        <f>1/1.54</f>
        <v/>
      </c>
      <c r="U359" s="4" t="n">
        <v>12.52</v>
      </c>
      <c r="V359" s="4" t="n"/>
      <c r="W359" s="4" t="n">
        <v>0.011</v>
      </c>
      <c r="X359" s="4" t="n"/>
      <c r="Y359" s="29" t="inlineStr">
        <is>
          <t>[99]</t>
        </is>
      </c>
    </row>
    <row r="360" ht="15" customHeight="1">
      <c r="A360" s="4" t="inlineStr">
        <is>
          <t>Cucumber stem</t>
        </is>
      </c>
      <c r="B360" s="5" t="inlineStr">
        <is>
          <t>Carbon 10% KOH, 1M HCl</t>
        </is>
      </c>
      <c r="C360" s="5" t="inlineStr">
        <is>
          <t>No wash</t>
        </is>
      </c>
      <c r="D360" s="5" t="inlineStr">
        <is>
          <t>No wash</t>
        </is>
      </c>
      <c r="E360" s="5" t="inlineStr">
        <is>
          <t>Alkali wash</t>
        </is>
      </c>
      <c r="F360" s="5" t="inlineStr">
        <is>
          <t>Mild</t>
        </is>
      </c>
      <c r="G360" s="4" t="inlineStr">
        <is>
          <t>Two step</t>
        </is>
      </c>
      <c r="H360" s="4" t="inlineStr">
        <is>
          <t xml:space="preserve">Pyrolysis </t>
        </is>
      </c>
      <c r="I360" s="4" t="inlineStr">
        <is>
          <t>No</t>
        </is>
      </c>
      <c r="J360" s="4" t="n"/>
      <c r="K360" s="4" t="n">
        <v>5</v>
      </c>
      <c r="L360" s="4" t="n">
        <v>600</v>
      </c>
      <c r="M360" s="4" t="inlineStr">
        <is>
          <t xml:space="preserve">Pyrolysis </t>
        </is>
      </c>
      <c r="N360" s="4" t="inlineStr">
        <is>
          <t>No</t>
        </is>
      </c>
      <c r="O360" s="4" t="inlineStr">
        <is>
          <t>No</t>
        </is>
      </c>
      <c r="P360" s="4" t="inlineStr">
        <is>
          <t>No</t>
        </is>
      </c>
      <c r="Q360" s="4" t="n">
        <v>800</v>
      </c>
      <c r="R360" s="4" t="n">
        <v>76.67</v>
      </c>
      <c r="S360" s="4" t="n">
        <v>0.391</v>
      </c>
      <c r="T360" s="23">
        <f>1/1.87</f>
        <v/>
      </c>
      <c r="U360" s="4" t="n">
        <v>1.156</v>
      </c>
      <c r="V360" s="4" t="n">
        <v>0.71</v>
      </c>
      <c r="W360" s="4" t="n">
        <v>0.067</v>
      </c>
      <c r="X360" s="4" t="n"/>
      <c r="Y360" s="29" t="inlineStr">
        <is>
          <t>[100]</t>
        </is>
      </c>
    </row>
    <row r="361" ht="15" customHeight="1">
      <c r="A361" s="4" t="inlineStr">
        <is>
          <t>Cucumber stem</t>
        </is>
      </c>
      <c r="B361" s="5" t="inlineStr">
        <is>
          <t>Carbon 10% KOH, 1M HCl</t>
        </is>
      </c>
      <c r="C361" s="5" t="inlineStr">
        <is>
          <t>No wash</t>
        </is>
      </c>
      <c r="D361" s="5" t="inlineStr">
        <is>
          <t>No wash</t>
        </is>
      </c>
      <c r="E361" s="5" t="inlineStr">
        <is>
          <t>Alkali wash</t>
        </is>
      </c>
      <c r="F361" s="5" t="inlineStr">
        <is>
          <t>Mild</t>
        </is>
      </c>
      <c r="G361" s="4" t="inlineStr">
        <is>
          <t>Two step</t>
        </is>
      </c>
      <c r="H361" s="4" t="inlineStr">
        <is>
          <t xml:space="preserve">Pyrolysis </t>
        </is>
      </c>
      <c r="I361" s="4" t="inlineStr">
        <is>
          <t>No</t>
        </is>
      </c>
      <c r="J361" s="4" t="n"/>
      <c r="K361" s="4" t="n">
        <v>5</v>
      </c>
      <c r="L361" s="4" t="n">
        <v>600</v>
      </c>
      <c r="M361" s="4" t="inlineStr">
        <is>
          <t xml:space="preserve">Pyrolysis </t>
        </is>
      </c>
      <c r="N361" s="4" t="inlineStr">
        <is>
          <t>No</t>
        </is>
      </c>
      <c r="O361" s="4" t="inlineStr">
        <is>
          <t>No</t>
        </is>
      </c>
      <c r="P361" s="4" t="inlineStr">
        <is>
          <t>No</t>
        </is>
      </c>
      <c r="Q361" s="4" t="n">
        <v>900</v>
      </c>
      <c r="R361" s="4" t="n">
        <v>147.16</v>
      </c>
      <c r="S361" s="4" t="n">
        <v>0.387</v>
      </c>
      <c r="T361" s="23">
        <f>1/1.82</f>
        <v/>
      </c>
      <c r="U361" s="4" t="n">
        <v>1.63</v>
      </c>
      <c r="V361" s="4" t="n">
        <v>0.75</v>
      </c>
      <c r="W361" s="4" t="n">
        <v>0.07199999999999999</v>
      </c>
      <c r="X361" s="4" t="n">
        <v>86.03</v>
      </c>
      <c r="Y361" s="29" t="inlineStr">
        <is>
          <t>[100]</t>
        </is>
      </c>
    </row>
    <row r="362" ht="15" customHeight="1">
      <c r="A362" s="4" t="inlineStr">
        <is>
          <t>Cucumber stem</t>
        </is>
      </c>
      <c r="B362" s="5" t="inlineStr">
        <is>
          <t>Carbon 10% KOH, 1M HCl</t>
        </is>
      </c>
      <c r="C362" s="5" t="inlineStr">
        <is>
          <t>No wash</t>
        </is>
      </c>
      <c r="D362" s="5" t="inlineStr">
        <is>
          <t>No wash</t>
        </is>
      </c>
      <c r="E362" s="5" t="inlineStr">
        <is>
          <t>Alkali wash</t>
        </is>
      </c>
      <c r="F362" s="5" t="inlineStr">
        <is>
          <t>Mild</t>
        </is>
      </c>
      <c r="G362" s="4" t="inlineStr">
        <is>
          <t>Two step</t>
        </is>
      </c>
      <c r="H362" s="4" t="inlineStr">
        <is>
          <t xml:space="preserve">Pyrolysis </t>
        </is>
      </c>
      <c r="I362" s="4" t="inlineStr">
        <is>
          <t>No</t>
        </is>
      </c>
      <c r="J362" s="4" t="n"/>
      <c r="K362" s="4" t="n">
        <v>5</v>
      </c>
      <c r="L362" s="4" t="n">
        <v>600</v>
      </c>
      <c r="M362" s="4" t="inlineStr">
        <is>
          <t xml:space="preserve">Pyrolysis </t>
        </is>
      </c>
      <c r="N362" s="4" t="inlineStr">
        <is>
          <t>No</t>
        </is>
      </c>
      <c r="O362" s="4" t="inlineStr">
        <is>
          <t>No</t>
        </is>
      </c>
      <c r="P362" s="4" t="inlineStr">
        <is>
          <t>No</t>
        </is>
      </c>
      <c r="Q362" s="4" t="n">
        <v>1000</v>
      </c>
      <c r="R362" s="4" t="n">
        <v>253.46</v>
      </c>
      <c r="S362" s="4" t="n">
        <v>0.383</v>
      </c>
      <c r="T362" s="23">
        <f>1/1.69</f>
        <v/>
      </c>
      <c r="U362" s="4" t="n">
        <v>1.76</v>
      </c>
      <c r="V362" s="4" t="n">
        <v>0.8</v>
      </c>
      <c r="W362" s="4" t="n">
        <v>0.11</v>
      </c>
      <c r="X362" s="4" t="n">
        <v>87.05</v>
      </c>
      <c r="Y362" s="29" t="inlineStr">
        <is>
          <t>[100]</t>
        </is>
      </c>
    </row>
    <row r="363" ht="15" customHeight="1">
      <c r="A363" s="4" t="inlineStr">
        <is>
          <t>Cucumber stem</t>
        </is>
      </c>
      <c r="B363" s="5" t="inlineStr">
        <is>
          <t>Carbon 10% KOH, 1M HCl</t>
        </is>
      </c>
      <c r="C363" s="5" t="inlineStr">
        <is>
          <t>No wash</t>
        </is>
      </c>
      <c r="D363" s="5" t="inlineStr">
        <is>
          <t>No wash</t>
        </is>
      </c>
      <c r="E363" s="5" t="inlineStr">
        <is>
          <t>Alkali wash</t>
        </is>
      </c>
      <c r="F363" s="5" t="inlineStr">
        <is>
          <t>Mild</t>
        </is>
      </c>
      <c r="G363" s="4" t="inlineStr">
        <is>
          <t>Two step</t>
        </is>
      </c>
      <c r="H363" s="4" t="inlineStr">
        <is>
          <t xml:space="preserve">Pyrolysis </t>
        </is>
      </c>
      <c r="I363" s="4" t="inlineStr">
        <is>
          <t>No</t>
        </is>
      </c>
      <c r="J363" s="4" t="n"/>
      <c r="K363" s="4" t="n">
        <v>5</v>
      </c>
      <c r="L363" s="4" t="n">
        <v>600</v>
      </c>
      <c r="M363" s="4" t="inlineStr">
        <is>
          <t xml:space="preserve">Pyrolysis </t>
        </is>
      </c>
      <c r="N363" s="4" t="inlineStr">
        <is>
          <t>No</t>
        </is>
      </c>
      <c r="O363" s="4" t="inlineStr">
        <is>
          <t>No</t>
        </is>
      </c>
      <c r="P363" s="4" t="inlineStr">
        <is>
          <t>No</t>
        </is>
      </c>
      <c r="Q363" s="4" t="n">
        <v>1100</v>
      </c>
      <c r="R363" s="4" t="n">
        <v>312.63</v>
      </c>
      <c r="S363" s="4" t="n">
        <v>0.38</v>
      </c>
      <c r="T363" s="23">
        <f>1/1.65</f>
        <v/>
      </c>
      <c r="U363" s="4" t="n">
        <v>1.98</v>
      </c>
      <c r="V363" s="4" t="n">
        <v>0.97</v>
      </c>
      <c r="W363" s="4" t="n">
        <v>0.114</v>
      </c>
      <c r="X363" s="4" t="n">
        <v>90.27</v>
      </c>
      <c r="Y363" s="29" t="inlineStr">
        <is>
          <t>[100]</t>
        </is>
      </c>
    </row>
    <row r="364" ht="15" customHeight="1">
      <c r="A364" s="4" t="inlineStr">
        <is>
          <t>Cucumber stem</t>
        </is>
      </c>
      <c r="B364" s="5" t="inlineStr">
        <is>
          <t>Carbon 1M HCl</t>
        </is>
      </c>
      <c r="C364" s="5" t="inlineStr">
        <is>
          <t>No wash</t>
        </is>
      </c>
      <c r="D364" s="5" t="inlineStr">
        <is>
          <t>No wash</t>
        </is>
      </c>
      <c r="E364" s="5" t="inlineStr">
        <is>
          <t>Acid wash</t>
        </is>
      </c>
      <c r="F364" s="5" t="inlineStr">
        <is>
          <t>Mild</t>
        </is>
      </c>
      <c r="G364" s="4" t="inlineStr">
        <is>
          <t>Two step</t>
        </is>
      </c>
      <c r="H364" s="4" t="inlineStr">
        <is>
          <t>HTC</t>
        </is>
      </c>
      <c r="I364" s="4" t="inlineStr">
        <is>
          <t>No</t>
        </is>
      </c>
      <c r="J364" s="4" t="n">
        <v>360</v>
      </c>
      <c r="K364" s="4" t="n"/>
      <c r="L364" s="4" t="n">
        <v>150</v>
      </c>
      <c r="M364" s="4" t="inlineStr">
        <is>
          <t xml:space="preserve">Pyrolysis </t>
        </is>
      </c>
      <c r="N364" s="4" t="inlineStr">
        <is>
          <t>No</t>
        </is>
      </c>
      <c r="O364" s="4" t="inlineStr">
        <is>
          <t>No</t>
        </is>
      </c>
      <c r="P364" s="4" t="inlineStr">
        <is>
          <t>No</t>
        </is>
      </c>
      <c r="Q364" s="4" t="n">
        <v>1000</v>
      </c>
      <c r="R364" s="4" t="n">
        <v>1988.9</v>
      </c>
      <c r="S364" s="4" t="n">
        <v>0.369</v>
      </c>
      <c r="T364" s="23">
        <f>1/1.05</f>
        <v/>
      </c>
      <c r="U364" s="4" t="n">
        <v>1.85</v>
      </c>
      <c r="V364" s="4" t="n">
        <v>0.6899999999999999</v>
      </c>
      <c r="W364" s="4" t="n">
        <v>1.63</v>
      </c>
      <c r="X364" s="4" t="n">
        <v>94.11</v>
      </c>
      <c r="Y364" s="29" t="inlineStr">
        <is>
          <t>[100]</t>
        </is>
      </c>
    </row>
    <row r="365" ht="15" customHeight="1">
      <c r="A365" s="4" t="inlineStr">
        <is>
          <t>Sugarcane bagasse</t>
        </is>
      </c>
      <c r="B365" s="5" t="inlineStr">
        <is>
          <t>Water wash</t>
        </is>
      </c>
      <c r="C365" s="5" t="inlineStr">
        <is>
          <t>No wash</t>
        </is>
      </c>
      <c r="D365" s="5" t="inlineStr">
        <is>
          <t>No wash</t>
        </is>
      </c>
      <c r="E365" s="5" t="inlineStr">
        <is>
          <t>No wash</t>
        </is>
      </c>
      <c r="F365" s="5" t="inlineStr">
        <is>
          <t>No wash</t>
        </is>
      </c>
      <c r="G365" s="4" t="inlineStr">
        <is>
          <t>One step</t>
        </is>
      </c>
      <c r="H365" s="4" t="inlineStr">
        <is>
          <t>pyrolysis</t>
        </is>
      </c>
      <c r="I365" s="4" t="inlineStr">
        <is>
          <t>NO</t>
        </is>
      </c>
      <c r="J365" s="4" t="n">
        <v>480</v>
      </c>
      <c r="K365" s="4" t="n">
        <v>5</v>
      </c>
      <c r="L365" s="4" t="n">
        <v>750</v>
      </c>
      <c r="M365" s="4" t="inlineStr">
        <is>
          <t>No</t>
        </is>
      </c>
      <c r="N365" s="4" t="inlineStr">
        <is>
          <t>No</t>
        </is>
      </c>
      <c r="O365" s="4" t="inlineStr">
        <is>
          <t>No</t>
        </is>
      </c>
      <c r="P365" s="4" t="inlineStr">
        <is>
          <t>No</t>
        </is>
      </c>
      <c r="Q365" s="4" t="inlineStr">
        <is>
          <t>No</t>
        </is>
      </c>
      <c r="R365" s="4" t="n">
        <v>8</v>
      </c>
      <c r="S365" s="4" t="n">
        <v>0.381</v>
      </c>
      <c r="T365" s="23" t="n">
        <v>1.33</v>
      </c>
      <c r="U365" s="4" t="n"/>
      <c r="V365" s="4" t="n"/>
      <c r="W365" s="4" t="n"/>
      <c r="X365" s="4" t="n">
        <v>94.7</v>
      </c>
      <c r="Y365" s="29" t="inlineStr">
        <is>
          <t>[100]</t>
        </is>
      </c>
    </row>
    <row r="366" ht="15" customHeight="1">
      <c r="A366" s="4" t="inlineStr">
        <is>
          <t>Sugarcane bagasse</t>
        </is>
      </c>
      <c r="B366" s="5" t="inlineStr">
        <is>
          <t>Water wash</t>
        </is>
      </c>
      <c r="C366" s="5" t="inlineStr">
        <is>
          <t>No wash</t>
        </is>
      </c>
      <c r="D366" s="5" t="inlineStr">
        <is>
          <t>No wash</t>
        </is>
      </c>
      <c r="E366" s="5" t="inlineStr">
        <is>
          <t>No wash</t>
        </is>
      </c>
      <c r="F366" s="5" t="inlineStr">
        <is>
          <t>No wash</t>
        </is>
      </c>
      <c r="G366" s="4" t="inlineStr">
        <is>
          <t>One step</t>
        </is>
      </c>
      <c r="H366" s="4" t="inlineStr">
        <is>
          <t>pyrolysis</t>
        </is>
      </c>
      <c r="I366" s="4" t="inlineStr">
        <is>
          <t>NO</t>
        </is>
      </c>
      <c r="J366" s="4" t="n">
        <v>480</v>
      </c>
      <c r="K366" s="4" t="n">
        <v>5</v>
      </c>
      <c r="L366" s="4" t="n">
        <v>1050</v>
      </c>
      <c r="M366" s="4" t="inlineStr">
        <is>
          <t>No</t>
        </is>
      </c>
      <c r="N366" s="4" t="inlineStr">
        <is>
          <t>No</t>
        </is>
      </c>
      <c r="O366" s="4" t="inlineStr">
        <is>
          <t>No</t>
        </is>
      </c>
      <c r="P366" s="4" t="inlineStr">
        <is>
          <t>No</t>
        </is>
      </c>
      <c r="Q366" s="4" t="inlineStr">
        <is>
          <t>No</t>
        </is>
      </c>
      <c r="R366" s="4" t="n">
        <v>2</v>
      </c>
      <c r="S366" s="4" t="n">
        <v>0.371</v>
      </c>
      <c r="T366" s="23" t="n">
        <v>0.75</v>
      </c>
      <c r="U366" s="4" t="n"/>
      <c r="V366" s="4" t="n"/>
      <c r="W366" s="4" t="n"/>
      <c r="X366" s="4" t="n">
        <v>97</v>
      </c>
      <c r="Y366" s="29" t="inlineStr">
        <is>
          <t>[100]</t>
        </is>
      </c>
    </row>
    <row r="367" ht="15" customHeight="1">
      <c r="A367" s="4" t="inlineStr">
        <is>
          <t>Tea</t>
        </is>
      </c>
      <c r="B367" s="5" t="inlineStr">
        <is>
          <t>1M HCl</t>
        </is>
      </c>
      <c r="C367" s="5" t="inlineStr">
        <is>
          <t>Acid wash</t>
        </is>
      </c>
      <c r="D367" s="5" t="inlineStr">
        <is>
          <t>Mild</t>
        </is>
      </c>
      <c r="E367" s="5" t="inlineStr">
        <is>
          <t>No wash</t>
        </is>
      </c>
      <c r="F367" s="5" t="inlineStr">
        <is>
          <t>No wash</t>
        </is>
      </c>
      <c r="G367" s="4" t="inlineStr">
        <is>
          <t>One step</t>
        </is>
      </c>
      <c r="H367" s="4" t="inlineStr">
        <is>
          <t xml:space="preserve">Pyrolysis </t>
        </is>
      </c>
      <c r="I367" s="4" t="inlineStr">
        <is>
          <t>No</t>
        </is>
      </c>
      <c r="J367" s="4" t="n">
        <v>120</v>
      </c>
      <c r="K367" s="4" t="n">
        <v>5</v>
      </c>
      <c r="L367" s="4" t="n">
        <v>1000</v>
      </c>
      <c r="M367" s="4" t="inlineStr">
        <is>
          <t>No</t>
        </is>
      </c>
      <c r="N367" s="4" t="inlineStr">
        <is>
          <t>No</t>
        </is>
      </c>
      <c r="O367" s="4" t="inlineStr">
        <is>
          <t>No</t>
        </is>
      </c>
      <c r="P367" s="4" t="inlineStr">
        <is>
          <t>No</t>
        </is>
      </c>
      <c r="Q367" s="4" t="inlineStr">
        <is>
          <t>No</t>
        </is>
      </c>
      <c r="R367" s="4" t="n">
        <v>56</v>
      </c>
      <c r="S367" s="4" t="n">
        <v>0.379</v>
      </c>
      <c r="T367" s="23" t="n"/>
      <c r="U367" s="4" t="n"/>
      <c r="V367" s="4" t="n"/>
      <c r="W367" s="4" t="n"/>
      <c r="X367" s="4" t="n"/>
      <c r="Y367" s="29" t="inlineStr">
        <is>
          <t>[101]</t>
        </is>
      </c>
    </row>
    <row r="368" ht="15" customHeight="1">
      <c r="A368" s="4" t="inlineStr">
        <is>
          <t>Tea</t>
        </is>
      </c>
      <c r="B368" s="5" t="inlineStr">
        <is>
          <t>1M HCl</t>
        </is>
      </c>
      <c r="C368" s="5" t="inlineStr">
        <is>
          <t>Acid wash</t>
        </is>
      </c>
      <c r="D368" s="5" t="inlineStr">
        <is>
          <t>Mild</t>
        </is>
      </c>
      <c r="E368" s="5" t="inlineStr">
        <is>
          <t>No wash</t>
        </is>
      </c>
      <c r="F368" s="5" t="inlineStr">
        <is>
          <t>No wash</t>
        </is>
      </c>
      <c r="G368" s="4" t="inlineStr">
        <is>
          <t>One step</t>
        </is>
      </c>
      <c r="H368" s="4" t="inlineStr">
        <is>
          <t xml:space="preserve">Pyrolysis </t>
        </is>
      </c>
      <c r="I368" s="4" t="inlineStr">
        <is>
          <t>No</t>
        </is>
      </c>
      <c r="J368" s="4" t="n">
        <v>120</v>
      </c>
      <c r="K368" s="4" t="n">
        <v>5</v>
      </c>
      <c r="L368" s="4" t="n">
        <v>1200</v>
      </c>
      <c r="M368" s="4" t="inlineStr">
        <is>
          <t>No</t>
        </is>
      </c>
      <c r="N368" s="4" t="inlineStr">
        <is>
          <t>No</t>
        </is>
      </c>
      <c r="O368" s="4" t="inlineStr">
        <is>
          <t>No</t>
        </is>
      </c>
      <c r="P368" s="4" t="inlineStr">
        <is>
          <t>No</t>
        </is>
      </c>
      <c r="Q368" s="4" t="inlineStr">
        <is>
          <t>No</t>
        </is>
      </c>
      <c r="R368" s="4" t="n">
        <v>38</v>
      </c>
      <c r="S368" s="4" t="n">
        <v>0.375</v>
      </c>
      <c r="T368" s="23" t="n"/>
      <c r="U368" s="4" t="n"/>
      <c r="V368" s="4" t="n"/>
      <c r="W368" s="4" t="n"/>
      <c r="X368" s="4" t="n"/>
      <c r="Y368" s="29" t="inlineStr">
        <is>
          <t>[101]</t>
        </is>
      </c>
    </row>
    <row r="369" ht="15" customHeight="1">
      <c r="A369" s="4" t="inlineStr">
        <is>
          <t>Tea</t>
        </is>
      </c>
      <c r="B369" s="5" t="inlineStr">
        <is>
          <t>1M HCl</t>
        </is>
      </c>
      <c r="C369" s="5" t="inlineStr">
        <is>
          <t>Acid wash</t>
        </is>
      </c>
      <c r="D369" s="5" t="inlineStr">
        <is>
          <t>Mild</t>
        </is>
      </c>
      <c r="E369" s="5" t="inlineStr">
        <is>
          <t>No wash</t>
        </is>
      </c>
      <c r="F369" s="5" t="inlineStr">
        <is>
          <t>No wash</t>
        </is>
      </c>
      <c r="G369" s="4" t="inlineStr">
        <is>
          <t>One step</t>
        </is>
      </c>
      <c r="H369" s="4" t="inlineStr">
        <is>
          <t xml:space="preserve">Pyrolysis </t>
        </is>
      </c>
      <c r="I369" s="4" t="inlineStr">
        <is>
          <t>No</t>
        </is>
      </c>
      <c r="J369" s="4" t="n">
        <v>120</v>
      </c>
      <c r="K369" s="4" t="n">
        <v>5</v>
      </c>
      <c r="L369" s="4" t="n">
        <v>1400</v>
      </c>
      <c r="M369" s="4" t="inlineStr">
        <is>
          <t>No</t>
        </is>
      </c>
      <c r="N369" s="4" t="inlineStr">
        <is>
          <t>No</t>
        </is>
      </c>
      <c r="O369" s="4" t="inlineStr">
        <is>
          <t>No</t>
        </is>
      </c>
      <c r="P369" s="4" t="inlineStr">
        <is>
          <t>No</t>
        </is>
      </c>
      <c r="Q369" s="4" t="inlineStr">
        <is>
          <t>No</t>
        </is>
      </c>
      <c r="R369" s="4" t="n">
        <v>14</v>
      </c>
      <c r="S369" s="4" t="n">
        <v>0.373</v>
      </c>
      <c r="T369" s="23" t="n"/>
      <c r="U369" s="4" t="n"/>
      <c r="V369" s="4" t="n"/>
      <c r="W369" s="4" t="n"/>
      <c r="X369" s="4" t="n"/>
      <c r="Y369" s="29" t="inlineStr">
        <is>
          <t>[101]</t>
        </is>
      </c>
    </row>
    <row r="370" ht="15" customHeight="1">
      <c r="A370" s="4" t="inlineStr">
        <is>
          <t>Tea</t>
        </is>
      </c>
      <c r="B370" s="5" t="inlineStr">
        <is>
          <t>1M HCl</t>
        </is>
      </c>
      <c r="C370" s="5" t="inlineStr">
        <is>
          <t>Acid wash</t>
        </is>
      </c>
      <c r="D370" s="5" t="inlineStr">
        <is>
          <t>Mild</t>
        </is>
      </c>
      <c r="E370" s="5" t="inlineStr">
        <is>
          <t>No wash</t>
        </is>
      </c>
      <c r="F370" s="5" t="inlineStr">
        <is>
          <t>No wash</t>
        </is>
      </c>
      <c r="G370" s="4" t="inlineStr">
        <is>
          <t>One step</t>
        </is>
      </c>
      <c r="H370" s="4" t="inlineStr">
        <is>
          <t xml:space="preserve">Pyrolysis </t>
        </is>
      </c>
      <c r="I370" s="4" t="inlineStr">
        <is>
          <t>No</t>
        </is>
      </c>
      <c r="J370" s="4" t="n">
        <v>120</v>
      </c>
      <c r="K370" s="4" t="n">
        <v>5</v>
      </c>
      <c r="L370" s="4" t="n">
        <v>1600</v>
      </c>
      <c r="M370" s="4" t="inlineStr">
        <is>
          <t>No</t>
        </is>
      </c>
      <c r="N370" s="4" t="inlineStr">
        <is>
          <t>No</t>
        </is>
      </c>
      <c r="O370" s="4" t="inlineStr">
        <is>
          <t>No</t>
        </is>
      </c>
      <c r="P370" s="4" t="inlineStr">
        <is>
          <t>No</t>
        </is>
      </c>
      <c r="Q370" s="4" t="inlineStr">
        <is>
          <t>No</t>
        </is>
      </c>
      <c r="R370" s="4" t="n">
        <v>4</v>
      </c>
      <c r="S370" s="4" t="n">
        <v>0.366</v>
      </c>
      <c r="T370" s="23" t="n"/>
      <c r="U370" s="4" t="n"/>
      <c r="V370" s="4" t="n"/>
      <c r="W370" s="4" t="n"/>
      <c r="X370" s="4" t="n"/>
      <c r="Y370" s="29" t="inlineStr">
        <is>
          <t>[101]</t>
        </is>
      </c>
    </row>
    <row r="371" ht="15" customHeight="1">
      <c r="A371" s="4" t="inlineStr">
        <is>
          <t>Bagasse</t>
        </is>
      </c>
      <c r="B371" s="5" t="inlineStr">
        <is>
          <t>No</t>
        </is>
      </c>
      <c r="C371" s="5" t="inlineStr">
        <is>
          <t>No wash</t>
        </is>
      </c>
      <c r="D371" s="5" t="inlineStr">
        <is>
          <t>No wash</t>
        </is>
      </c>
      <c r="E371" s="5" t="inlineStr">
        <is>
          <t>No wash</t>
        </is>
      </c>
      <c r="F371" s="5" t="inlineStr">
        <is>
          <t>No wash</t>
        </is>
      </c>
      <c r="G371" s="4" t="inlineStr">
        <is>
          <t>One step</t>
        </is>
      </c>
      <c r="H371" s="4" t="inlineStr">
        <is>
          <t xml:space="preserve">Pyrolysis </t>
        </is>
      </c>
      <c r="I371" s="4" t="inlineStr">
        <is>
          <t>No</t>
        </is>
      </c>
      <c r="J371" s="4" t="n">
        <v>120</v>
      </c>
      <c r="K371" s="4" t="n">
        <v>5</v>
      </c>
      <c r="L371" s="4" t="n">
        <v>900</v>
      </c>
      <c r="M371" s="4" t="inlineStr">
        <is>
          <t>No</t>
        </is>
      </c>
      <c r="N371" s="4" t="inlineStr">
        <is>
          <t>No</t>
        </is>
      </c>
      <c r="O371" s="4" t="inlineStr">
        <is>
          <t>No</t>
        </is>
      </c>
      <c r="P371" s="4" t="inlineStr">
        <is>
          <t>No</t>
        </is>
      </c>
      <c r="Q371" s="4" t="inlineStr">
        <is>
          <t>No</t>
        </is>
      </c>
      <c r="R371" s="4" t="n">
        <v>378</v>
      </c>
      <c r="S371" s="4" t="n">
        <v>0.383</v>
      </c>
      <c r="T371" s="23">
        <f>1/1.72</f>
        <v/>
      </c>
      <c r="U371" s="4" t="n"/>
      <c r="V371" s="4" t="n"/>
      <c r="W371" s="4" t="n"/>
      <c r="X371" s="4" t="n"/>
      <c r="Y371" s="29" t="inlineStr">
        <is>
          <t>[51]</t>
        </is>
      </c>
    </row>
    <row r="372" ht="15" customHeight="1">
      <c r="A372" s="4" t="inlineStr">
        <is>
          <t>Bagasse</t>
        </is>
      </c>
      <c r="B372" s="5" t="inlineStr">
        <is>
          <t>No</t>
        </is>
      </c>
      <c r="C372" s="5" t="inlineStr">
        <is>
          <t>No wash</t>
        </is>
      </c>
      <c r="D372" s="5" t="inlineStr">
        <is>
          <t>No wash</t>
        </is>
      </c>
      <c r="E372" s="5" t="inlineStr">
        <is>
          <t>No wash</t>
        </is>
      </c>
      <c r="F372" s="5" t="inlineStr">
        <is>
          <t>No wash</t>
        </is>
      </c>
      <c r="G372" s="4" t="inlineStr">
        <is>
          <t>One step</t>
        </is>
      </c>
      <c r="H372" s="4" t="inlineStr">
        <is>
          <t xml:space="preserve">Pyrolysis </t>
        </is>
      </c>
      <c r="I372" s="4" t="inlineStr">
        <is>
          <t>No</t>
        </is>
      </c>
      <c r="J372" s="4" t="n">
        <v>120</v>
      </c>
      <c r="K372" s="4" t="n">
        <v>5</v>
      </c>
      <c r="L372" s="4" t="n">
        <v>1000</v>
      </c>
      <c r="M372" s="4" t="inlineStr">
        <is>
          <t>No</t>
        </is>
      </c>
      <c r="N372" s="4" t="inlineStr">
        <is>
          <t>No</t>
        </is>
      </c>
      <c r="O372" s="4" t="inlineStr">
        <is>
          <t>No</t>
        </is>
      </c>
      <c r="P372" s="4" t="inlineStr">
        <is>
          <t>No</t>
        </is>
      </c>
      <c r="Q372" s="4" t="inlineStr">
        <is>
          <t>No</t>
        </is>
      </c>
      <c r="R372" s="4" t="n">
        <v>92.3</v>
      </c>
      <c r="S372" s="4" t="n">
        <v>0.377</v>
      </c>
      <c r="T372" s="23">
        <f>1/1.38</f>
        <v/>
      </c>
      <c r="U372" s="4" t="n"/>
      <c r="V372" s="4" t="n"/>
      <c r="W372" s="4" t="n"/>
      <c r="X372" s="4" t="n"/>
      <c r="Y372" s="29" t="inlineStr">
        <is>
          <t>[51]</t>
        </is>
      </c>
    </row>
    <row r="373" ht="15" customHeight="1">
      <c r="A373" s="4" t="inlineStr">
        <is>
          <t>Bagasse</t>
        </is>
      </c>
      <c r="B373" s="5" t="inlineStr">
        <is>
          <t>No</t>
        </is>
      </c>
      <c r="C373" s="5" t="inlineStr">
        <is>
          <t>No wash</t>
        </is>
      </c>
      <c r="D373" s="5" t="inlineStr">
        <is>
          <t>No wash</t>
        </is>
      </c>
      <c r="E373" s="5" t="inlineStr">
        <is>
          <t>No wash</t>
        </is>
      </c>
      <c r="F373" s="5" t="inlineStr">
        <is>
          <t>No wash</t>
        </is>
      </c>
      <c r="G373" s="4" t="inlineStr">
        <is>
          <t>One step</t>
        </is>
      </c>
      <c r="H373" s="4" t="inlineStr">
        <is>
          <t xml:space="preserve">Pyrolysis </t>
        </is>
      </c>
      <c r="I373" s="4" t="inlineStr">
        <is>
          <t>No</t>
        </is>
      </c>
      <c r="J373" s="4" t="n">
        <v>120</v>
      </c>
      <c r="K373" s="4" t="n">
        <v>5</v>
      </c>
      <c r="L373" s="4" t="n">
        <v>1100</v>
      </c>
      <c r="M373" s="4" t="inlineStr">
        <is>
          <t>No</t>
        </is>
      </c>
      <c r="N373" s="4" t="inlineStr">
        <is>
          <t>No</t>
        </is>
      </c>
      <c r="O373" s="4" t="inlineStr">
        <is>
          <t>No</t>
        </is>
      </c>
      <c r="P373" s="4" t="inlineStr">
        <is>
          <t>No</t>
        </is>
      </c>
      <c r="Q373" s="4" t="inlineStr">
        <is>
          <t>No</t>
        </is>
      </c>
      <c r="R373" s="4" t="n">
        <v>20.3</v>
      </c>
      <c r="S373" s="4" t="n">
        <v>0.383</v>
      </c>
      <c r="T373" s="23">
        <f>1/1.37</f>
        <v/>
      </c>
      <c r="U373" s="4" t="n"/>
      <c r="V373" s="4" t="n"/>
      <c r="W373" s="4" t="n"/>
      <c r="X373" s="4" t="n"/>
      <c r="Y373" s="29" t="inlineStr">
        <is>
          <t>[51]</t>
        </is>
      </c>
    </row>
    <row r="374" ht="15" customHeight="1">
      <c r="A374" s="4" t="inlineStr">
        <is>
          <t>Olive Shells</t>
        </is>
      </c>
      <c r="B374" s="5" t="inlineStr">
        <is>
          <t>No</t>
        </is>
      </c>
      <c r="C374" s="5" t="inlineStr">
        <is>
          <t>No wash</t>
        </is>
      </c>
      <c r="D374" s="5" t="inlineStr">
        <is>
          <t>No wash</t>
        </is>
      </c>
      <c r="E374" s="5" t="inlineStr">
        <is>
          <t>No wash</t>
        </is>
      </c>
      <c r="F374" s="5" t="inlineStr">
        <is>
          <t>No wash</t>
        </is>
      </c>
      <c r="G374" s="4" t="inlineStr">
        <is>
          <t>One step</t>
        </is>
      </c>
      <c r="H374" s="4" t="inlineStr">
        <is>
          <t xml:space="preserve">Pyrolysis </t>
        </is>
      </c>
      <c r="I374" s="4" t="inlineStr">
        <is>
          <t>No</t>
        </is>
      </c>
      <c r="J374" s="4" t="n">
        <v>120</v>
      </c>
      <c r="K374" s="4" t="n">
        <v>5</v>
      </c>
      <c r="L374" s="4" t="n">
        <v>1200</v>
      </c>
      <c r="M374" s="4" t="inlineStr">
        <is>
          <t>No</t>
        </is>
      </c>
      <c r="N374" s="4" t="inlineStr">
        <is>
          <t>No</t>
        </is>
      </c>
      <c r="O374" s="4" t="inlineStr">
        <is>
          <t>No</t>
        </is>
      </c>
      <c r="P374" s="4" t="inlineStr">
        <is>
          <t>No</t>
        </is>
      </c>
      <c r="Q374" s="4" t="inlineStr">
        <is>
          <t>No</t>
        </is>
      </c>
      <c r="R374" s="4" t="n">
        <v>2.2</v>
      </c>
      <c r="S374" s="4" t="n">
        <v>0.385</v>
      </c>
      <c r="T374" s="23">
        <f>1/2.62</f>
        <v/>
      </c>
      <c r="U374" s="4" t="n">
        <v>0.35</v>
      </c>
      <c r="V374" s="4" t="n">
        <v>0.67</v>
      </c>
      <c r="W374" s="4" t="n">
        <v>0.031</v>
      </c>
      <c r="X374" s="4" t="n"/>
      <c r="Y374" s="29" t="inlineStr">
        <is>
          <t>[102]</t>
        </is>
      </c>
    </row>
    <row r="375" ht="15" customHeight="1">
      <c r="A375" s="4" t="inlineStr">
        <is>
          <t>Olive Shells</t>
        </is>
      </c>
      <c r="B375" s="5" t="inlineStr">
        <is>
          <t>No</t>
        </is>
      </c>
      <c r="C375" s="5" t="inlineStr">
        <is>
          <t>No wash</t>
        </is>
      </c>
      <c r="D375" s="5" t="inlineStr">
        <is>
          <t>No wash</t>
        </is>
      </c>
      <c r="E375" s="5" t="inlineStr">
        <is>
          <t>No wash</t>
        </is>
      </c>
      <c r="F375" s="5" t="inlineStr">
        <is>
          <t>No wash</t>
        </is>
      </c>
      <c r="G375" s="4" t="inlineStr">
        <is>
          <t>One step</t>
        </is>
      </c>
      <c r="H375" s="4" t="inlineStr">
        <is>
          <t xml:space="preserve">Pyrolysis </t>
        </is>
      </c>
      <c r="I375" s="4" t="inlineStr">
        <is>
          <t>No</t>
        </is>
      </c>
      <c r="J375" s="4" t="n">
        <v>120</v>
      </c>
      <c r="K375" s="4" t="n">
        <v>5</v>
      </c>
      <c r="L375" s="4" t="n">
        <v>1300</v>
      </c>
      <c r="M375" s="4" t="inlineStr">
        <is>
          <t>No</t>
        </is>
      </c>
      <c r="N375" s="4" t="inlineStr">
        <is>
          <t>No</t>
        </is>
      </c>
      <c r="O375" s="4" t="inlineStr">
        <is>
          <t>No</t>
        </is>
      </c>
      <c r="P375" s="4" t="inlineStr">
        <is>
          <t>No</t>
        </is>
      </c>
      <c r="Q375" s="4" t="inlineStr">
        <is>
          <t>No</t>
        </is>
      </c>
      <c r="R375" s="4" t="n">
        <v>2.6</v>
      </c>
      <c r="S375" s="4" t="n">
        <v>0.379</v>
      </c>
      <c r="T375" s="23">
        <f>1/1.79</f>
        <v/>
      </c>
      <c r="U375" s="4" t="n">
        <v>0.38</v>
      </c>
      <c r="V375" s="4" t="n">
        <v>0.66</v>
      </c>
      <c r="W375" s="4" t="n">
        <v>0.022</v>
      </c>
      <c r="X375" s="4" t="n"/>
      <c r="Y375" s="29" t="inlineStr">
        <is>
          <t>[102]</t>
        </is>
      </c>
    </row>
    <row r="376" ht="15" customHeight="1">
      <c r="A376" s="4" t="inlineStr">
        <is>
          <t>Olive Shells</t>
        </is>
      </c>
      <c r="B376" s="5" t="inlineStr">
        <is>
          <t>No</t>
        </is>
      </c>
      <c r="C376" s="5" t="inlineStr">
        <is>
          <t>No wash</t>
        </is>
      </c>
      <c r="D376" s="5" t="inlineStr">
        <is>
          <t>No wash</t>
        </is>
      </c>
      <c r="E376" s="5" t="inlineStr">
        <is>
          <t>No wash</t>
        </is>
      </c>
      <c r="F376" s="5" t="inlineStr">
        <is>
          <t>No wash</t>
        </is>
      </c>
      <c r="G376" s="4" t="inlineStr">
        <is>
          <t>One step</t>
        </is>
      </c>
      <c r="H376" s="4" t="inlineStr">
        <is>
          <t xml:space="preserve">Pyrolysis </t>
        </is>
      </c>
      <c r="I376" s="4" t="inlineStr">
        <is>
          <t>No</t>
        </is>
      </c>
      <c r="J376" s="4" t="n">
        <v>120</v>
      </c>
      <c r="K376" s="4" t="n">
        <v>5</v>
      </c>
      <c r="L376" s="4" t="n">
        <v>1400</v>
      </c>
      <c r="M376" s="4" t="inlineStr">
        <is>
          <t>No</t>
        </is>
      </c>
      <c r="N376" s="4" t="inlineStr">
        <is>
          <t>No</t>
        </is>
      </c>
      <c r="O376" s="4" t="inlineStr">
        <is>
          <t>No</t>
        </is>
      </c>
      <c r="P376" s="4" t="inlineStr">
        <is>
          <t>No</t>
        </is>
      </c>
      <c r="Q376" s="4" t="inlineStr">
        <is>
          <t>No</t>
        </is>
      </c>
      <c r="R376" s="4" t="n">
        <v>3.4</v>
      </c>
      <c r="S376" s="4" t="n">
        <v>0.364</v>
      </c>
      <c r="T376" s="23">
        <f>1/1.73</f>
        <v/>
      </c>
      <c r="U376" s="4" t="n">
        <v>0.336</v>
      </c>
      <c r="V376" s="4" t="n">
        <v>0.73</v>
      </c>
      <c r="W376" s="4" t="n">
        <v>0.015</v>
      </c>
      <c r="X376" s="4" t="n"/>
      <c r="Y376" s="29" t="inlineStr">
        <is>
          <t>[102]</t>
        </is>
      </c>
    </row>
    <row r="377" ht="15" customHeight="1">
      <c r="A377" s="4" t="inlineStr">
        <is>
          <t>Olive Shells</t>
        </is>
      </c>
      <c r="B377" s="5" t="inlineStr">
        <is>
          <t>No</t>
        </is>
      </c>
      <c r="C377" s="5" t="inlineStr">
        <is>
          <t>No wash</t>
        </is>
      </c>
      <c r="D377" s="5" t="inlineStr">
        <is>
          <t>No wash</t>
        </is>
      </c>
      <c r="E377" s="5" t="inlineStr">
        <is>
          <t>No wash</t>
        </is>
      </c>
      <c r="F377" s="5" t="inlineStr">
        <is>
          <t>No wash</t>
        </is>
      </c>
      <c r="G377" s="4" t="inlineStr">
        <is>
          <t>Two step</t>
        </is>
      </c>
      <c r="H377" s="4" t="inlineStr">
        <is>
          <t xml:space="preserve">Pyrolysis </t>
        </is>
      </c>
      <c r="I377" s="4" t="inlineStr">
        <is>
          <t>No</t>
        </is>
      </c>
      <c r="J377" s="4" t="n">
        <v>120</v>
      </c>
      <c r="K377" s="4" t="n"/>
      <c r="L377" s="4" t="n">
        <v>300</v>
      </c>
      <c r="M377" s="4" t="inlineStr">
        <is>
          <t xml:space="preserve">Pyrolysis </t>
        </is>
      </c>
      <c r="N377" s="4" t="inlineStr">
        <is>
          <t>No</t>
        </is>
      </c>
      <c r="O377" s="4" t="n">
        <v>120</v>
      </c>
      <c r="P377" s="4" t="n">
        <v>5</v>
      </c>
      <c r="Q377" s="4" t="n">
        <v>1300</v>
      </c>
      <c r="R377" s="4" t="n">
        <v>9.800000000000001</v>
      </c>
      <c r="S377" s="4" t="n">
        <v>0.379</v>
      </c>
      <c r="T377" s="23">
        <f>1/2.1</f>
        <v/>
      </c>
      <c r="U377" s="4" t="n">
        <v>0.4</v>
      </c>
      <c r="V377" s="4" t="n">
        <v>0.8</v>
      </c>
      <c r="W377" s="4" t="n"/>
      <c r="X377" s="4" t="n"/>
      <c r="Y377" s="29" t="inlineStr">
        <is>
          <t>[102]</t>
        </is>
      </c>
    </row>
    <row r="378" ht="15" customHeight="1">
      <c r="A378" s="4" t="inlineStr">
        <is>
          <t>Olive Shells</t>
        </is>
      </c>
      <c r="B378" s="5" t="inlineStr">
        <is>
          <t>No</t>
        </is>
      </c>
      <c r="C378" s="5" t="inlineStr">
        <is>
          <t>No wash</t>
        </is>
      </c>
      <c r="D378" s="5" t="inlineStr">
        <is>
          <t>No wash</t>
        </is>
      </c>
      <c r="E378" s="5" t="inlineStr">
        <is>
          <t>No wash</t>
        </is>
      </c>
      <c r="F378" s="5" t="inlineStr">
        <is>
          <t>No wash</t>
        </is>
      </c>
      <c r="G378" s="4" t="inlineStr">
        <is>
          <t>Two step</t>
        </is>
      </c>
      <c r="H378" s="4" t="inlineStr">
        <is>
          <t xml:space="preserve">Pyrolysis </t>
        </is>
      </c>
      <c r="I378" s="4" t="inlineStr">
        <is>
          <t>No</t>
        </is>
      </c>
      <c r="J378" s="4" t="n">
        <v>120</v>
      </c>
      <c r="K378" s="4" t="n"/>
      <c r="L378" s="4" t="n">
        <v>300</v>
      </c>
      <c r="M378" s="4" t="inlineStr">
        <is>
          <t xml:space="preserve">Pyrolysis </t>
        </is>
      </c>
      <c r="N378" s="4" t="inlineStr">
        <is>
          <t>No</t>
        </is>
      </c>
      <c r="O378" s="4" t="n">
        <v>120</v>
      </c>
      <c r="P378" s="4" t="n">
        <v>5</v>
      </c>
      <c r="Q378" s="4" t="n">
        <v>1300</v>
      </c>
      <c r="R378" s="4" t="n">
        <v>4.2</v>
      </c>
      <c r="S378" s="4" t="n">
        <v>0.376</v>
      </c>
      <c r="T378" s="23">
        <f>1/1.76</f>
        <v/>
      </c>
      <c r="U378" s="4" t="n">
        <v>0.35</v>
      </c>
      <c r="V378" s="4" t="n">
        <v>0.88</v>
      </c>
      <c r="W378" s="4" t="n"/>
      <c r="X378" s="4" t="n"/>
      <c r="Y378" s="29" t="inlineStr">
        <is>
          <t>[102]</t>
        </is>
      </c>
    </row>
    <row r="379" ht="15" customHeight="1">
      <c r="A379" s="4" t="inlineStr">
        <is>
          <t>Olive Shells</t>
        </is>
      </c>
      <c r="B379" s="5" t="inlineStr">
        <is>
          <t>No</t>
        </is>
      </c>
      <c r="C379" s="5" t="inlineStr">
        <is>
          <t>No wash</t>
        </is>
      </c>
      <c r="D379" s="5" t="inlineStr">
        <is>
          <t>No wash</t>
        </is>
      </c>
      <c r="E379" s="5" t="inlineStr">
        <is>
          <t>No wash</t>
        </is>
      </c>
      <c r="F379" s="5" t="inlineStr">
        <is>
          <t>No wash</t>
        </is>
      </c>
      <c r="G379" s="4" t="inlineStr">
        <is>
          <t>Two step</t>
        </is>
      </c>
      <c r="H379" s="4" t="inlineStr">
        <is>
          <t xml:space="preserve">Pyrolysis </t>
        </is>
      </c>
      <c r="I379" s="4" t="inlineStr">
        <is>
          <t>No</t>
        </is>
      </c>
      <c r="J379" s="4" t="n">
        <v>120</v>
      </c>
      <c r="K379" s="4" t="n"/>
      <c r="L379" s="4" t="n">
        <v>300</v>
      </c>
      <c r="M379" s="4" t="inlineStr">
        <is>
          <t xml:space="preserve">Pyrolysis </t>
        </is>
      </c>
      <c r="N379" s="4" t="inlineStr">
        <is>
          <t>No</t>
        </is>
      </c>
      <c r="O379" s="4" t="n">
        <v>120</v>
      </c>
      <c r="P379" s="4" t="n">
        <v>5</v>
      </c>
      <c r="Q379" s="4" t="n">
        <v>1300</v>
      </c>
      <c r="R379" s="4" t="n">
        <v>9.1</v>
      </c>
      <c r="S379" s="4" t="n">
        <v>0.378</v>
      </c>
      <c r="T379" s="23">
        <f>1/2.02</f>
        <v/>
      </c>
      <c r="U379" s="4" t="n">
        <v>0.35</v>
      </c>
      <c r="V379" s="4" t="n">
        <v>0.73</v>
      </c>
      <c r="W379" s="4" t="n"/>
      <c r="X379" s="4" t="n"/>
      <c r="Y379" s="29" t="inlineStr">
        <is>
          <t>[102]</t>
        </is>
      </c>
    </row>
    <row r="380" ht="15" customHeight="1">
      <c r="A380" s="4" t="inlineStr">
        <is>
          <t>Lignin</t>
        </is>
      </c>
      <c r="B380" s="5" t="inlineStr">
        <is>
          <t>2M HCl</t>
        </is>
      </c>
      <c r="C380" s="5" t="inlineStr">
        <is>
          <t>Acid wash</t>
        </is>
      </c>
      <c r="D380" s="5" t="inlineStr">
        <is>
          <t>Mild</t>
        </is>
      </c>
      <c r="E380" s="5" t="inlineStr">
        <is>
          <t>No wash</t>
        </is>
      </c>
      <c r="F380" s="5" t="inlineStr">
        <is>
          <t>No wash</t>
        </is>
      </c>
      <c r="G380" s="4" t="inlineStr">
        <is>
          <t>One step</t>
        </is>
      </c>
      <c r="H380" s="4" t="inlineStr">
        <is>
          <t xml:space="preserve">Pyrolysis </t>
        </is>
      </c>
      <c r="I380" s="4" t="inlineStr">
        <is>
          <t>No</t>
        </is>
      </c>
      <c r="J380" s="4" t="n">
        <v>120</v>
      </c>
      <c r="K380" s="4" t="n">
        <v>5</v>
      </c>
      <c r="L380" s="4" t="n">
        <v>1000</v>
      </c>
      <c r="M380" s="4" t="inlineStr">
        <is>
          <t>No</t>
        </is>
      </c>
      <c r="N380" s="4" t="inlineStr">
        <is>
          <t>No</t>
        </is>
      </c>
      <c r="O380" s="4" t="inlineStr">
        <is>
          <t>No</t>
        </is>
      </c>
      <c r="P380" s="4" t="inlineStr">
        <is>
          <t>No</t>
        </is>
      </c>
      <c r="Q380" s="4" t="inlineStr">
        <is>
          <t>No</t>
        </is>
      </c>
      <c r="R380" s="4" t="n">
        <v>87.2</v>
      </c>
      <c r="S380" s="4" t="n">
        <v>0.386</v>
      </c>
      <c r="T380" s="23">
        <f>1/1.91</f>
        <v/>
      </c>
      <c r="U380" s="4" t="n">
        <v>2</v>
      </c>
      <c r="V380" s="4" t="n"/>
      <c r="W380" s="4" t="n"/>
      <c r="X380" s="4" t="n">
        <v>86.7</v>
      </c>
      <c r="Y380" s="29" t="inlineStr">
        <is>
          <t>[103]</t>
        </is>
      </c>
    </row>
    <row r="381" ht="15" customHeight="1">
      <c r="A381" s="4" t="inlineStr">
        <is>
          <t>Lignin</t>
        </is>
      </c>
      <c r="B381" s="5" t="inlineStr">
        <is>
          <t>2M HCl</t>
        </is>
      </c>
      <c r="C381" s="5" t="inlineStr">
        <is>
          <t>Acid wash</t>
        </is>
      </c>
      <c r="D381" s="5" t="inlineStr">
        <is>
          <t>Mild</t>
        </is>
      </c>
      <c r="E381" s="5" t="inlineStr">
        <is>
          <t>No wash</t>
        </is>
      </c>
      <c r="F381" s="5" t="inlineStr">
        <is>
          <t>No wash</t>
        </is>
      </c>
      <c r="G381" s="4" t="inlineStr">
        <is>
          <t>One step</t>
        </is>
      </c>
      <c r="H381" s="4" t="inlineStr">
        <is>
          <t xml:space="preserve">Pyrolysis </t>
        </is>
      </c>
      <c r="I381" s="4" t="inlineStr">
        <is>
          <t>No</t>
        </is>
      </c>
      <c r="J381" s="4" t="n">
        <v>120</v>
      </c>
      <c r="K381" s="4" t="n">
        <v>5</v>
      </c>
      <c r="L381" s="4" t="n">
        <v>1200</v>
      </c>
      <c r="M381" s="4" t="inlineStr">
        <is>
          <t>No</t>
        </is>
      </c>
      <c r="N381" s="4" t="inlineStr">
        <is>
          <t>No</t>
        </is>
      </c>
      <c r="O381" s="4" t="inlineStr">
        <is>
          <t>No</t>
        </is>
      </c>
      <c r="P381" s="4" t="inlineStr">
        <is>
          <t>No</t>
        </is>
      </c>
      <c r="Q381" s="4" t="inlineStr">
        <is>
          <t>No</t>
        </is>
      </c>
      <c r="R381" s="4" t="n">
        <v>56.8</v>
      </c>
      <c r="S381" s="4" t="n">
        <v>0.383</v>
      </c>
      <c r="T381" s="23">
        <f>1/1.71</f>
        <v/>
      </c>
      <c r="U381" s="4" t="n">
        <v>2.16</v>
      </c>
      <c r="V381" s="4" t="n"/>
      <c r="W381" s="4" t="n"/>
      <c r="X381" s="4" t="n">
        <v>89.59999999999999</v>
      </c>
      <c r="Y381" s="29" t="inlineStr">
        <is>
          <t>[103]</t>
        </is>
      </c>
    </row>
    <row r="382" ht="15" customHeight="1">
      <c r="A382" s="4" t="inlineStr">
        <is>
          <t>Lignin</t>
        </is>
      </c>
      <c r="B382" s="5" t="inlineStr">
        <is>
          <t>2M HCl</t>
        </is>
      </c>
      <c r="C382" s="5" t="inlineStr">
        <is>
          <t>Acid wash</t>
        </is>
      </c>
      <c r="D382" s="5" t="inlineStr">
        <is>
          <t>Mild</t>
        </is>
      </c>
      <c r="E382" s="5" t="inlineStr">
        <is>
          <t>No wash</t>
        </is>
      </c>
      <c r="F382" s="5" t="inlineStr">
        <is>
          <t>No wash</t>
        </is>
      </c>
      <c r="G382" s="4" t="inlineStr">
        <is>
          <t>One step</t>
        </is>
      </c>
      <c r="H382" s="4" t="inlineStr">
        <is>
          <t xml:space="preserve">Pyrolysis </t>
        </is>
      </c>
      <c r="I382" s="4" t="inlineStr">
        <is>
          <t>No</t>
        </is>
      </c>
      <c r="J382" s="4" t="n">
        <v>120</v>
      </c>
      <c r="K382" s="4" t="n">
        <v>5</v>
      </c>
      <c r="L382" s="4" t="n">
        <v>1400</v>
      </c>
      <c r="M382" s="4" t="inlineStr">
        <is>
          <t>No</t>
        </is>
      </c>
      <c r="N382" s="4" t="inlineStr">
        <is>
          <t>No</t>
        </is>
      </c>
      <c r="O382" s="4" t="inlineStr">
        <is>
          <t>No</t>
        </is>
      </c>
      <c r="P382" s="4" t="inlineStr">
        <is>
          <t>No</t>
        </is>
      </c>
      <c r="Q382" s="4" t="inlineStr">
        <is>
          <t>No</t>
        </is>
      </c>
      <c r="R382" s="4" t="n">
        <v>33</v>
      </c>
      <c r="S382" s="4" t="n">
        <v>0.375</v>
      </c>
      <c r="T382" s="23">
        <f>1/1.58</f>
        <v/>
      </c>
      <c r="U382" s="4" t="n">
        <v>2.27</v>
      </c>
      <c r="V382" s="4" t="n"/>
      <c r="W382" s="4" t="n"/>
      <c r="X382" s="4" t="n">
        <v>90.7</v>
      </c>
      <c r="Y382" s="29" t="inlineStr">
        <is>
          <t>[103]</t>
        </is>
      </c>
    </row>
    <row r="383" ht="15" customHeight="1">
      <c r="A383" s="4" t="inlineStr">
        <is>
          <t>Lignin</t>
        </is>
      </c>
      <c r="B383" s="5" t="inlineStr">
        <is>
          <t>2M HCl</t>
        </is>
      </c>
      <c r="C383" s="5" t="inlineStr">
        <is>
          <t>Acid wash</t>
        </is>
      </c>
      <c r="D383" s="5" t="inlineStr">
        <is>
          <t>Mild</t>
        </is>
      </c>
      <c r="E383" s="5" t="inlineStr">
        <is>
          <t>No wash</t>
        </is>
      </c>
      <c r="F383" s="5" t="inlineStr">
        <is>
          <t>No wash</t>
        </is>
      </c>
      <c r="G383" s="4" t="inlineStr">
        <is>
          <t>One step</t>
        </is>
      </c>
      <c r="H383" s="4" t="inlineStr">
        <is>
          <t xml:space="preserve">Pyrolysis </t>
        </is>
      </c>
      <c r="I383" s="4" t="inlineStr">
        <is>
          <t>No</t>
        </is>
      </c>
      <c r="J383" s="4" t="n">
        <v>120</v>
      </c>
      <c r="K383" s="4" t="n">
        <v>5</v>
      </c>
      <c r="L383" s="4" t="n">
        <v>1600</v>
      </c>
      <c r="M383" s="4" t="inlineStr">
        <is>
          <t>No</t>
        </is>
      </c>
      <c r="N383" s="4" t="inlineStr">
        <is>
          <t>No</t>
        </is>
      </c>
      <c r="O383" s="4" t="inlineStr">
        <is>
          <t>No</t>
        </is>
      </c>
      <c r="P383" s="4" t="inlineStr">
        <is>
          <t>No</t>
        </is>
      </c>
      <c r="Q383" s="4" t="inlineStr">
        <is>
          <t>No</t>
        </is>
      </c>
      <c r="R383" s="4" t="n">
        <v>35.9</v>
      </c>
      <c r="S383" s="4" t="n">
        <v>0.365</v>
      </c>
      <c r="T383" s="23">
        <f>1/1.49</f>
        <v/>
      </c>
      <c r="U383" s="4" t="n">
        <v>2.57</v>
      </c>
      <c r="V383" s="4" t="n"/>
      <c r="W383" s="4" t="n"/>
      <c r="X383" s="4" t="n">
        <v>93.09999999999999</v>
      </c>
      <c r="Y383" s="29" t="inlineStr">
        <is>
          <t>[103]</t>
        </is>
      </c>
    </row>
    <row r="384" ht="15" customHeight="1">
      <c r="A384" s="4" t="inlineStr">
        <is>
          <t>Lignin</t>
        </is>
      </c>
      <c r="B384" s="5" t="inlineStr">
        <is>
          <t>2M HCl</t>
        </is>
      </c>
      <c r="C384" s="5" t="inlineStr">
        <is>
          <t>Acid wash</t>
        </is>
      </c>
      <c r="D384" s="5" t="inlineStr">
        <is>
          <t>Mild</t>
        </is>
      </c>
      <c r="E384" s="5" t="inlineStr">
        <is>
          <t>No wash</t>
        </is>
      </c>
      <c r="F384" s="5" t="inlineStr">
        <is>
          <t>No wash</t>
        </is>
      </c>
      <c r="G384" s="4" t="inlineStr">
        <is>
          <t>One step</t>
        </is>
      </c>
      <c r="H384" s="4" t="inlineStr">
        <is>
          <t xml:space="preserve">Pyrolysis </t>
        </is>
      </c>
      <c r="I384" s="4" t="inlineStr">
        <is>
          <t>No</t>
        </is>
      </c>
      <c r="J384" s="4" t="n">
        <v>120</v>
      </c>
      <c r="K384" s="4" t="n">
        <v>5</v>
      </c>
      <c r="L384" s="4" t="n">
        <v>1800</v>
      </c>
      <c r="M384" s="4" t="inlineStr">
        <is>
          <t>No</t>
        </is>
      </c>
      <c r="N384" s="4" t="inlineStr">
        <is>
          <t>No</t>
        </is>
      </c>
      <c r="O384" s="4" t="inlineStr">
        <is>
          <t>No</t>
        </is>
      </c>
      <c r="P384" s="4" t="inlineStr">
        <is>
          <t>No</t>
        </is>
      </c>
      <c r="Q384" s="4" t="inlineStr">
        <is>
          <t>No</t>
        </is>
      </c>
      <c r="R384" s="4" t="n">
        <v>45</v>
      </c>
      <c r="S384" s="4" t="n">
        <v>0.346</v>
      </c>
      <c r="T384" s="23">
        <f>1/1.41</f>
        <v/>
      </c>
      <c r="U384" s="4" t="n">
        <v>3.75</v>
      </c>
      <c r="V384" s="4" t="n"/>
      <c r="W384" s="4" t="n"/>
      <c r="X384" s="4" t="n">
        <v>95.8</v>
      </c>
      <c r="Y384" s="29" t="inlineStr">
        <is>
          <t>[103]</t>
        </is>
      </c>
    </row>
    <row r="385" ht="15" customHeight="1">
      <c r="A385" s="4" t="inlineStr">
        <is>
          <t>Cellulose</t>
        </is>
      </c>
      <c r="B385" s="5" t="inlineStr">
        <is>
          <t>2M HCl</t>
        </is>
      </c>
      <c r="C385" s="5" t="inlineStr">
        <is>
          <t>Acid wash</t>
        </is>
      </c>
      <c r="D385" s="5" t="inlineStr">
        <is>
          <t>Mild</t>
        </is>
      </c>
      <c r="E385" s="5" t="inlineStr">
        <is>
          <t>No wash</t>
        </is>
      </c>
      <c r="F385" s="5" t="inlineStr">
        <is>
          <t>No wash</t>
        </is>
      </c>
      <c r="G385" s="4" t="inlineStr">
        <is>
          <t>One step</t>
        </is>
      </c>
      <c r="H385" s="4" t="inlineStr">
        <is>
          <t xml:space="preserve">Pyrolysis </t>
        </is>
      </c>
      <c r="I385" s="4" t="inlineStr">
        <is>
          <t>No</t>
        </is>
      </c>
      <c r="J385" s="4" t="n">
        <v>120</v>
      </c>
      <c r="K385" s="4" t="n">
        <v>5</v>
      </c>
      <c r="L385" s="4" t="n">
        <v>1000</v>
      </c>
      <c r="M385" s="4" t="inlineStr">
        <is>
          <t>No</t>
        </is>
      </c>
      <c r="N385" s="4" t="inlineStr">
        <is>
          <t>No</t>
        </is>
      </c>
      <c r="O385" s="4" t="inlineStr">
        <is>
          <t>No</t>
        </is>
      </c>
      <c r="P385" s="4" t="inlineStr">
        <is>
          <t>No</t>
        </is>
      </c>
      <c r="Q385" s="4" t="inlineStr">
        <is>
          <t>No</t>
        </is>
      </c>
      <c r="R385" s="4" t="n">
        <v>328.5</v>
      </c>
      <c r="S385" s="4" t="n">
        <v>0.399</v>
      </c>
      <c r="T385" s="23">
        <f>1/2.03</f>
        <v/>
      </c>
      <c r="U385" s="4" t="n">
        <v>2.04</v>
      </c>
      <c r="V385" s="4" t="n"/>
      <c r="W385" s="4" t="n"/>
      <c r="X385" s="4" t="n">
        <v>89.2</v>
      </c>
      <c r="Y385" s="29" t="inlineStr">
        <is>
          <t>[103]</t>
        </is>
      </c>
    </row>
    <row r="386" ht="15" customHeight="1">
      <c r="A386" s="4" t="inlineStr">
        <is>
          <t>Cellulose</t>
        </is>
      </c>
      <c r="B386" s="5" t="inlineStr">
        <is>
          <t>2M HCl</t>
        </is>
      </c>
      <c r="C386" s="5" t="inlineStr">
        <is>
          <t>Acid wash</t>
        </is>
      </c>
      <c r="D386" s="5" t="inlineStr">
        <is>
          <t>Mild</t>
        </is>
      </c>
      <c r="E386" s="5" t="inlineStr">
        <is>
          <t>No wash</t>
        </is>
      </c>
      <c r="F386" s="5" t="inlineStr">
        <is>
          <t>No wash</t>
        </is>
      </c>
      <c r="G386" s="4" t="inlineStr">
        <is>
          <t>One step</t>
        </is>
      </c>
      <c r="H386" s="4" t="inlineStr">
        <is>
          <t xml:space="preserve">Pyrolysis </t>
        </is>
      </c>
      <c r="I386" s="4" t="inlineStr">
        <is>
          <t>No</t>
        </is>
      </c>
      <c r="J386" s="4" t="n">
        <v>120</v>
      </c>
      <c r="K386" s="4" t="n">
        <v>5</v>
      </c>
      <c r="L386" s="4" t="n">
        <v>1200</v>
      </c>
      <c r="M386" s="4" t="inlineStr">
        <is>
          <t>No</t>
        </is>
      </c>
      <c r="N386" s="4" t="inlineStr">
        <is>
          <t>No</t>
        </is>
      </c>
      <c r="O386" s="4" t="inlineStr">
        <is>
          <t>No</t>
        </is>
      </c>
      <c r="P386" s="4" t="inlineStr">
        <is>
          <t>No</t>
        </is>
      </c>
      <c r="Q386" s="4" t="inlineStr">
        <is>
          <t>No</t>
        </is>
      </c>
      <c r="R386" s="4" t="n">
        <v>132.7</v>
      </c>
      <c r="S386" s="4" t="n">
        <v>0.387</v>
      </c>
      <c r="T386" s="23">
        <f>1/1.88</f>
        <v/>
      </c>
      <c r="U386" s="4" t="n">
        <v>2.23</v>
      </c>
      <c r="V386" s="4" t="n"/>
      <c r="W386" s="4" t="n"/>
      <c r="X386" s="4" t="n">
        <v>91.7</v>
      </c>
      <c r="Y386" s="29" t="inlineStr">
        <is>
          <t>[103]</t>
        </is>
      </c>
    </row>
    <row r="387" ht="15" customHeight="1">
      <c r="A387" s="4" t="inlineStr">
        <is>
          <t>Cellulose</t>
        </is>
      </c>
      <c r="B387" s="5" t="inlineStr">
        <is>
          <t>2M HCl</t>
        </is>
      </c>
      <c r="C387" s="5" t="inlineStr">
        <is>
          <t>Acid wash</t>
        </is>
      </c>
      <c r="D387" s="5" t="inlineStr">
        <is>
          <t>Mild</t>
        </is>
      </c>
      <c r="E387" s="5" t="inlineStr">
        <is>
          <t>No wash</t>
        </is>
      </c>
      <c r="F387" s="5" t="inlineStr">
        <is>
          <t>No wash</t>
        </is>
      </c>
      <c r="G387" s="4" t="inlineStr">
        <is>
          <t>One step</t>
        </is>
      </c>
      <c r="H387" s="4" t="inlineStr">
        <is>
          <t xml:space="preserve">Pyrolysis </t>
        </is>
      </c>
      <c r="I387" s="4" t="inlineStr">
        <is>
          <t>No</t>
        </is>
      </c>
      <c r="J387" s="4" t="n">
        <v>120</v>
      </c>
      <c r="K387" s="4" t="n">
        <v>5</v>
      </c>
      <c r="L387" s="4" t="n">
        <v>1400</v>
      </c>
      <c r="M387" s="4" t="inlineStr">
        <is>
          <t>No</t>
        </is>
      </c>
      <c r="N387" s="4" t="inlineStr">
        <is>
          <t>No</t>
        </is>
      </c>
      <c r="O387" s="4" t="inlineStr">
        <is>
          <t>No</t>
        </is>
      </c>
      <c r="P387" s="4" t="inlineStr">
        <is>
          <t>No</t>
        </is>
      </c>
      <c r="Q387" s="4" t="inlineStr">
        <is>
          <t>No</t>
        </is>
      </c>
      <c r="R387" s="4" t="n">
        <v>64.5</v>
      </c>
      <c r="S387" s="4" t="n">
        <v>0.385</v>
      </c>
      <c r="T387" s="23">
        <f>1/1.87</f>
        <v/>
      </c>
      <c r="U387" s="4" t="n">
        <v>2.17</v>
      </c>
      <c r="V387" s="4" t="n"/>
      <c r="W387" s="4" t="n"/>
      <c r="X387" s="4" t="n">
        <v>91.8</v>
      </c>
      <c r="Y387" s="29" t="inlineStr">
        <is>
          <t>[103]</t>
        </is>
      </c>
    </row>
    <row r="388" ht="15" customHeight="1">
      <c r="A388" s="4" t="inlineStr">
        <is>
          <t>Cellulose</t>
        </is>
      </c>
      <c r="B388" s="5" t="inlineStr">
        <is>
          <t>2M HCl</t>
        </is>
      </c>
      <c r="C388" s="5" t="inlineStr">
        <is>
          <t>Acid wash</t>
        </is>
      </c>
      <c r="D388" s="5" t="inlineStr">
        <is>
          <t>Mild</t>
        </is>
      </c>
      <c r="E388" s="5" t="inlineStr">
        <is>
          <t>No wash</t>
        </is>
      </c>
      <c r="F388" s="5" t="inlineStr">
        <is>
          <t>No wash</t>
        </is>
      </c>
      <c r="G388" s="4" t="inlineStr">
        <is>
          <t>One step</t>
        </is>
      </c>
      <c r="H388" s="4" t="inlineStr">
        <is>
          <t xml:space="preserve">Pyrolysis </t>
        </is>
      </c>
      <c r="I388" s="4" t="inlineStr">
        <is>
          <t>No</t>
        </is>
      </c>
      <c r="J388" s="4" t="n">
        <v>120</v>
      </c>
      <c r="K388" s="4" t="n">
        <v>5</v>
      </c>
      <c r="L388" s="4" t="n">
        <v>1600</v>
      </c>
      <c r="M388" s="4" t="inlineStr">
        <is>
          <t>No</t>
        </is>
      </c>
      <c r="N388" s="4" t="inlineStr">
        <is>
          <t>No</t>
        </is>
      </c>
      <c r="O388" s="4" t="inlineStr">
        <is>
          <t>No</t>
        </is>
      </c>
      <c r="P388" s="4" t="inlineStr">
        <is>
          <t>No</t>
        </is>
      </c>
      <c r="Q388" s="4" t="inlineStr">
        <is>
          <t>No</t>
        </is>
      </c>
      <c r="R388" s="4" t="n">
        <v>47</v>
      </c>
      <c r="S388" s="4" t="n">
        <v>0.372</v>
      </c>
      <c r="T388" s="23">
        <f>1/1.75</f>
        <v/>
      </c>
      <c r="U388" s="4" t="n">
        <v>2.43</v>
      </c>
      <c r="V388" s="4" t="n"/>
      <c r="W388" s="4" t="n"/>
      <c r="X388" s="4" t="n">
        <v>92.5</v>
      </c>
      <c r="Y388" s="29" t="inlineStr">
        <is>
          <t>[103]</t>
        </is>
      </c>
    </row>
    <row r="389" ht="15" customHeight="1">
      <c r="A389" s="4" t="inlineStr">
        <is>
          <t>Cellulose</t>
        </is>
      </c>
      <c r="B389" s="5" t="inlineStr">
        <is>
          <t>2M HCl</t>
        </is>
      </c>
      <c r="C389" s="5" t="inlineStr">
        <is>
          <t>Acid wash</t>
        </is>
      </c>
      <c r="D389" s="5" t="inlineStr">
        <is>
          <t>Mild</t>
        </is>
      </c>
      <c r="E389" s="5" t="inlineStr">
        <is>
          <t>No wash</t>
        </is>
      </c>
      <c r="F389" s="5" t="inlineStr">
        <is>
          <t>No wash</t>
        </is>
      </c>
      <c r="G389" s="4" t="inlineStr">
        <is>
          <t>One step</t>
        </is>
      </c>
      <c r="H389" s="4" t="inlineStr">
        <is>
          <t xml:space="preserve">Pyrolysis </t>
        </is>
      </c>
      <c r="I389" s="4" t="inlineStr">
        <is>
          <t>No</t>
        </is>
      </c>
      <c r="J389" s="4" t="n">
        <v>120</v>
      </c>
      <c r="K389" s="4" t="n">
        <v>5</v>
      </c>
      <c r="L389" s="4" t="n">
        <v>1800</v>
      </c>
      <c r="M389" s="4" t="inlineStr">
        <is>
          <t>No</t>
        </is>
      </c>
      <c r="N389" s="4" t="inlineStr">
        <is>
          <t>No</t>
        </is>
      </c>
      <c r="O389" s="4" t="inlineStr">
        <is>
          <t>No</t>
        </is>
      </c>
      <c r="P389" s="4" t="inlineStr">
        <is>
          <t>No</t>
        </is>
      </c>
      <c r="Q389" s="4" t="inlineStr">
        <is>
          <t>No</t>
        </is>
      </c>
      <c r="R389" s="4" t="n">
        <v>56.6</v>
      </c>
      <c r="S389" s="4" t="n">
        <v>0.36</v>
      </c>
      <c r="T389" s="23">
        <f>1/1.46</f>
        <v/>
      </c>
      <c r="U389" s="4" t="n">
        <v>2.94</v>
      </c>
      <c r="V389" s="4" t="n"/>
      <c r="W389" s="4" t="n"/>
      <c r="X389" s="4" t="n">
        <v>96.09999999999999</v>
      </c>
      <c r="Y389" s="29" t="inlineStr">
        <is>
          <t>[103]</t>
        </is>
      </c>
    </row>
    <row r="390" ht="15" customHeight="1">
      <c r="A390" s="4" t="inlineStr">
        <is>
          <t>Wheat straw</t>
        </is>
      </c>
      <c r="B390" s="5" t="inlineStr">
        <is>
          <t>2M HCl</t>
        </is>
      </c>
      <c r="C390" s="5" t="inlineStr">
        <is>
          <t>Acid wash</t>
        </is>
      </c>
      <c r="D390" s="5" t="inlineStr">
        <is>
          <t>Mild</t>
        </is>
      </c>
      <c r="E390" s="5" t="inlineStr">
        <is>
          <t>No wash</t>
        </is>
      </c>
      <c r="F390" s="5" t="inlineStr">
        <is>
          <t>No wash</t>
        </is>
      </c>
      <c r="G390" s="4" t="inlineStr">
        <is>
          <t>One step</t>
        </is>
      </c>
      <c r="H390" s="4" t="inlineStr">
        <is>
          <t xml:space="preserve">Pyrolysis </t>
        </is>
      </c>
      <c r="I390" s="4" t="inlineStr">
        <is>
          <t>No</t>
        </is>
      </c>
      <c r="J390" s="4" t="n">
        <v>120</v>
      </c>
      <c r="K390" s="4" t="n">
        <v>5</v>
      </c>
      <c r="L390" s="4" t="n">
        <v>1400</v>
      </c>
      <c r="M390" s="4" t="inlineStr">
        <is>
          <t>No</t>
        </is>
      </c>
      <c r="N390" s="4" t="inlineStr">
        <is>
          <t>No</t>
        </is>
      </c>
      <c r="O390" s="4" t="inlineStr">
        <is>
          <t>No</t>
        </is>
      </c>
      <c r="P390" s="4" t="inlineStr">
        <is>
          <t>No</t>
        </is>
      </c>
      <c r="Q390" s="4" t="inlineStr">
        <is>
          <t>No</t>
        </is>
      </c>
      <c r="R390" s="4" t="n"/>
      <c r="S390" s="4" t="n">
        <v>0.376</v>
      </c>
      <c r="T390" s="23">
        <f>1/1.7</f>
        <v/>
      </c>
      <c r="U390" s="4" t="n">
        <v>2.25</v>
      </c>
      <c r="V390" s="4" t="n"/>
      <c r="W390" s="4" t="n"/>
      <c r="X390" s="4" t="n"/>
      <c r="Y390" s="29" t="inlineStr">
        <is>
          <t>[103]</t>
        </is>
      </c>
    </row>
    <row r="391" ht="15" customHeight="1">
      <c r="A391" s="4" t="inlineStr">
        <is>
          <t>Bamboo joints</t>
        </is>
      </c>
      <c r="B391" s="5" t="inlineStr">
        <is>
          <t>2M HCl</t>
        </is>
      </c>
      <c r="C391" s="5" t="inlineStr">
        <is>
          <t>Acid wash</t>
        </is>
      </c>
      <c r="D391" s="5" t="inlineStr">
        <is>
          <t>Mild</t>
        </is>
      </c>
      <c r="E391" s="5" t="inlineStr">
        <is>
          <t>No wash</t>
        </is>
      </c>
      <c r="F391" s="5" t="inlineStr">
        <is>
          <t>No wash</t>
        </is>
      </c>
      <c r="G391" s="4" t="inlineStr">
        <is>
          <t>One step</t>
        </is>
      </c>
      <c r="H391" s="4" t="inlineStr">
        <is>
          <t xml:space="preserve">Pyrolysis </t>
        </is>
      </c>
      <c r="I391" s="4" t="inlineStr">
        <is>
          <t>No</t>
        </is>
      </c>
      <c r="J391" s="4" t="n">
        <v>120</v>
      </c>
      <c r="K391" s="4" t="n">
        <v>5</v>
      </c>
      <c r="L391" s="4" t="n">
        <v>1400</v>
      </c>
      <c r="M391" s="4" t="inlineStr">
        <is>
          <t>No</t>
        </is>
      </c>
      <c r="N391" s="4" t="inlineStr">
        <is>
          <t>No</t>
        </is>
      </c>
      <c r="O391" s="4" t="inlineStr">
        <is>
          <t>No</t>
        </is>
      </c>
      <c r="P391" s="4" t="inlineStr">
        <is>
          <t>No</t>
        </is>
      </c>
      <c r="Q391" s="4" t="inlineStr">
        <is>
          <t>No</t>
        </is>
      </c>
      <c r="R391" s="4" t="n"/>
      <c r="S391" s="4" t="n">
        <v>0.375</v>
      </c>
      <c r="T391" s="23">
        <f>1/1.67</f>
        <v/>
      </c>
      <c r="U391" s="4" t="n">
        <v>2.05</v>
      </c>
      <c r="V391" s="4" t="n"/>
      <c r="W391" s="4" t="n"/>
      <c r="X391" s="4" t="n"/>
      <c r="Y391" s="29" t="inlineStr">
        <is>
          <t>[103]</t>
        </is>
      </c>
    </row>
    <row r="392" ht="15" customHeight="1">
      <c r="A392" s="4" t="inlineStr">
        <is>
          <t>Walnut shells</t>
        </is>
      </c>
      <c r="B392" s="5" t="inlineStr">
        <is>
          <t>2M HCl</t>
        </is>
      </c>
      <c r="C392" s="5" t="inlineStr">
        <is>
          <t>Acid wash</t>
        </is>
      </c>
      <c r="D392" s="5" t="inlineStr">
        <is>
          <t>Mild</t>
        </is>
      </c>
      <c r="E392" s="5" t="inlineStr">
        <is>
          <t>No wash</t>
        </is>
      </c>
      <c r="F392" s="5" t="inlineStr">
        <is>
          <t>No wash</t>
        </is>
      </c>
      <c r="G392" s="4" t="inlineStr">
        <is>
          <t>One step</t>
        </is>
      </c>
      <c r="H392" s="4" t="inlineStr">
        <is>
          <t xml:space="preserve">Pyrolysis </t>
        </is>
      </c>
      <c r="I392" s="4" t="inlineStr">
        <is>
          <t>No</t>
        </is>
      </c>
      <c r="J392" s="4" t="n">
        <v>120</v>
      </c>
      <c r="K392" s="4" t="n">
        <v>5</v>
      </c>
      <c r="L392" s="4" t="n">
        <v>1400</v>
      </c>
      <c r="M392" s="4" t="inlineStr">
        <is>
          <t>No</t>
        </is>
      </c>
      <c r="N392" s="4" t="inlineStr">
        <is>
          <t>No</t>
        </is>
      </c>
      <c r="O392" s="4" t="inlineStr">
        <is>
          <t>No</t>
        </is>
      </c>
      <c r="P392" s="4" t="inlineStr">
        <is>
          <t>No</t>
        </is>
      </c>
      <c r="Q392" s="4" t="inlineStr">
        <is>
          <t>No</t>
        </is>
      </c>
      <c r="R392" s="4" t="n"/>
      <c r="S392" s="4" t="n">
        <v>0.375</v>
      </c>
      <c r="T392" s="23">
        <f>1/1.65</f>
        <v/>
      </c>
      <c r="U392" s="4" t="n">
        <v>2.03</v>
      </c>
      <c r="V392" s="4" t="n"/>
      <c r="W392" s="4" t="n"/>
      <c r="X392" s="4" t="n"/>
      <c r="Y392" s="29" t="inlineStr">
        <is>
          <t>[103]</t>
        </is>
      </c>
    </row>
    <row r="393" ht="15" customHeight="1">
      <c r="A393" s="4" t="inlineStr">
        <is>
          <t>Coconut shells</t>
        </is>
      </c>
      <c r="B393" s="5" t="inlineStr">
        <is>
          <t>2M HCl</t>
        </is>
      </c>
      <c r="C393" s="5" t="inlineStr">
        <is>
          <t>Acid wash</t>
        </is>
      </c>
      <c r="D393" s="5" t="inlineStr">
        <is>
          <t>Mild</t>
        </is>
      </c>
      <c r="E393" s="5" t="inlineStr">
        <is>
          <t>No wash</t>
        </is>
      </c>
      <c r="F393" s="5" t="inlineStr">
        <is>
          <t>No wash</t>
        </is>
      </c>
      <c r="G393" s="4" t="inlineStr">
        <is>
          <t>One step</t>
        </is>
      </c>
      <c r="H393" s="4" t="inlineStr">
        <is>
          <t xml:space="preserve">Pyrolysis </t>
        </is>
      </c>
      <c r="I393" s="4" t="inlineStr">
        <is>
          <t>No</t>
        </is>
      </c>
      <c r="J393" s="4" t="n">
        <v>120</v>
      </c>
      <c r="K393" s="4" t="n">
        <v>5</v>
      </c>
      <c r="L393" s="4" t="n">
        <v>1400</v>
      </c>
      <c r="M393" s="4" t="inlineStr">
        <is>
          <t>No</t>
        </is>
      </c>
      <c r="N393" s="4" t="inlineStr">
        <is>
          <t>No</t>
        </is>
      </c>
      <c r="O393" s="4" t="inlineStr">
        <is>
          <t>No</t>
        </is>
      </c>
      <c r="P393" s="4" t="inlineStr">
        <is>
          <t>No</t>
        </is>
      </c>
      <c r="Q393" s="4" t="inlineStr">
        <is>
          <t>No</t>
        </is>
      </c>
      <c r="R393" s="4" t="n"/>
      <c r="S393" s="4" t="n">
        <v>0.378</v>
      </c>
      <c r="T393" s="23">
        <f>1/1.65</f>
        <v/>
      </c>
      <c r="U393" s="4" t="n">
        <v>2.19</v>
      </c>
      <c r="V393" s="4" t="n"/>
      <c r="W393" s="4" t="n"/>
      <c r="X393" s="4" t="n"/>
      <c r="Y393" s="29" t="inlineStr">
        <is>
          <t>[103]</t>
        </is>
      </c>
    </row>
    <row r="394" ht="15" customHeight="1">
      <c r="A394" s="4" t="inlineStr">
        <is>
          <t>Kapok fiber</t>
        </is>
      </c>
      <c r="B394" s="5" t="inlineStr">
        <is>
          <t>No</t>
        </is>
      </c>
      <c r="C394" s="5" t="inlineStr">
        <is>
          <t>No wash</t>
        </is>
      </c>
      <c r="D394" s="5" t="inlineStr">
        <is>
          <t>No wash</t>
        </is>
      </c>
      <c r="E394" s="5" t="inlineStr">
        <is>
          <t>No wash</t>
        </is>
      </c>
      <c r="F394" s="5" t="inlineStr">
        <is>
          <t>No wash</t>
        </is>
      </c>
      <c r="G394" s="4" t="inlineStr">
        <is>
          <t>One step</t>
        </is>
      </c>
      <c r="H394" s="4" t="inlineStr">
        <is>
          <t xml:space="preserve">Pyrolysis </t>
        </is>
      </c>
      <c r="I394" s="4" t="inlineStr">
        <is>
          <t>No</t>
        </is>
      </c>
      <c r="J394" s="4" t="n">
        <v>240</v>
      </c>
      <c r="K394" s="4" t="n">
        <v>5</v>
      </c>
      <c r="L394" s="4" t="n">
        <v>1200</v>
      </c>
      <c r="M394" s="4" t="inlineStr">
        <is>
          <t>No</t>
        </is>
      </c>
      <c r="N394" s="4" t="inlineStr">
        <is>
          <t>No</t>
        </is>
      </c>
      <c r="O394" s="4" t="inlineStr">
        <is>
          <t>No</t>
        </is>
      </c>
      <c r="P394" s="4" t="inlineStr">
        <is>
          <t>No</t>
        </is>
      </c>
      <c r="Q394" s="4" t="inlineStr">
        <is>
          <t>No</t>
        </is>
      </c>
      <c r="R394" s="4" t="n">
        <v>30.8</v>
      </c>
      <c r="S394" s="4" t="n">
        <v>0.391</v>
      </c>
      <c r="T394" s="23" t="n">
        <v>1.03</v>
      </c>
      <c r="U394" s="4" t="n"/>
      <c r="V394" s="4" t="n"/>
      <c r="W394" s="4" t="n"/>
      <c r="X394" s="4" t="n">
        <v>98.09999999999999</v>
      </c>
      <c r="Y394" s="29" t="inlineStr">
        <is>
          <t>[104]</t>
        </is>
      </c>
    </row>
    <row r="395" ht="15" customHeight="1">
      <c r="A395" s="4" t="inlineStr">
        <is>
          <t>Kapok fiber</t>
        </is>
      </c>
      <c r="B395" s="5" t="inlineStr">
        <is>
          <t>No</t>
        </is>
      </c>
      <c r="C395" s="5" t="inlineStr">
        <is>
          <t>No wash</t>
        </is>
      </c>
      <c r="D395" s="5" t="inlineStr">
        <is>
          <t>No wash</t>
        </is>
      </c>
      <c r="E395" s="5" t="inlineStr">
        <is>
          <t>No wash</t>
        </is>
      </c>
      <c r="F395" s="5" t="inlineStr">
        <is>
          <t>No wash</t>
        </is>
      </c>
      <c r="G395" s="4" t="inlineStr">
        <is>
          <t>One step</t>
        </is>
      </c>
      <c r="H395" s="4" t="inlineStr">
        <is>
          <t xml:space="preserve">Pyrolysis </t>
        </is>
      </c>
      <c r="I395" s="4" t="inlineStr">
        <is>
          <t>No</t>
        </is>
      </c>
      <c r="J395" s="4" t="n">
        <v>240</v>
      </c>
      <c r="K395" s="4" t="n">
        <v>5</v>
      </c>
      <c r="L395" s="4" t="n">
        <v>1400</v>
      </c>
      <c r="M395" s="4" t="inlineStr">
        <is>
          <t>No</t>
        </is>
      </c>
      <c r="N395" s="4" t="inlineStr">
        <is>
          <t>No</t>
        </is>
      </c>
      <c r="O395" s="4" t="inlineStr">
        <is>
          <t>No</t>
        </is>
      </c>
      <c r="P395" s="4" t="inlineStr">
        <is>
          <t>No</t>
        </is>
      </c>
      <c r="Q395" s="4" t="inlineStr">
        <is>
          <t>No</t>
        </is>
      </c>
      <c r="R395" s="4" t="n">
        <v>19.2</v>
      </c>
      <c r="S395" s="4" t="n">
        <v>0.357</v>
      </c>
      <c r="T395" s="23" t="n">
        <v>1.08</v>
      </c>
      <c r="U395" s="4" t="n"/>
      <c r="V395" s="4" t="n"/>
      <c r="W395" s="4" t="n"/>
      <c r="X395" s="4" t="n">
        <v>98.8</v>
      </c>
      <c r="Y395" s="29" t="inlineStr">
        <is>
          <t>[104]</t>
        </is>
      </c>
    </row>
    <row r="396" ht="15" customHeight="1">
      <c r="A396" s="4" t="inlineStr">
        <is>
          <t>Kapok fiber</t>
        </is>
      </c>
      <c r="B396" s="5" t="inlineStr">
        <is>
          <t>No</t>
        </is>
      </c>
      <c r="C396" s="5" t="inlineStr">
        <is>
          <t>No wash</t>
        </is>
      </c>
      <c r="D396" s="5" t="inlineStr">
        <is>
          <t>No wash</t>
        </is>
      </c>
      <c r="E396" s="5" t="inlineStr">
        <is>
          <t>No wash</t>
        </is>
      </c>
      <c r="F396" s="5" t="inlineStr">
        <is>
          <t>No wash</t>
        </is>
      </c>
      <c r="G396" s="4" t="inlineStr">
        <is>
          <t>One step</t>
        </is>
      </c>
      <c r="H396" s="4" t="inlineStr">
        <is>
          <t xml:space="preserve">Pyrolysis </t>
        </is>
      </c>
      <c r="I396" s="4" t="inlineStr">
        <is>
          <t>No</t>
        </is>
      </c>
      <c r="J396" s="4" t="n">
        <v>240</v>
      </c>
      <c r="K396" s="4" t="n">
        <v>5</v>
      </c>
      <c r="L396" s="4" t="n">
        <v>1600</v>
      </c>
      <c r="M396" s="4" t="inlineStr">
        <is>
          <t>No</t>
        </is>
      </c>
      <c r="N396" s="4" t="inlineStr">
        <is>
          <t>No</t>
        </is>
      </c>
      <c r="O396" s="4" t="inlineStr">
        <is>
          <t>No</t>
        </is>
      </c>
      <c r="P396" s="4" t="inlineStr">
        <is>
          <t>No</t>
        </is>
      </c>
      <c r="Q396" s="4" t="inlineStr">
        <is>
          <t>No</t>
        </is>
      </c>
      <c r="R396" s="4" t="n">
        <v>15.5</v>
      </c>
      <c r="S396" s="4" t="n">
        <v>0.356</v>
      </c>
      <c r="T396" s="23" t="n">
        <v>1.1</v>
      </c>
      <c r="U396" s="4" t="n"/>
      <c r="V396" s="4" t="n"/>
      <c r="W396" s="4" t="n"/>
      <c r="X396" s="4" t="n">
        <v>99.40000000000001</v>
      </c>
      <c r="Y396" s="29" t="inlineStr">
        <is>
          <t>[104]</t>
        </is>
      </c>
    </row>
    <row r="397" ht="15" customHeight="1">
      <c r="A397" s="4" t="inlineStr">
        <is>
          <t>Prunus armeniaca seed shell</t>
        </is>
      </c>
      <c r="B397" s="5" t="inlineStr">
        <is>
          <t>No</t>
        </is>
      </c>
      <c r="C397" s="5" t="inlineStr">
        <is>
          <t>No wash</t>
        </is>
      </c>
      <c r="D397" s="5" t="inlineStr">
        <is>
          <t>No wash</t>
        </is>
      </c>
      <c r="E397" s="5" t="inlineStr">
        <is>
          <t>No wash</t>
        </is>
      </c>
      <c r="F397" s="5" t="inlineStr">
        <is>
          <t>No wash</t>
        </is>
      </c>
      <c r="G397" s="4" t="inlineStr">
        <is>
          <t>One step</t>
        </is>
      </c>
      <c r="H397" s="4" t="inlineStr">
        <is>
          <t xml:space="preserve">Pyrolysis </t>
        </is>
      </c>
      <c r="I397" s="4" t="inlineStr">
        <is>
          <t>No</t>
        </is>
      </c>
      <c r="J397" s="4" t="n">
        <v>300</v>
      </c>
      <c r="K397" s="4" t="n">
        <v>5</v>
      </c>
      <c r="L397" s="4" t="n">
        <v>1000</v>
      </c>
      <c r="M397" s="4" t="inlineStr">
        <is>
          <t>No</t>
        </is>
      </c>
      <c r="N397" s="4" t="inlineStr">
        <is>
          <t>No</t>
        </is>
      </c>
      <c r="O397" s="4" t="inlineStr">
        <is>
          <t>No</t>
        </is>
      </c>
      <c r="P397" s="4" t="inlineStr">
        <is>
          <t>No</t>
        </is>
      </c>
      <c r="Q397" s="4" t="inlineStr">
        <is>
          <t>No</t>
        </is>
      </c>
      <c r="R397" s="4" t="n">
        <v>297</v>
      </c>
      <c r="S397" s="4" t="n"/>
      <c r="T397" s="23" t="n">
        <v>0.95</v>
      </c>
      <c r="U397" s="4" t="n"/>
      <c r="V397" s="4" t="n"/>
      <c r="W397" s="4" t="n"/>
      <c r="X397" s="4" t="n">
        <v>99.36</v>
      </c>
      <c r="Y397" s="29" t="inlineStr">
        <is>
          <t>[105]</t>
        </is>
      </c>
    </row>
    <row r="398" ht="15" customHeight="1">
      <c r="A398" s="4" t="inlineStr">
        <is>
          <t>Prunus armeniaca seed shell</t>
        </is>
      </c>
      <c r="B398" s="5" t="inlineStr">
        <is>
          <t>No</t>
        </is>
      </c>
      <c r="C398" s="5" t="inlineStr">
        <is>
          <t>No wash</t>
        </is>
      </c>
      <c r="D398" s="5" t="inlineStr">
        <is>
          <t>No wash</t>
        </is>
      </c>
      <c r="E398" s="5" t="inlineStr">
        <is>
          <t>No wash</t>
        </is>
      </c>
      <c r="F398" s="5" t="inlineStr">
        <is>
          <t>No wash</t>
        </is>
      </c>
      <c r="G398" s="4" t="inlineStr">
        <is>
          <t>One step</t>
        </is>
      </c>
      <c r="H398" s="4" t="inlineStr">
        <is>
          <t xml:space="preserve">Pyrolysis </t>
        </is>
      </c>
      <c r="I398" s="4" t="inlineStr">
        <is>
          <t>No</t>
        </is>
      </c>
      <c r="J398" s="4" t="n">
        <v>300</v>
      </c>
      <c r="K398" s="4" t="n">
        <v>5</v>
      </c>
      <c r="L398" s="4" t="n">
        <v>1100</v>
      </c>
      <c r="M398" s="4" t="inlineStr">
        <is>
          <t>No</t>
        </is>
      </c>
      <c r="N398" s="4" t="inlineStr">
        <is>
          <t>No</t>
        </is>
      </c>
      <c r="O398" s="4" t="inlineStr">
        <is>
          <t>No</t>
        </is>
      </c>
      <c r="P398" s="4" t="inlineStr">
        <is>
          <t>No</t>
        </is>
      </c>
      <c r="Q398" s="4" t="inlineStr">
        <is>
          <t>No</t>
        </is>
      </c>
      <c r="R398" s="4" t="n">
        <v>44</v>
      </c>
      <c r="S398" s="4" t="n"/>
      <c r="T398" s="23" t="n">
        <v>0.96</v>
      </c>
      <c r="U398" s="4" t="n"/>
      <c r="V398" s="4" t="n"/>
      <c r="W398" s="4" t="n"/>
      <c r="X398" s="4" t="n">
        <v>99.31</v>
      </c>
      <c r="Y398" s="29" t="inlineStr">
        <is>
          <t>[105]</t>
        </is>
      </c>
    </row>
    <row r="399" ht="15" customHeight="1">
      <c r="A399" s="4" t="inlineStr">
        <is>
          <t>Prunus armeniaca seed shell</t>
        </is>
      </c>
      <c r="B399" s="5" t="inlineStr">
        <is>
          <t>No</t>
        </is>
      </c>
      <c r="C399" s="5" t="inlineStr">
        <is>
          <t>No wash</t>
        </is>
      </c>
      <c r="D399" s="5" t="inlineStr">
        <is>
          <t>No wash</t>
        </is>
      </c>
      <c r="E399" s="5" t="inlineStr">
        <is>
          <t>No wash</t>
        </is>
      </c>
      <c r="F399" s="5" t="inlineStr">
        <is>
          <t>No wash</t>
        </is>
      </c>
      <c r="G399" s="4" t="inlineStr">
        <is>
          <t>One step</t>
        </is>
      </c>
      <c r="H399" s="4" t="inlineStr">
        <is>
          <t xml:space="preserve">Pyrolysis </t>
        </is>
      </c>
      <c r="I399" s="4" t="inlineStr">
        <is>
          <t>No</t>
        </is>
      </c>
      <c r="J399" s="4" t="n">
        <v>300</v>
      </c>
      <c r="K399" s="4" t="n">
        <v>5</v>
      </c>
      <c r="L399" s="4" t="n">
        <v>1200</v>
      </c>
      <c r="M399" s="4" t="inlineStr">
        <is>
          <t>No</t>
        </is>
      </c>
      <c r="N399" s="4" t="inlineStr">
        <is>
          <t>No</t>
        </is>
      </c>
      <c r="O399" s="4" t="inlineStr">
        <is>
          <t>No</t>
        </is>
      </c>
      <c r="P399" s="4" t="inlineStr">
        <is>
          <t>No</t>
        </is>
      </c>
      <c r="Q399" s="4" t="inlineStr">
        <is>
          <t>No</t>
        </is>
      </c>
      <c r="R399" s="4" t="n">
        <v>99</v>
      </c>
      <c r="S399" s="4" t="n"/>
      <c r="T399" s="23" t="n">
        <v>0.97</v>
      </c>
      <c r="U399" s="4" t="n"/>
      <c r="V399" s="4" t="n"/>
      <c r="W399" s="4" t="n"/>
      <c r="X399" s="4" t="n">
        <v>99.73999999999999</v>
      </c>
      <c r="Y399" s="29" t="inlineStr">
        <is>
          <t>[105]</t>
        </is>
      </c>
    </row>
    <row r="400" ht="15" customHeight="1">
      <c r="A400" s="4" t="inlineStr">
        <is>
          <t>Corn starch</t>
        </is>
      </c>
      <c r="B400" s="5" t="inlineStr">
        <is>
          <t>Fermantation</t>
        </is>
      </c>
      <c r="C400" s="5" t="inlineStr">
        <is>
          <t>No wash</t>
        </is>
      </c>
      <c r="D400" s="5" t="inlineStr">
        <is>
          <t>No wash</t>
        </is>
      </c>
      <c r="E400" s="5" t="inlineStr">
        <is>
          <t>No wash</t>
        </is>
      </c>
      <c r="F400" s="5" t="inlineStr">
        <is>
          <t>No wash</t>
        </is>
      </c>
      <c r="G400" s="4" t="inlineStr">
        <is>
          <t>One step</t>
        </is>
      </c>
      <c r="H400" s="4" t="inlineStr">
        <is>
          <t xml:space="preserve">Pyrolysis </t>
        </is>
      </c>
      <c r="I400" s="4" t="inlineStr">
        <is>
          <t>No</t>
        </is>
      </c>
      <c r="J400" s="4" t="n">
        <v>120</v>
      </c>
      <c r="K400" s="4" t="n">
        <v>5</v>
      </c>
      <c r="L400" s="4" t="n">
        <v>1100</v>
      </c>
      <c r="M400" s="4" t="inlineStr">
        <is>
          <t>No</t>
        </is>
      </c>
      <c r="N400" s="4" t="inlineStr">
        <is>
          <t>No</t>
        </is>
      </c>
      <c r="O400" s="4" t="inlineStr">
        <is>
          <t>No</t>
        </is>
      </c>
      <c r="P400" s="4" t="inlineStr">
        <is>
          <t>No</t>
        </is>
      </c>
      <c r="Q400" s="4" t="inlineStr">
        <is>
          <t>No</t>
        </is>
      </c>
      <c r="R400" s="4" t="n">
        <v>41.91</v>
      </c>
      <c r="S400" s="4" t="n">
        <v>0.386</v>
      </c>
      <c r="T400" s="23">
        <f>1/1.76</f>
        <v/>
      </c>
      <c r="U400" s="4" t="n">
        <v>10.92</v>
      </c>
      <c r="V400" s="4" t="n"/>
      <c r="W400" s="4" t="n">
        <v>0.156</v>
      </c>
      <c r="X400" s="4" t="n">
        <v>96.52</v>
      </c>
      <c r="Y400" s="29" t="inlineStr">
        <is>
          <t>[106]</t>
        </is>
      </c>
    </row>
    <row r="401" ht="15" customHeight="1">
      <c r="A401" s="4" t="inlineStr">
        <is>
          <t>Corn starch</t>
        </is>
      </c>
      <c r="B401" s="5" t="inlineStr">
        <is>
          <t>Fermantation</t>
        </is>
      </c>
      <c r="C401" s="5" t="inlineStr">
        <is>
          <t>No wash</t>
        </is>
      </c>
      <c r="D401" s="5" t="inlineStr">
        <is>
          <t>No wash</t>
        </is>
      </c>
      <c r="E401" s="5" t="inlineStr">
        <is>
          <t>No wash</t>
        </is>
      </c>
      <c r="F401" s="5" t="inlineStr">
        <is>
          <t>No wash</t>
        </is>
      </c>
      <c r="G401" s="4" t="inlineStr">
        <is>
          <t>One step</t>
        </is>
      </c>
      <c r="H401" s="4" t="inlineStr">
        <is>
          <t xml:space="preserve">Pyrolysis </t>
        </is>
      </c>
      <c r="I401" s="4" t="inlineStr">
        <is>
          <t>No</t>
        </is>
      </c>
      <c r="J401" s="4" t="n">
        <v>120</v>
      </c>
      <c r="K401" s="4" t="n">
        <v>5</v>
      </c>
      <c r="L401" s="4" t="n">
        <v>1100</v>
      </c>
      <c r="M401" s="4" t="inlineStr">
        <is>
          <t>No</t>
        </is>
      </c>
      <c r="N401" s="4" t="inlineStr">
        <is>
          <t>No</t>
        </is>
      </c>
      <c r="O401" s="4" t="inlineStr">
        <is>
          <t>No</t>
        </is>
      </c>
      <c r="P401" s="4" t="inlineStr">
        <is>
          <t>No</t>
        </is>
      </c>
      <c r="Q401" s="4" t="inlineStr">
        <is>
          <t>No</t>
        </is>
      </c>
      <c r="R401" s="4" t="n">
        <v>8.130000000000001</v>
      </c>
      <c r="S401" s="4" t="n">
        <v>0.401</v>
      </c>
      <c r="T401" s="23">
        <f>1/1.81</f>
        <v/>
      </c>
      <c r="U401" s="4" t="n">
        <v>10.62</v>
      </c>
      <c r="V401" s="4" t="n"/>
      <c r="W401" s="4" t="n">
        <v>0.012</v>
      </c>
      <c r="X401" s="4" t="n">
        <v>93.87</v>
      </c>
      <c r="Y401" s="29" t="inlineStr">
        <is>
          <t>[106]</t>
        </is>
      </c>
    </row>
    <row r="402" ht="15" customHeight="1">
      <c r="A402" s="4" t="inlineStr">
        <is>
          <t>Potato starch</t>
        </is>
      </c>
      <c r="B402" s="5" t="inlineStr">
        <is>
          <t>Fermantation</t>
        </is>
      </c>
      <c r="C402" s="5" t="inlineStr">
        <is>
          <t>No wash</t>
        </is>
      </c>
      <c r="D402" s="5" t="inlineStr">
        <is>
          <t>No wash</t>
        </is>
      </c>
      <c r="E402" s="5" t="inlineStr">
        <is>
          <t>No wash</t>
        </is>
      </c>
      <c r="F402" s="5" t="inlineStr">
        <is>
          <t>No wash</t>
        </is>
      </c>
      <c r="G402" s="4" t="inlineStr">
        <is>
          <t>One step</t>
        </is>
      </c>
      <c r="H402" s="4" t="inlineStr">
        <is>
          <t xml:space="preserve">Pyrolysis </t>
        </is>
      </c>
      <c r="I402" s="4" t="inlineStr">
        <is>
          <t>No</t>
        </is>
      </c>
      <c r="J402" s="4" t="n">
        <v>120</v>
      </c>
      <c r="K402" s="4" t="n">
        <v>5</v>
      </c>
      <c r="L402" s="4" t="n">
        <v>1100</v>
      </c>
      <c r="M402" s="4" t="inlineStr">
        <is>
          <t>No</t>
        </is>
      </c>
      <c r="N402" s="4" t="inlineStr">
        <is>
          <t>No</t>
        </is>
      </c>
      <c r="O402" s="4" t="inlineStr">
        <is>
          <t>No</t>
        </is>
      </c>
      <c r="P402" s="4" t="inlineStr">
        <is>
          <t>No</t>
        </is>
      </c>
      <c r="Q402" s="4" t="inlineStr">
        <is>
          <t>No</t>
        </is>
      </c>
      <c r="R402" s="4" t="n">
        <v>5.12</v>
      </c>
      <c r="S402" s="4" t="n">
        <v>0.385</v>
      </c>
      <c r="T402" s="23">
        <f>1/1.75</f>
        <v/>
      </c>
      <c r="U402" s="4" t="n">
        <v>10.99</v>
      </c>
      <c r="V402" s="4" t="n"/>
      <c r="W402" s="4" t="n">
        <v>0.097</v>
      </c>
      <c r="X402" s="4" t="n">
        <v>95.81</v>
      </c>
      <c r="Y402" s="29" t="inlineStr">
        <is>
          <t>[106]</t>
        </is>
      </c>
    </row>
    <row r="403" ht="15" customHeight="1">
      <c r="A403" s="4" t="inlineStr">
        <is>
          <t>Potato starch</t>
        </is>
      </c>
      <c r="B403" s="5" t="inlineStr">
        <is>
          <t>Fermantation</t>
        </is>
      </c>
      <c r="C403" s="5" t="inlineStr">
        <is>
          <t>No wash</t>
        </is>
      </c>
      <c r="D403" s="5" t="inlineStr">
        <is>
          <t>No wash</t>
        </is>
      </c>
      <c r="E403" s="5" t="inlineStr">
        <is>
          <t>No wash</t>
        </is>
      </c>
      <c r="F403" s="5" t="inlineStr">
        <is>
          <t>No wash</t>
        </is>
      </c>
      <c r="G403" s="4" t="inlineStr">
        <is>
          <t>One step</t>
        </is>
      </c>
      <c r="H403" s="4" t="inlineStr">
        <is>
          <t xml:space="preserve">Pyrolysis </t>
        </is>
      </c>
      <c r="I403" s="4" t="inlineStr">
        <is>
          <t>No</t>
        </is>
      </c>
      <c r="J403" s="4" t="n">
        <v>120</v>
      </c>
      <c r="K403" s="4" t="n">
        <v>5</v>
      </c>
      <c r="L403" s="4" t="n">
        <v>1100</v>
      </c>
      <c r="M403" s="4" t="inlineStr">
        <is>
          <t>No</t>
        </is>
      </c>
      <c r="N403" s="4" t="inlineStr">
        <is>
          <t>No</t>
        </is>
      </c>
      <c r="O403" s="4" t="inlineStr">
        <is>
          <t>No</t>
        </is>
      </c>
      <c r="P403" s="4" t="inlineStr">
        <is>
          <t>No</t>
        </is>
      </c>
      <c r="Q403" s="4" t="inlineStr">
        <is>
          <t>No</t>
        </is>
      </c>
      <c r="R403" s="4" t="n">
        <v>20.33</v>
      </c>
      <c r="S403" s="4" t="n">
        <v>0.395</v>
      </c>
      <c r="T403" s="23">
        <f>1/1.884</f>
        <v/>
      </c>
      <c r="U403" s="4" t="n">
        <v>10.45</v>
      </c>
      <c r="V403" s="4" t="n"/>
      <c r="W403" s="4" t="n">
        <v>0.105</v>
      </c>
      <c r="X403" s="4" t="n">
        <v>93.81</v>
      </c>
      <c r="Y403" s="29" t="inlineStr">
        <is>
          <t>[106]</t>
        </is>
      </c>
    </row>
    <row r="404" ht="15" customHeight="1">
      <c r="A404" s="4" t="inlineStr">
        <is>
          <t>Cellulose</t>
        </is>
      </c>
      <c r="B404" s="5" t="inlineStr">
        <is>
          <t>No</t>
        </is>
      </c>
      <c r="C404" s="5" t="inlineStr">
        <is>
          <t>No wash</t>
        </is>
      </c>
      <c r="D404" s="5" t="inlineStr">
        <is>
          <t>No wash</t>
        </is>
      </c>
      <c r="E404" s="5" t="inlineStr">
        <is>
          <t>No wash</t>
        </is>
      </c>
      <c r="F404" s="5" t="inlineStr">
        <is>
          <t>No wash</t>
        </is>
      </c>
      <c r="G404" s="4" t="inlineStr">
        <is>
          <t>One step</t>
        </is>
      </c>
      <c r="H404" s="4" t="inlineStr">
        <is>
          <t xml:space="preserve">Pyrolysis </t>
        </is>
      </c>
      <c r="I404" s="4" t="inlineStr">
        <is>
          <t>No</t>
        </is>
      </c>
      <c r="J404" s="4" t="n">
        <v>240</v>
      </c>
      <c r="K404" s="4" t="n">
        <v>5</v>
      </c>
      <c r="L404" s="4" t="n">
        <v>600</v>
      </c>
      <c r="M404" s="4" t="inlineStr">
        <is>
          <t>No</t>
        </is>
      </c>
      <c r="N404" s="4" t="inlineStr">
        <is>
          <t>No</t>
        </is>
      </c>
      <c r="O404" s="4" t="inlineStr">
        <is>
          <t>No</t>
        </is>
      </c>
      <c r="P404" s="4" t="inlineStr">
        <is>
          <t>No</t>
        </is>
      </c>
      <c r="Q404" s="4" t="inlineStr">
        <is>
          <t>No</t>
        </is>
      </c>
      <c r="R404" s="4" t="n"/>
      <c r="S404" s="4" t="n">
        <v>0.438</v>
      </c>
      <c r="T404" s="23" t="n"/>
      <c r="U404" s="4" t="n">
        <v>3.13</v>
      </c>
      <c r="V404" s="4" t="n">
        <v>0.48</v>
      </c>
      <c r="W404" s="4" t="n"/>
      <c r="X404" s="4" t="n"/>
      <c r="Y404" s="29" t="inlineStr">
        <is>
          <t>[107]</t>
        </is>
      </c>
    </row>
    <row r="405" ht="15" customHeight="1">
      <c r="A405" s="4" t="inlineStr">
        <is>
          <t>Cellulose</t>
        </is>
      </c>
      <c r="B405" s="5" t="inlineStr">
        <is>
          <t>No</t>
        </is>
      </c>
      <c r="C405" s="5" t="inlineStr">
        <is>
          <t>No wash</t>
        </is>
      </c>
      <c r="D405" s="5" t="inlineStr">
        <is>
          <t>No wash</t>
        </is>
      </c>
      <c r="E405" s="5" t="inlineStr">
        <is>
          <t>No wash</t>
        </is>
      </c>
      <c r="F405" s="5" t="inlineStr">
        <is>
          <t>No wash</t>
        </is>
      </c>
      <c r="G405" s="4" t="inlineStr">
        <is>
          <t>One step</t>
        </is>
      </c>
      <c r="H405" s="4" t="inlineStr">
        <is>
          <t xml:space="preserve">Pyrolysis </t>
        </is>
      </c>
      <c r="I405" s="4" t="inlineStr">
        <is>
          <t>No</t>
        </is>
      </c>
      <c r="J405" s="4" t="n">
        <v>240</v>
      </c>
      <c r="K405" s="4" t="n">
        <v>5</v>
      </c>
      <c r="L405" s="4" t="n">
        <v>800</v>
      </c>
      <c r="M405" s="4" t="inlineStr">
        <is>
          <t>No</t>
        </is>
      </c>
      <c r="N405" s="4" t="inlineStr">
        <is>
          <t>No</t>
        </is>
      </c>
      <c r="O405" s="4" t="inlineStr">
        <is>
          <t>No</t>
        </is>
      </c>
      <c r="P405" s="4" t="inlineStr">
        <is>
          <t>No</t>
        </is>
      </c>
      <c r="Q405" s="4" t="inlineStr">
        <is>
          <t>No</t>
        </is>
      </c>
      <c r="R405" s="4" t="n"/>
      <c r="S405" s="4" t="n">
        <v>0.411</v>
      </c>
      <c r="T405" s="23" t="n"/>
      <c r="U405" s="4" t="n">
        <v>3.32</v>
      </c>
      <c r="V405" s="4" t="n">
        <v>0.6899999999999999</v>
      </c>
      <c r="W405" s="4" t="n"/>
      <c r="X405" s="4" t="n"/>
      <c r="Y405" s="29" t="inlineStr">
        <is>
          <t>[107]</t>
        </is>
      </c>
    </row>
    <row r="406" ht="15" customHeight="1">
      <c r="A406" s="4" t="inlineStr">
        <is>
          <t>Cellulose</t>
        </is>
      </c>
      <c r="B406" s="5" t="inlineStr">
        <is>
          <t>No</t>
        </is>
      </c>
      <c r="C406" s="5" t="inlineStr">
        <is>
          <t>No wash</t>
        </is>
      </c>
      <c r="D406" s="5" t="inlineStr">
        <is>
          <t>No wash</t>
        </is>
      </c>
      <c r="E406" s="5" t="inlineStr">
        <is>
          <t>No wash</t>
        </is>
      </c>
      <c r="F406" s="5" t="inlineStr">
        <is>
          <t>No wash</t>
        </is>
      </c>
      <c r="G406" s="4" t="inlineStr">
        <is>
          <t>One step</t>
        </is>
      </c>
      <c r="H406" s="4" t="inlineStr">
        <is>
          <t xml:space="preserve">Pyrolysis </t>
        </is>
      </c>
      <c r="I406" s="4" t="inlineStr">
        <is>
          <t>No</t>
        </is>
      </c>
      <c r="J406" s="4" t="n">
        <v>240</v>
      </c>
      <c r="K406" s="4" t="n">
        <v>5</v>
      </c>
      <c r="L406" s="4" t="n">
        <v>1000</v>
      </c>
      <c r="M406" s="4" t="inlineStr">
        <is>
          <t>No</t>
        </is>
      </c>
      <c r="N406" s="4" t="inlineStr">
        <is>
          <t>No</t>
        </is>
      </c>
      <c r="O406" s="4" t="inlineStr">
        <is>
          <t>No</t>
        </is>
      </c>
      <c r="P406" s="4" t="inlineStr">
        <is>
          <t>No</t>
        </is>
      </c>
      <c r="Q406" s="4" t="inlineStr">
        <is>
          <t>No</t>
        </is>
      </c>
      <c r="R406" s="4" t="n"/>
      <c r="S406" s="4" t="n">
        <v>0.402</v>
      </c>
      <c r="T406" s="23" t="n"/>
      <c r="U406" s="4" t="n">
        <v>3.59</v>
      </c>
      <c r="V406" s="4" t="n">
        <v>0.8</v>
      </c>
      <c r="W406" s="4" t="n"/>
      <c r="X406" s="4" t="n"/>
      <c r="Y406" s="29" t="inlineStr">
        <is>
          <t>[107]</t>
        </is>
      </c>
    </row>
    <row r="407" ht="15" customHeight="1">
      <c r="A407" s="4" t="inlineStr">
        <is>
          <t>Cellulose</t>
        </is>
      </c>
      <c r="B407" s="5" t="inlineStr">
        <is>
          <t>No</t>
        </is>
      </c>
      <c r="C407" s="5" t="inlineStr">
        <is>
          <t>No wash</t>
        </is>
      </c>
      <c r="D407" s="5" t="inlineStr">
        <is>
          <t>No wash</t>
        </is>
      </c>
      <c r="E407" s="5" t="inlineStr">
        <is>
          <t>No wash</t>
        </is>
      </c>
      <c r="F407" s="5" t="inlineStr">
        <is>
          <t>No wash</t>
        </is>
      </c>
      <c r="G407" s="4" t="inlineStr">
        <is>
          <t>One step</t>
        </is>
      </c>
      <c r="H407" s="4" t="inlineStr">
        <is>
          <t xml:space="preserve">Pyrolysis </t>
        </is>
      </c>
      <c r="I407" s="4" t="inlineStr">
        <is>
          <t>No</t>
        </is>
      </c>
      <c r="J407" s="4" t="n">
        <v>240</v>
      </c>
      <c r="K407" s="4" t="n">
        <v>5</v>
      </c>
      <c r="L407" s="4" t="n">
        <v>1200</v>
      </c>
      <c r="M407" s="4" t="inlineStr">
        <is>
          <t>No</t>
        </is>
      </c>
      <c r="N407" s="4" t="inlineStr">
        <is>
          <t>No</t>
        </is>
      </c>
      <c r="O407" s="4" t="inlineStr">
        <is>
          <t>No</t>
        </is>
      </c>
      <c r="P407" s="4" t="inlineStr">
        <is>
          <t>No</t>
        </is>
      </c>
      <c r="Q407" s="4" t="inlineStr">
        <is>
          <t>No</t>
        </is>
      </c>
      <c r="R407" s="4" t="n"/>
      <c r="S407" s="4" t="n">
        <v>0.395</v>
      </c>
      <c r="T407" s="23" t="n"/>
      <c r="U407" s="4" t="n">
        <v>3.9</v>
      </c>
      <c r="V407" s="4" t="n">
        <v>0.78</v>
      </c>
      <c r="W407" s="4" t="n"/>
      <c r="X407" s="4" t="n"/>
      <c r="Y407" s="29" t="inlineStr">
        <is>
          <t>[107]</t>
        </is>
      </c>
    </row>
    <row r="408" ht="15" customHeight="1">
      <c r="A408" s="4" t="inlineStr">
        <is>
          <t>Cellulose</t>
        </is>
      </c>
      <c r="B408" s="5" t="inlineStr">
        <is>
          <t>No</t>
        </is>
      </c>
      <c r="C408" s="5" t="inlineStr">
        <is>
          <t>No wash</t>
        </is>
      </c>
      <c r="D408" s="5" t="inlineStr">
        <is>
          <t>No wash</t>
        </is>
      </c>
      <c r="E408" s="5" t="inlineStr">
        <is>
          <t>No wash</t>
        </is>
      </c>
      <c r="F408" s="5" t="inlineStr">
        <is>
          <t>No wash</t>
        </is>
      </c>
      <c r="G408" s="4" t="inlineStr">
        <is>
          <t>One step</t>
        </is>
      </c>
      <c r="H408" s="4" t="inlineStr">
        <is>
          <t xml:space="preserve">Pyrolysis </t>
        </is>
      </c>
      <c r="I408" s="4" t="inlineStr">
        <is>
          <t>No</t>
        </is>
      </c>
      <c r="J408" s="4" t="n">
        <v>240</v>
      </c>
      <c r="K408" s="4" t="n">
        <v>5</v>
      </c>
      <c r="L408" s="4" t="n">
        <v>1400</v>
      </c>
      <c r="M408" s="4" t="inlineStr">
        <is>
          <t>No</t>
        </is>
      </c>
      <c r="N408" s="4" t="inlineStr">
        <is>
          <t>No</t>
        </is>
      </c>
      <c r="O408" s="4" t="inlineStr">
        <is>
          <t>No</t>
        </is>
      </c>
      <c r="P408" s="4" t="inlineStr">
        <is>
          <t>No</t>
        </is>
      </c>
      <c r="Q408" s="4" t="inlineStr">
        <is>
          <t>No</t>
        </is>
      </c>
      <c r="R408" s="4" t="n"/>
      <c r="S408" s="4" t="n">
        <v>0.388</v>
      </c>
      <c r="T408" s="23" t="n"/>
      <c r="U408" s="4" t="n">
        <v>4.3</v>
      </c>
      <c r="V408" s="4" t="n">
        <v>0.93</v>
      </c>
      <c r="W408" s="4" t="n"/>
      <c r="X408" s="4" t="n"/>
      <c r="Y408" s="29" t="inlineStr">
        <is>
          <t>[107]</t>
        </is>
      </c>
    </row>
    <row r="409" ht="15" customHeight="1">
      <c r="A409" s="4" t="inlineStr">
        <is>
          <t>Cellulose</t>
        </is>
      </c>
      <c r="B409" s="5" t="inlineStr">
        <is>
          <t>No</t>
        </is>
      </c>
      <c r="C409" s="5" t="inlineStr">
        <is>
          <t>No wash</t>
        </is>
      </c>
      <c r="D409" s="5" t="inlineStr">
        <is>
          <t>No wash</t>
        </is>
      </c>
      <c r="E409" s="5" t="inlineStr">
        <is>
          <t>No wash</t>
        </is>
      </c>
      <c r="F409" s="5" t="inlineStr">
        <is>
          <t>No wash</t>
        </is>
      </c>
      <c r="G409" s="4" t="inlineStr">
        <is>
          <t>One step</t>
        </is>
      </c>
      <c r="H409" s="4" t="inlineStr">
        <is>
          <t xml:space="preserve">Pyrolysis </t>
        </is>
      </c>
      <c r="I409" s="4" t="inlineStr">
        <is>
          <t>No</t>
        </is>
      </c>
      <c r="J409" s="4" t="n">
        <v>240</v>
      </c>
      <c r="K409" s="4" t="n">
        <v>5</v>
      </c>
      <c r="L409" s="4" t="n">
        <v>1600</v>
      </c>
      <c r="M409" s="4" t="inlineStr">
        <is>
          <t>No</t>
        </is>
      </c>
      <c r="N409" s="4" t="inlineStr">
        <is>
          <t>No</t>
        </is>
      </c>
      <c r="O409" s="4" t="inlineStr">
        <is>
          <t>No</t>
        </is>
      </c>
      <c r="P409" s="4" t="inlineStr">
        <is>
          <t>No</t>
        </is>
      </c>
      <c r="Q409" s="4" t="inlineStr">
        <is>
          <t>No</t>
        </is>
      </c>
      <c r="R409" s="4" t="n"/>
      <c r="S409" s="4" t="n">
        <v>0.382</v>
      </c>
      <c r="T409" s="23" t="n"/>
      <c r="U409" s="4" t="n">
        <v>3.62</v>
      </c>
      <c r="V409" s="4" t="n">
        <v>0.84</v>
      </c>
      <c r="W409" s="4" t="n"/>
      <c r="X409" s="4" t="n"/>
      <c r="Y409" s="29" t="inlineStr">
        <is>
          <t>[107]</t>
        </is>
      </c>
    </row>
    <row r="410" ht="15" customHeight="1">
      <c r="A410" s="4" t="inlineStr">
        <is>
          <t>lignin</t>
        </is>
      </c>
      <c r="B410" s="5" t="inlineStr">
        <is>
          <t>No</t>
        </is>
      </c>
      <c r="C410" s="5" t="inlineStr">
        <is>
          <t>No wash</t>
        </is>
      </c>
      <c r="D410" s="5" t="inlineStr">
        <is>
          <t>No wash</t>
        </is>
      </c>
      <c r="E410" s="5" t="inlineStr">
        <is>
          <t>No wash</t>
        </is>
      </c>
      <c r="F410" s="5" t="inlineStr">
        <is>
          <t>No wash</t>
        </is>
      </c>
      <c r="G410" s="4" t="inlineStr">
        <is>
          <t>One step</t>
        </is>
      </c>
      <c r="H410" s="4" t="inlineStr">
        <is>
          <t xml:space="preserve">Pyrolysis </t>
        </is>
      </c>
      <c r="I410" s="4" t="inlineStr">
        <is>
          <t>No</t>
        </is>
      </c>
      <c r="J410" s="4" t="n">
        <v>240</v>
      </c>
      <c r="K410" s="4" t="n">
        <v>5</v>
      </c>
      <c r="L410" s="4" t="n">
        <v>600</v>
      </c>
      <c r="M410" s="4" t="inlineStr">
        <is>
          <t>No</t>
        </is>
      </c>
      <c r="N410" s="4" t="inlineStr">
        <is>
          <t>No</t>
        </is>
      </c>
      <c r="O410" s="4" t="inlineStr">
        <is>
          <t>No</t>
        </is>
      </c>
      <c r="P410" s="4" t="inlineStr">
        <is>
          <t>No</t>
        </is>
      </c>
      <c r="Q410" s="4" t="inlineStr">
        <is>
          <t>No</t>
        </is>
      </c>
      <c r="R410" s="4" t="n"/>
      <c r="S410" s="4" t="n">
        <v>0.432</v>
      </c>
      <c r="T410" s="23" t="n"/>
      <c r="U410" s="4" t="n">
        <v>3.09</v>
      </c>
      <c r="V410" s="4" t="n">
        <v>0.54</v>
      </c>
      <c r="W410" s="4" t="n"/>
      <c r="X410" s="4" t="n"/>
      <c r="Y410" s="29" t="inlineStr">
        <is>
          <t>[107]</t>
        </is>
      </c>
    </row>
    <row r="411" ht="15" customHeight="1">
      <c r="A411" s="4" t="inlineStr">
        <is>
          <t>lignin</t>
        </is>
      </c>
      <c r="B411" s="5" t="inlineStr">
        <is>
          <t>No</t>
        </is>
      </c>
      <c r="C411" s="5" t="inlineStr">
        <is>
          <t>No wash</t>
        </is>
      </c>
      <c r="D411" s="5" t="inlineStr">
        <is>
          <t>No wash</t>
        </is>
      </c>
      <c r="E411" s="5" t="inlineStr">
        <is>
          <t>No wash</t>
        </is>
      </c>
      <c r="F411" s="5" t="inlineStr">
        <is>
          <t>No wash</t>
        </is>
      </c>
      <c r="G411" s="4" t="inlineStr">
        <is>
          <t>One step</t>
        </is>
      </c>
      <c r="H411" s="4" t="inlineStr">
        <is>
          <t xml:space="preserve">Pyrolysis </t>
        </is>
      </c>
      <c r="I411" s="4" t="inlineStr">
        <is>
          <t>No</t>
        </is>
      </c>
      <c r="J411" s="4" t="n">
        <v>240</v>
      </c>
      <c r="K411" s="4" t="n">
        <v>5</v>
      </c>
      <c r="L411" s="4" t="n">
        <v>800</v>
      </c>
      <c r="M411" s="4" t="inlineStr">
        <is>
          <t>No</t>
        </is>
      </c>
      <c r="N411" s="4" t="inlineStr">
        <is>
          <t>No</t>
        </is>
      </c>
      <c r="O411" s="4" t="inlineStr">
        <is>
          <t>No</t>
        </is>
      </c>
      <c r="P411" s="4" t="inlineStr">
        <is>
          <t>No</t>
        </is>
      </c>
      <c r="Q411" s="4" t="inlineStr">
        <is>
          <t>No</t>
        </is>
      </c>
      <c r="R411" s="4" t="n"/>
      <c r="S411" s="4" t="n">
        <v>0.412</v>
      </c>
      <c r="T411" s="23" t="n"/>
      <c r="U411" s="4" t="n">
        <v>3.6</v>
      </c>
      <c r="V411" s="4" t="n">
        <v>0.73</v>
      </c>
      <c r="W411" s="4" t="n"/>
      <c r="X411" s="4" t="n"/>
      <c r="Y411" s="29" t="inlineStr">
        <is>
          <t>[107]</t>
        </is>
      </c>
    </row>
    <row r="412" ht="15" customHeight="1">
      <c r="A412" s="4" t="inlineStr">
        <is>
          <t>lignin</t>
        </is>
      </c>
      <c r="B412" s="5" t="inlineStr">
        <is>
          <t>No</t>
        </is>
      </c>
      <c r="C412" s="5" t="inlineStr">
        <is>
          <t>No wash</t>
        </is>
      </c>
      <c r="D412" s="5" t="inlineStr">
        <is>
          <t>No wash</t>
        </is>
      </c>
      <c r="E412" s="5" t="inlineStr">
        <is>
          <t>No wash</t>
        </is>
      </c>
      <c r="F412" s="5" t="inlineStr">
        <is>
          <t>No wash</t>
        </is>
      </c>
      <c r="G412" s="4" t="inlineStr">
        <is>
          <t>One step</t>
        </is>
      </c>
      <c r="H412" s="4" t="inlineStr">
        <is>
          <t xml:space="preserve">Pyrolysis </t>
        </is>
      </c>
      <c r="I412" s="4" t="inlineStr">
        <is>
          <t>No</t>
        </is>
      </c>
      <c r="J412" s="4" t="n">
        <v>240</v>
      </c>
      <c r="K412" s="4" t="n">
        <v>5</v>
      </c>
      <c r="L412" s="4" t="n">
        <v>1000</v>
      </c>
      <c r="M412" s="4" t="inlineStr">
        <is>
          <t>No</t>
        </is>
      </c>
      <c r="N412" s="4" t="inlineStr">
        <is>
          <t>No</t>
        </is>
      </c>
      <c r="O412" s="4" t="inlineStr">
        <is>
          <t>No</t>
        </is>
      </c>
      <c r="P412" s="4" t="inlineStr">
        <is>
          <t>No</t>
        </is>
      </c>
      <c r="Q412" s="4" t="inlineStr">
        <is>
          <t>No</t>
        </is>
      </c>
      <c r="R412" s="4" t="n"/>
      <c r="S412" s="4" t="n">
        <v>0.404</v>
      </c>
      <c r="T412" s="23" t="n"/>
      <c r="U412" s="4" t="n">
        <v>4.13</v>
      </c>
      <c r="V412" s="4" t="n">
        <v>0.79</v>
      </c>
      <c r="W412" s="4" t="n"/>
      <c r="X412" s="4" t="n"/>
      <c r="Y412" s="29" t="inlineStr">
        <is>
          <t>[107]</t>
        </is>
      </c>
    </row>
    <row r="413" ht="15" customHeight="1">
      <c r="A413" s="4" t="inlineStr">
        <is>
          <t>lignin</t>
        </is>
      </c>
      <c r="B413" s="5" t="inlineStr">
        <is>
          <t>No</t>
        </is>
      </c>
      <c r="C413" s="5" t="inlineStr">
        <is>
          <t>No wash</t>
        </is>
      </c>
      <c r="D413" s="5" t="inlineStr">
        <is>
          <t>No wash</t>
        </is>
      </c>
      <c r="E413" s="5" t="inlineStr">
        <is>
          <t>No wash</t>
        </is>
      </c>
      <c r="F413" s="5" t="inlineStr">
        <is>
          <t>No wash</t>
        </is>
      </c>
      <c r="G413" s="4" t="inlineStr">
        <is>
          <t>One step</t>
        </is>
      </c>
      <c r="H413" s="4" t="inlineStr">
        <is>
          <t xml:space="preserve">Pyrolysis </t>
        </is>
      </c>
      <c r="I413" s="4" t="inlineStr">
        <is>
          <t>No</t>
        </is>
      </c>
      <c r="J413" s="4" t="n">
        <v>240</v>
      </c>
      <c r="K413" s="4" t="n">
        <v>5</v>
      </c>
      <c r="L413" s="4" t="n">
        <v>1200</v>
      </c>
      <c r="M413" s="4" t="inlineStr">
        <is>
          <t>No</t>
        </is>
      </c>
      <c r="N413" s="4" t="inlineStr">
        <is>
          <t>No</t>
        </is>
      </c>
      <c r="O413" s="4" t="inlineStr">
        <is>
          <t>No</t>
        </is>
      </c>
      <c r="P413" s="4" t="inlineStr">
        <is>
          <t>No</t>
        </is>
      </c>
      <c r="Q413" s="4" t="inlineStr">
        <is>
          <t>No</t>
        </is>
      </c>
      <c r="R413" s="4" t="n"/>
      <c r="S413" s="4" t="n">
        <v>0.392</v>
      </c>
      <c r="T413" s="23" t="n"/>
      <c r="U413" s="4" t="n">
        <v>4.05</v>
      </c>
      <c r="V413" s="4" t="n">
        <v>0.79</v>
      </c>
      <c r="W413" s="4" t="n"/>
      <c r="X413" s="4" t="n"/>
      <c r="Y413" s="29" t="inlineStr">
        <is>
          <t>[107]</t>
        </is>
      </c>
    </row>
    <row r="414" ht="15" customHeight="1">
      <c r="A414" s="4" t="inlineStr">
        <is>
          <t>lignin</t>
        </is>
      </c>
      <c r="B414" s="5" t="inlineStr">
        <is>
          <t>No</t>
        </is>
      </c>
      <c r="C414" s="5" t="inlineStr">
        <is>
          <t>No wash</t>
        </is>
      </c>
      <c r="D414" s="5" t="inlineStr">
        <is>
          <t>No wash</t>
        </is>
      </c>
      <c r="E414" s="5" t="inlineStr">
        <is>
          <t>No wash</t>
        </is>
      </c>
      <c r="F414" s="5" t="inlineStr">
        <is>
          <t>No wash</t>
        </is>
      </c>
      <c r="G414" s="4" t="inlineStr">
        <is>
          <t>One step</t>
        </is>
      </c>
      <c r="H414" s="4" t="inlineStr">
        <is>
          <t xml:space="preserve">Pyrolysis </t>
        </is>
      </c>
      <c r="I414" s="4" t="inlineStr">
        <is>
          <t>No</t>
        </is>
      </c>
      <c r="J414" s="4" t="n">
        <v>240</v>
      </c>
      <c r="K414" s="4" t="n">
        <v>5</v>
      </c>
      <c r="L414" s="4" t="n">
        <v>1400</v>
      </c>
      <c r="M414" s="4" t="inlineStr">
        <is>
          <t>No</t>
        </is>
      </c>
      <c r="N414" s="4" t="inlineStr">
        <is>
          <t>No</t>
        </is>
      </c>
      <c r="O414" s="4" t="inlineStr">
        <is>
          <t>No</t>
        </is>
      </c>
      <c r="P414" s="4" t="inlineStr">
        <is>
          <t>No</t>
        </is>
      </c>
      <c r="Q414" s="4" t="inlineStr">
        <is>
          <t>No</t>
        </is>
      </c>
      <c r="R414" s="4" t="n"/>
      <c r="S414" s="4" t="n">
        <v>0.384</v>
      </c>
      <c r="T414" s="23" t="n"/>
      <c r="U414" s="4" t="n">
        <v>4.58</v>
      </c>
      <c r="V414" s="4" t="n">
        <v>0.82</v>
      </c>
      <c r="W414" s="4" t="n"/>
      <c r="X414" s="4" t="n"/>
      <c r="Y414" s="29" t="inlineStr">
        <is>
          <t>[107]</t>
        </is>
      </c>
    </row>
    <row r="415" ht="15" customHeight="1">
      <c r="A415" s="4" t="inlineStr">
        <is>
          <t>lignin</t>
        </is>
      </c>
      <c r="B415" s="5" t="inlineStr">
        <is>
          <t>No</t>
        </is>
      </c>
      <c r="C415" s="5" t="inlineStr">
        <is>
          <t>No wash</t>
        </is>
      </c>
      <c r="D415" s="5" t="inlineStr">
        <is>
          <t>No wash</t>
        </is>
      </c>
      <c r="E415" s="5" t="inlineStr">
        <is>
          <t>No wash</t>
        </is>
      </c>
      <c r="F415" s="5" t="inlineStr">
        <is>
          <t>No wash</t>
        </is>
      </c>
      <c r="G415" s="4" t="inlineStr">
        <is>
          <t>One step</t>
        </is>
      </c>
      <c r="H415" s="4" t="inlineStr">
        <is>
          <t xml:space="preserve">Pyrolysis </t>
        </is>
      </c>
      <c r="I415" s="4" t="inlineStr">
        <is>
          <t>No</t>
        </is>
      </c>
      <c r="J415" s="4" t="n">
        <v>240</v>
      </c>
      <c r="K415" s="4" t="n">
        <v>5</v>
      </c>
      <c r="L415" s="4" t="n">
        <v>1600</v>
      </c>
      <c r="M415" s="4" t="inlineStr">
        <is>
          <t>No</t>
        </is>
      </c>
      <c r="N415" s="4" t="inlineStr">
        <is>
          <t>No</t>
        </is>
      </c>
      <c r="O415" s="4" t="inlineStr">
        <is>
          <t>No</t>
        </is>
      </c>
      <c r="P415" s="4" t="inlineStr">
        <is>
          <t>No</t>
        </is>
      </c>
      <c r="Q415" s="4" t="inlineStr">
        <is>
          <t>No</t>
        </is>
      </c>
      <c r="R415" s="4" t="n"/>
      <c r="S415" s="4" t="n">
        <v>0.372</v>
      </c>
      <c r="T415" s="23" t="n"/>
      <c r="U415" s="4" t="n">
        <v>4.48</v>
      </c>
      <c r="V415" s="4" t="n">
        <v>0.8100000000000001</v>
      </c>
      <c r="W415" s="4" t="n"/>
      <c r="X415" s="4" t="n"/>
      <c r="Y415" s="29" t="inlineStr">
        <is>
          <t>[107]</t>
        </is>
      </c>
    </row>
    <row r="416" ht="15" customHeight="1">
      <c r="A416" s="4" t="inlineStr">
        <is>
          <t>Hemi-cellulose</t>
        </is>
      </c>
      <c r="B416" s="5" t="inlineStr">
        <is>
          <t>No</t>
        </is>
      </c>
      <c r="C416" s="5" t="inlineStr">
        <is>
          <t>No wash</t>
        </is>
      </c>
      <c r="D416" s="5" t="inlineStr">
        <is>
          <t>No wash</t>
        </is>
      </c>
      <c r="E416" s="5" t="inlineStr">
        <is>
          <t>No wash</t>
        </is>
      </c>
      <c r="F416" s="5" t="inlineStr">
        <is>
          <t>No wash</t>
        </is>
      </c>
      <c r="G416" s="4" t="inlineStr">
        <is>
          <t>One step</t>
        </is>
      </c>
      <c r="H416" s="4" t="inlineStr">
        <is>
          <t xml:space="preserve">Pyrolysis </t>
        </is>
      </c>
      <c r="I416" s="4" t="inlineStr">
        <is>
          <t>No</t>
        </is>
      </c>
      <c r="J416" s="4" t="n">
        <v>240</v>
      </c>
      <c r="K416" s="4" t="n">
        <v>5</v>
      </c>
      <c r="L416" s="4" t="n">
        <v>600</v>
      </c>
      <c r="M416" s="4" t="inlineStr">
        <is>
          <t>No</t>
        </is>
      </c>
      <c r="N416" s="4" t="inlineStr">
        <is>
          <t>No</t>
        </is>
      </c>
      <c r="O416" s="4" t="inlineStr">
        <is>
          <t>No</t>
        </is>
      </c>
      <c r="P416" s="4" t="inlineStr">
        <is>
          <t>No</t>
        </is>
      </c>
      <c r="Q416" s="4" t="inlineStr">
        <is>
          <t>No</t>
        </is>
      </c>
      <c r="R416" s="4" t="n"/>
      <c r="S416" s="4" t="n">
        <v>0.399</v>
      </c>
      <c r="T416" s="23" t="n"/>
      <c r="U416" s="4" t="n">
        <v>3.45</v>
      </c>
      <c r="V416" s="4" t="n">
        <v>0.58</v>
      </c>
      <c r="W416" s="4" t="n"/>
      <c r="X416" s="4" t="n"/>
      <c r="Y416" s="29" t="inlineStr">
        <is>
          <t>[107]</t>
        </is>
      </c>
    </row>
    <row r="417" ht="15" customHeight="1">
      <c r="A417" s="4" t="inlineStr">
        <is>
          <t>Hemi-cellulose</t>
        </is>
      </c>
      <c r="B417" s="5" t="inlineStr">
        <is>
          <t>No</t>
        </is>
      </c>
      <c r="C417" s="5" t="inlineStr">
        <is>
          <t>No wash</t>
        </is>
      </c>
      <c r="D417" s="5" t="inlineStr">
        <is>
          <t>No wash</t>
        </is>
      </c>
      <c r="E417" s="5" t="inlineStr">
        <is>
          <t>No wash</t>
        </is>
      </c>
      <c r="F417" s="5" t="inlineStr">
        <is>
          <t>No wash</t>
        </is>
      </c>
      <c r="G417" s="4" t="inlineStr">
        <is>
          <t>One step</t>
        </is>
      </c>
      <c r="H417" s="4" t="inlineStr">
        <is>
          <t xml:space="preserve">Pyrolysis </t>
        </is>
      </c>
      <c r="I417" s="4" t="inlineStr">
        <is>
          <t>No</t>
        </is>
      </c>
      <c r="J417" s="4" t="n">
        <v>240</v>
      </c>
      <c r="K417" s="4" t="n">
        <v>5</v>
      </c>
      <c r="L417" s="4" t="n">
        <v>800</v>
      </c>
      <c r="M417" s="4" t="inlineStr">
        <is>
          <t>No</t>
        </is>
      </c>
      <c r="N417" s="4" t="inlineStr">
        <is>
          <t>No</t>
        </is>
      </c>
      <c r="O417" s="4" t="inlineStr">
        <is>
          <t>No</t>
        </is>
      </c>
      <c r="P417" s="4" t="inlineStr">
        <is>
          <t>No</t>
        </is>
      </c>
      <c r="Q417" s="4" t="inlineStr">
        <is>
          <t>No</t>
        </is>
      </c>
      <c r="R417" s="4" t="n"/>
      <c r="S417" s="4" t="n">
        <v>0.393</v>
      </c>
      <c r="T417" s="23" t="n"/>
      <c r="U417" s="4" t="n">
        <v>4.46</v>
      </c>
      <c r="V417" s="4" t="n">
        <v>0.8</v>
      </c>
      <c r="W417" s="4" t="n"/>
      <c r="X417" s="4" t="n"/>
      <c r="Y417" s="29" t="inlineStr">
        <is>
          <t>[107]</t>
        </is>
      </c>
    </row>
    <row r="418" ht="15" customHeight="1">
      <c r="A418" s="4" t="inlineStr">
        <is>
          <t>Hemi-cellulose</t>
        </is>
      </c>
      <c r="B418" s="5" t="inlineStr">
        <is>
          <t>No</t>
        </is>
      </c>
      <c r="C418" s="5" t="inlineStr">
        <is>
          <t>No wash</t>
        </is>
      </c>
      <c r="D418" s="5" t="inlineStr">
        <is>
          <t>No wash</t>
        </is>
      </c>
      <c r="E418" s="5" t="inlineStr">
        <is>
          <t>No wash</t>
        </is>
      </c>
      <c r="F418" s="5" t="inlineStr">
        <is>
          <t>No wash</t>
        </is>
      </c>
      <c r="G418" s="4" t="inlineStr">
        <is>
          <t>One step</t>
        </is>
      </c>
      <c r="H418" s="4" t="inlineStr">
        <is>
          <t xml:space="preserve">Pyrolysis </t>
        </is>
      </c>
      <c r="I418" s="4" t="inlineStr">
        <is>
          <t>No</t>
        </is>
      </c>
      <c r="J418" s="4" t="n">
        <v>240</v>
      </c>
      <c r="K418" s="4" t="n">
        <v>5</v>
      </c>
      <c r="L418" s="4" t="n">
        <v>1000</v>
      </c>
      <c r="M418" s="4" t="inlineStr">
        <is>
          <t>No</t>
        </is>
      </c>
      <c r="N418" s="4" t="inlineStr">
        <is>
          <t>No</t>
        </is>
      </c>
      <c r="O418" s="4" t="inlineStr">
        <is>
          <t>No</t>
        </is>
      </c>
      <c r="P418" s="4" t="inlineStr">
        <is>
          <t>No</t>
        </is>
      </c>
      <c r="Q418" s="4" t="inlineStr">
        <is>
          <t>No</t>
        </is>
      </c>
      <c r="R418" s="4" t="n"/>
      <c r="S418" s="4" t="n">
        <v>0.391</v>
      </c>
      <c r="T418" s="23" t="n"/>
      <c r="U418" s="4" t="n">
        <v>3.85</v>
      </c>
      <c r="V418" s="4" t="n">
        <v>0.82</v>
      </c>
      <c r="W418" s="4" t="n"/>
      <c r="X418" s="4" t="n"/>
      <c r="Y418" s="29" t="inlineStr">
        <is>
          <t>[107]</t>
        </is>
      </c>
    </row>
    <row r="419" ht="15" customHeight="1">
      <c r="A419" s="4" t="inlineStr">
        <is>
          <t>Hemi-cellulose</t>
        </is>
      </c>
      <c r="B419" s="5" t="inlineStr">
        <is>
          <t>No</t>
        </is>
      </c>
      <c r="C419" s="5" t="inlineStr">
        <is>
          <t>No wash</t>
        </is>
      </c>
      <c r="D419" s="5" t="inlineStr">
        <is>
          <t>No wash</t>
        </is>
      </c>
      <c r="E419" s="5" t="inlineStr">
        <is>
          <t>No wash</t>
        </is>
      </c>
      <c r="F419" s="5" t="inlineStr">
        <is>
          <t>No wash</t>
        </is>
      </c>
      <c r="G419" s="4" t="inlineStr">
        <is>
          <t>One step</t>
        </is>
      </c>
      <c r="H419" s="4" t="inlineStr">
        <is>
          <t xml:space="preserve">Pyrolysis </t>
        </is>
      </c>
      <c r="I419" s="4" t="inlineStr">
        <is>
          <t>No</t>
        </is>
      </c>
      <c r="J419" s="4" t="n">
        <v>240</v>
      </c>
      <c r="K419" s="4" t="n">
        <v>5</v>
      </c>
      <c r="L419" s="4" t="n">
        <v>1200</v>
      </c>
      <c r="M419" s="4" t="inlineStr">
        <is>
          <t>No</t>
        </is>
      </c>
      <c r="N419" s="4" t="inlineStr">
        <is>
          <t>No</t>
        </is>
      </c>
      <c r="O419" s="4" t="inlineStr">
        <is>
          <t>No</t>
        </is>
      </c>
      <c r="P419" s="4" t="inlineStr">
        <is>
          <t>No</t>
        </is>
      </c>
      <c r="Q419" s="4" t="inlineStr">
        <is>
          <t>No</t>
        </is>
      </c>
      <c r="R419" s="4" t="n"/>
      <c r="S419" s="4" t="n">
        <v>0.382</v>
      </c>
      <c r="T419" s="23" t="n"/>
      <c r="U419" s="4" t="n">
        <v>4.15</v>
      </c>
      <c r="V419" s="4" t="n">
        <v>0.84</v>
      </c>
      <c r="W419" s="4" t="n"/>
      <c r="X419" s="4" t="n"/>
      <c r="Y419" s="29" t="inlineStr">
        <is>
          <t>[107]</t>
        </is>
      </c>
    </row>
    <row r="420" ht="15" customHeight="1">
      <c r="A420" s="4" t="inlineStr">
        <is>
          <t>Hemi-cellulose</t>
        </is>
      </c>
      <c r="B420" s="5" t="inlineStr">
        <is>
          <t>No</t>
        </is>
      </c>
      <c r="C420" s="5" t="inlineStr">
        <is>
          <t>No wash</t>
        </is>
      </c>
      <c r="D420" s="5" t="inlineStr">
        <is>
          <t>No wash</t>
        </is>
      </c>
      <c r="E420" s="5" t="inlineStr">
        <is>
          <t>No wash</t>
        </is>
      </c>
      <c r="F420" s="5" t="inlineStr">
        <is>
          <t>No wash</t>
        </is>
      </c>
      <c r="G420" s="4" t="inlineStr">
        <is>
          <t>One step</t>
        </is>
      </c>
      <c r="H420" s="4" t="inlineStr">
        <is>
          <t xml:space="preserve">Pyrolysis </t>
        </is>
      </c>
      <c r="I420" s="4" t="inlineStr">
        <is>
          <t>No</t>
        </is>
      </c>
      <c r="J420" s="4" t="n">
        <v>240</v>
      </c>
      <c r="K420" s="4" t="n">
        <v>5</v>
      </c>
      <c r="L420" s="4" t="n">
        <v>1400</v>
      </c>
      <c r="M420" s="4" t="inlineStr">
        <is>
          <t>No</t>
        </is>
      </c>
      <c r="N420" s="4" t="inlineStr">
        <is>
          <t>No</t>
        </is>
      </c>
      <c r="O420" s="4" t="inlineStr">
        <is>
          <t>No</t>
        </is>
      </c>
      <c r="P420" s="4" t="inlineStr">
        <is>
          <t>No</t>
        </is>
      </c>
      <c r="Q420" s="4" t="inlineStr">
        <is>
          <t>No</t>
        </is>
      </c>
      <c r="R420" s="4" t="n"/>
      <c r="S420" s="4" t="n">
        <v>0.374</v>
      </c>
      <c r="T420" s="23" t="n"/>
      <c r="U420" s="4" t="n">
        <v>3.97</v>
      </c>
      <c r="V420" s="4" t="n">
        <v>1.01</v>
      </c>
      <c r="W420" s="4" t="n"/>
      <c r="X420" s="4" t="n"/>
      <c r="Y420" s="29" t="inlineStr">
        <is>
          <t>[107]</t>
        </is>
      </c>
    </row>
    <row r="421" ht="15" customHeight="1">
      <c r="A421" s="4" t="inlineStr">
        <is>
          <t>Hemi-cellulose</t>
        </is>
      </c>
      <c r="B421" s="5" t="inlineStr">
        <is>
          <t>No</t>
        </is>
      </c>
      <c r="C421" s="5" t="inlineStr">
        <is>
          <t>No wash</t>
        </is>
      </c>
      <c r="D421" s="5" t="inlineStr">
        <is>
          <t>No wash</t>
        </is>
      </c>
      <c r="E421" s="5" t="inlineStr">
        <is>
          <t>No wash</t>
        </is>
      </c>
      <c r="F421" s="5" t="inlineStr">
        <is>
          <t>No wash</t>
        </is>
      </c>
      <c r="G421" s="4" t="inlineStr">
        <is>
          <t>One step</t>
        </is>
      </c>
      <c r="H421" s="4" t="inlineStr">
        <is>
          <t xml:space="preserve">Pyrolysis </t>
        </is>
      </c>
      <c r="I421" s="4" t="inlineStr">
        <is>
          <t>No</t>
        </is>
      </c>
      <c r="J421" s="4" t="n">
        <v>240</v>
      </c>
      <c r="K421" s="4" t="n">
        <v>5</v>
      </c>
      <c r="L421" s="4" t="n">
        <v>1600</v>
      </c>
      <c r="M421" s="4" t="inlineStr">
        <is>
          <t>No</t>
        </is>
      </c>
      <c r="N421" s="4" t="inlineStr">
        <is>
          <t>No</t>
        </is>
      </c>
      <c r="O421" s="4" t="inlineStr">
        <is>
          <t>No</t>
        </is>
      </c>
      <c r="P421" s="4" t="inlineStr">
        <is>
          <t>No</t>
        </is>
      </c>
      <c r="Q421" s="4" t="inlineStr">
        <is>
          <t>No</t>
        </is>
      </c>
      <c r="R421" s="4" t="n"/>
      <c r="S421" s="4" t="n"/>
      <c r="T421" s="23" t="n"/>
      <c r="U421" s="4" t="n"/>
      <c r="V421" s="4" t="n"/>
      <c r="W421" s="4" t="n"/>
      <c r="X421" s="4" t="n"/>
      <c r="Y421" s="29" t="inlineStr">
        <is>
          <t>[107]</t>
        </is>
      </c>
    </row>
    <row r="422" ht="15" customHeight="1">
      <c r="A422" s="4" t="inlineStr">
        <is>
          <t xml:space="preserve">Hemp hurd </t>
        </is>
      </c>
      <c r="B422" s="5" t="inlineStr">
        <is>
          <t>Carbon 2M HCl</t>
        </is>
      </c>
      <c r="C422" s="5" t="inlineStr">
        <is>
          <t>No wash</t>
        </is>
      </c>
      <c r="D422" s="5" t="inlineStr">
        <is>
          <t>No wash</t>
        </is>
      </c>
      <c r="E422" s="5" t="inlineStr">
        <is>
          <t>Acid wash</t>
        </is>
      </c>
      <c r="F422" s="5" t="inlineStr">
        <is>
          <t>Mild</t>
        </is>
      </c>
      <c r="G422" s="4" t="inlineStr">
        <is>
          <t xml:space="preserve">Two Step </t>
        </is>
      </c>
      <c r="H422" s="4" t="inlineStr">
        <is>
          <t xml:space="preserve">Pyrolysis </t>
        </is>
      </c>
      <c r="I422" s="4" t="inlineStr">
        <is>
          <t>No</t>
        </is>
      </c>
      <c r="J422" s="4" t="n"/>
      <c r="K422" s="4" t="n">
        <v>5</v>
      </c>
      <c r="L422" s="4" t="n">
        <v>500</v>
      </c>
      <c r="M422" s="4" t="inlineStr">
        <is>
          <t>Activation</t>
        </is>
      </c>
      <c r="N422" s="4" t="inlineStr">
        <is>
          <t>K2CO3 (1:1)</t>
        </is>
      </c>
      <c r="O422" s="4" t="n">
        <v>60</v>
      </c>
      <c r="P422" s="4" t="n">
        <v>1</v>
      </c>
      <c r="Q422" s="4" t="n">
        <v>700</v>
      </c>
      <c r="R422" s="4" t="n">
        <v>205.2</v>
      </c>
      <c r="S422" s="4" t="n">
        <v>0.396</v>
      </c>
      <c r="T422" s="23">
        <f>1/2.77</f>
        <v/>
      </c>
      <c r="U422" s="4" t="n">
        <v>1.544</v>
      </c>
      <c r="V422" s="4" t="n">
        <v>0.962</v>
      </c>
      <c r="W422" s="4">
        <f>0.0679+0.0366+0.0281</f>
        <v/>
      </c>
      <c r="X422" s="4" t="n">
        <v>88.8</v>
      </c>
      <c r="Y422" s="29" t="inlineStr">
        <is>
          <t>[108]</t>
        </is>
      </c>
    </row>
    <row r="423" ht="15" customHeight="1">
      <c r="A423" s="4" t="inlineStr">
        <is>
          <t xml:space="preserve">Hemp hurd </t>
        </is>
      </c>
      <c r="B423" s="5" t="inlineStr">
        <is>
          <t>Carbon 2M HCl</t>
        </is>
      </c>
      <c r="C423" s="5" t="inlineStr">
        <is>
          <t>No wash</t>
        </is>
      </c>
      <c r="D423" s="5" t="inlineStr">
        <is>
          <t>No wash</t>
        </is>
      </c>
      <c r="E423" s="5" t="inlineStr">
        <is>
          <t>Acid wash</t>
        </is>
      </c>
      <c r="F423" s="5" t="inlineStr">
        <is>
          <t>Mild</t>
        </is>
      </c>
      <c r="G423" s="4" t="inlineStr">
        <is>
          <t xml:space="preserve">Two Step </t>
        </is>
      </c>
      <c r="H423" s="4" t="inlineStr">
        <is>
          <t xml:space="preserve">Pyrolysis </t>
        </is>
      </c>
      <c r="I423" s="4" t="inlineStr">
        <is>
          <t>No</t>
        </is>
      </c>
      <c r="J423" s="4" t="n"/>
      <c r="K423" s="4" t="n">
        <v>5</v>
      </c>
      <c r="L423" s="4" t="n">
        <v>500</v>
      </c>
      <c r="M423" s="4" t="inlineStr">
        <is>
          <t>Activation</t>
        </is>
      </c>
      <c r="N423" s="4" t="inlineStr">
        <is>
          <t>K2CO3 (1:2)</t>
        </is>
      </c>
      <c r="O423" s="4" t="n">
        <v>60</v>
      </c>
      <c r="P423" s="4" t="n">
        <v>1</v>
      </c>
      <c r="Q423" s="4" t="n">
        <v>700</v>
      </c>
      <c r="R423" s="4" t="n">
        <v>207.8</v>
      </c>
      <c r="S423" s="4" t="n">
        <v>0.402</v>
      </c>
      <c r="T423" s="23">
        <f>1/4.01</f>
        <v/>
      </c>
      <c r="U423" s="4" t="n">
        <v>1.889</v>
      </c>
      <c r="V423" s="4" t="n">
        <v>0.894</v>
      </c>
      <c r="W423" s="4">
        <f>0.0962+0.0308</f>
        <v/>
      </c>
      <c r="X423" s="4" t="n">
        <v>92.09999999999999</v>
      </c>
      <c r="Y423" s="29" t="inlineStr">
        <is>
          <t>[108]</t>
        </is>
      </c>
    </row>
    <row r="424" ht="15" customHeight="1">
      <c r="A424" s="4" t="inlineStr">
        <is>
          <t xml:space="preserve">Hemp hurd </t>
        </is>
      </c>
      <c r="B424" s="5" t="inlineStr">
        <is>
          <t>Carbon 2M HCl</t>
        </is>
      </c>
      <c r="C424" s="5" t="inlineStr">
        <is>
          <t>No wash</t>
        </is>
      </c>
      <c r="D424" s="5" t="inlineStr">
        <is>
          <t>No wash</t>
        </is>
      </c>
      <c r="E424" s="5" t="inlineStr">
        <is>
          <t>Acid wash</t>
        </is>
      </c>
      <c r="F424" s="5" t="inlineStr">
        <is>
          <t>Mild</t>
        </is>
      </c>
      <c r="G424" s="4" t="inlineStr">
        <is>
          <t xml:space="preserve">Two Step </t>
        </is>
      </c>
      <c r="H424" s="4" t="inlineStr">
        <is>
          <t xml:space="preserve">Pyrolysis </t>
        </is>
      </c>
      <c r="I424" s="4" t="inlineStr">
        <is>
          <t>No</t>
        </is>
      </c>
      <c r="J424" s="4" t="n"/>
      <c r="K424" s="4" t="n">
        <v>5</v>
      </c>
      <c r="L424" s="4" t="n">
        <v>500</v>
      </c>
      <c r="M424" s="4" t="inlineStr">
        <is>
          <t>Activation</t>
        </is>
      </c>
      <c r="N424" s="4" t="inlineStr">
        <is>
          <t>K2CO3 (1:4)</t>
        </is>
      </c>
      <c r="O424" s="4" t="n">
        <v>60</v>
      </c>
      <c r="P424" s="4" t="n">
        <v>1</v>
      </c>
      <c r="Q424" s="4" t="n">
        <v>700</v>
      </c>
      <c r="R424" s="4" t="n">
        <v>266</v>
      </c>
      <c r="S424" s="4" t="n">
        <v>0.397</v>
      </c>
      <c r="T424" s="23">
        <f>1/4.09</f>
        <v/>
      </c>
      <c r="U424" s="4" t="n">
        <v>2.347</v>
      </c>
      <c r="V424" s="4" t="n">
        <v>0.806</v>
      </c>
      <c r="W424" s="4">
        <f>0.1156+0.0067+0.03</f>
        <v/>
      </c>
      <c r="X424" s="4" t="n">
        <v>83.09999999999999</v>
      </c>
      <c r="Y424" s="29" t="inlineStr">
        <is>
          <t>[108]</t>
        </is>
      </c>
    </row>
    <row r="425" ht="15" customHeight="1">
      <c r="A425" s="4" t="inlineStr">
        <is>
          <t xml:space="preserve">Hemp hurd </t>
        </is>
      </c>
      <c r="B425" s="5" t="inlineStr">
        <is>
          <t>Carbon 2M HCl</t>
        </is>
      </c>
      <c r="C425" s="5" t="inlineStr">
        <is>
          <t>No wash</t>
        </is>
      </c>
      <c r="D425" s="5" t="inlineStr">
        <is>
          <t>No wash</t>
        </is>
      </c>
      <c r="E425" s="5" t="inlineStr">
        <is>
          <t>Acid wash</t>
        </is>
      </c>
      <c r="F425" s="5" t="inlineStr">
        <is>
          <t>Mild</t>
        </is>
      </c>
      <c r="G425" s="4" t="inlineStr">
        <is>
          <t xml:space="preserve">Two Step </t>
        </is>
      </c>
      <c r="H425" s="4" t="inlineStr">
        <is>
          <t xml:space="preserve">Pyrolysis </t>
        </is>
      </c>
      <c r="I425" s="4" t="inlineStr">
        <is>
          <t>No</t>
        </is>
      </c>
      <c r="J425" s="4" t="n"/>
      <c r="K425" s="4" t="n">
        <v>5</v>
      </c>
      <c r="L425" s="4" t="n">
        <v>500</v>
      </c>
      <c r="M425" s="4" t="inlineStr">
        <is>
          <t>Activation</t>
        </is>
      </c>
      <c r="N425" s="4" t="inlineStr">
        <is>
          <t>K2CO3 (1:1)</t>
        </is>
      </c>
      <c r="O425" s="4" t="n">
        <v>60</v>
      </c>
      <c r="P425" s="4" t="n">
        <v>1</v>
      </c>
      <c r="Q425" s="4" t="n">
        <v>800</v>
      </c>
      <c r="R425" s="4" t="n">
        <v>26.23</v>
      </c>
      <c r="S425" s="4" t="n">
        <v>0.395</v>
      </c>
      <c r="T425" s="23">
        <f>1/3.85</f>
        <v/>
      </c>
      <c r="U425" s="4" t="n">
        <v>2.497</v>
      </c>
      <c r="V425" s="4" t="n">
        <v>0.969</v>
      </c>
      <c r="W425" s="4">
        <f>0.0213+0.0003+0.0273</f>
        <v/>
      </c>
      <c r="X425" s="4" t="n">
        <v>89.3</v>
      </c>
      <c r="Y425" s="29" t="inlineStr">
        <is>
          <t>[108]</t>
        </is>
      </c>
    </row>
    <row r="426" ht="15" customHeight="1">
      <c r="A426" s="4" t="inlineStr">
        <is>
          <t xml:space="preserve">Hemp hurd </t>
        </is>
      </c>
      <c r="B426" s="5" t="inlineStr">
        <is>
          <t>Carbon 2M HCl</t>
        </is>
      </c>
      <c r="C426" s="5" t="inlineStr">
        <is>
          <t>No wash</t>
        </is>
      </c>
      <c r="D426" s="5" t="inlineStr">
        <is>
          <t>No wash</t>
        </is>
      </c>
      <c r="E426" s="5" t="inlineStr">
        <is>
          <t>Acid wash</t>
        </is>
      </c>
      <c r="F426" s="5" t="inlineStr">
        <is>
          <t>Mild</t>
        </is>
      </c>
      <c r="G426" s="4" t="inlineStr">
        <is>
          <t xml:space="preserve">Two Step </t>
        </is>
      </c>
      <c r="H426" s="4" t="inlineStr">
        <is>
          <t xml:space="preserve">Pyrolysis </t>
        </is>
      </c>
      <c r="I426" s="4" t="inlineStr">
        <is>
          <t>No</t>
        </is>
      </c>
      <c r="J426" s="4" t="n"/>
      <c r="K426" s="4" t="n">
        <v>5</v>
      </c>
      <c r="L426" s="4" t="n">
        <v>500</v>
      </c>
      <c r="M426" s="4" t="inlineStr">
        <is>
          <t>Activation</t>
        </is>
      </c>
      <c r="N426" s="4" t="inlineStr">
        <is>
          <t>K2CO3 (1:2)</t>
        </is>
      </c>
      <c r="O426" s="4" t="n">
        <v>60</v>
      </c>
      <c r="P426" s="4" t="n">
        <v>1</v>
      </c>
      <c r="Q426" s="4" t="n">
        <v>800</v>
      </c>
      <c r="R426" s="4" t="n">
        <v>65.8</v>
      </c>
      <c r="S426" s="4" t="n">
        <v>0.389</v>
      </c>
      <c r="T426" s="23">
        <f>1/3.91</f>
        <v/>
      </c>
      <c r="U426" s="4" t="n">
        <v>2.319</v>
      </c>
      <c r="V426" s="4" t="n">
        <v>0.948</v>
      </c>
      <c r="W426" s="4">
        <f>0.0331+0.0094+0.0246</f>
        <v/>
      </c>
      <c r="X426" s="4" t="n">
        <v>91.09999999999999</v>
      </c>
      <c r="Y426" s="29" t="inlineStr">
        <is>
          <t>[108]</t>
        </is>
      </c>
    </row>
    <row r="427" ht="15" customHeight="1">
      <c r="A427" s="4" t="inlineStr">
        <is>
          <t xml:space="preserve">Hemp hurd </t>
        </is>
      </c>
      <c r="B427" s="5" t="inlineStr">
        <is>
          <t>Carbon 2M HCl</t>
        </is>
      </c>
      <c r="C427" s="5" t="inlineStr">
        <is>
          <t>No wash</t>
        </is>
      </c>
      <c r="D427" s="5" t="inlineStr">
        <is>
          <t>No wash</t>
        </is>
      </c>
      <c r="E427" s="5" t="inlineStr">
        <is>
          <t>Acid wash</t>
        </is>
      </c>
      <c r="F427" s="5" t="inlineStr">
        <is>
          <t>Mild</t>
        </is>
      </c>
      <c r="G427" s="4" t="inlineStr">
        <is>
          <t xml:space="preserve">Two Step </t>
        </is>
      </c>
      <c r="H427" s="4" t="inlineStr">
        <is>
          <t xml:space="preserve">Pyrolysis </t>
        </is>
      </c>
      <c r="I427" s="4" t="inlineStr">
        <is>
          <t>No</t>
        </is>
      </c>
      <c r="J427" s="4" t="n"/>
      <c r="K427" s="4" t="n">
        <v>5</v>
      </c>
      <c r="L427" s="4" t="n">
        <v>500</v>
      </c>
      <c r="M427" s="4" t="inlineStr">
        <is>
          <t>Activation</t>
        </is>
      </c>
      <c r="N427" s="4" t="inlineStr">
        <is>
          <t>K2CO3 (1:4)</t>
        </is>
      </c>
      <c r="O427" s="4" t="n">
        <v>60</v>
      </c>
      <c r="P427" s="4" t="n">
        <v>1</v>
      </c>
      <c r="Q427" s="4" t="n">
        <v>800</v>
      </c>
      <c r="R427" s="4" t="n">
        <v>333.5</v>
      </c>
      <c r="S427" s="4" t="n">
        <v>0.397</v>
      </c>
      <c r="T427" s="23">
        <f>1/6.17</f>
        <v/>
      </c>
      <c r="U427" s="4" t="n">
        <v>1.598</v>
      </c>
      <c r="V427" s="4" t="n">
        <v>0.883</v>
      </c>
      <c r="W427" s="4">
        <f>0.1408+0.0095+0.0372</f>
        <v/>
      </c>
      <c r="X427" s="4" t="n">
        <v>84.90000000000001</v>
      </c>
      <c r="Y427" s="29" t="inlineStr">
        <is>
          <t>[108]</t>
        </is>
      </c>
    </row>
    <row r="428" ht="15" customHeight="1">
      <c r="A428" s="4" t="inlineStr">
        <is>
          <t xml:space="preserve">Hemp hurd </t>
        </is>
      </c>
      <c r="B428" s="5" t="inlineStr">
        <is>
          <t>Carbon 2M HCl</t>
        </is>
      </c>
      <c r="C428" s="5" t="inlineStr">
        <is>
          <t>No wash</t>
        </is>
      </c>
      <c r="D428" s="5" t="inlineStr">
        <is>
          <t>No wash</t>
        </is>
      </c>
      <c r="E428" s="5" t="inlineStr">
        <is>
          <t>Acid wash</t>
        </is>
      </c>
      <c r="F428" s="5" t="inlineStr">
        <is>
          <t>Mild</t>
        </is>
      </c>
      <c r="G428" s="4" t="inlineStr">
        <is>
          <t>Two step</t>
        </is>
      </c>
      <c r="H428" s="4" t="inlineStr">
        <is>
          <t>Pyrolysis</t>
        </is>
      </c>
      <c r="I428" s="4" t="n"/>
      <c r="J428" s="4" t="n"/>
      <c r="K428" s="4" t="n">
        <v>5</v>
      </c>
      <c r="L428" s="4" t="n">
        <v>500</v>
      </c>
      <c r="M428" s="4" t="inlineStr">
        <is>
          <t>Pyrolysis</t>
        </is>
      </c>
      <c r="N428" s="4" t="inlineStr">
        <is>
          <t>No</t>
        </is>
      </c>
      <c r="O428" s="4" t="n">
        <v>120</v>
      </c>
      <c r="P428" s="4" t="n">
        <v>5</v>
      </c>
      <c r="Q428" s="4" t="n">
        <v>800</v>
      </c>
      <c r="R428" s="4" t="n">
        <v>13.63</v>
      </c>
      <c r="S428" s="4" t="n">
        <v>0.39</v>
      </c>
      <c r="T428" s="23">
        <f>1/4.42</f>
        <v/>
      </c>
      <c r="U428" s="4" t="n">
        <v>3.709</v>
      </c>
      <c r="V428" s="4" t="n">
        <v>0.9399999999999999</v>
      </c>
      <c r="W428" s="4">
        <f>0.0114+0.0061</f>
        <v/>
      </c>
      <c r="X428" s="4" t="n">
        <v>89.40000000000001</v>
      </c>
      <c r="Y428" s="29" t="inlineStr">
        <is>
          <t>[108]</t>
        </is>
      </c>
    </row>
    <row r="429" ht="15" customHeight="1">
      <c r="A429" s="4" t="inlineStr">
        <is>
          <t xml:space="preserve">Hemp hurd </t>
        </is>
      </c>
      <c r="B429" s="5" t="inlineStr">
        <is>
          <t>Carbon 2M HCl</t>
        </is>
      </c>
      <c r="C429" s="5" t="inlineStr">
        <is>
          <t>No wash</t>
        </is>
      </c>
      <c r="D429" s="5" t="inlineStr">
        <is>
          <t>No wash</t>
        </is>
      </c>
      <c r="E429" s="5" t="inlineStr">
        <is>
          <t>Acid wash</t>
        </is>
      </c>
      <c r="F429" s="5" t="inlineStr">
        <is>
          <t>Mild</t>
        </is>
      </c>
      <c r="G429" s="4" t="inlineStr">
        <is>
          <t>Two step</t>
        </is>
      </c>
      <c r="H429" s="4" t="inlineStr">
        <is>
          <t>HTC</t>
        </is>
      </c>
      <c r="I429" s="4" t="inlineStr">
        <is>
          <t>HCl</t>
        </is>
      </c>
      <c r="J429" s="4" t="n">
        <v>720</v>
      </c>
      <c r="K429" s="4" t="n"/>
      <c r="L429" s="4" t="n">
        <v>180</v>
      </c>
      <c r="M429" s="4" t="inlineStr">
        <is>
          <t>Pyrolysis</t>
        </is>
      </c>
      <c r="N429" s="4" t="inlineStr">
        <is>
          <t>No</t>
        </is>
      </c>
      <c r="O429" s="4" t="n">
        <v>120</v>
      </c>
      <c r="P429" s="4" t="n">
        <v>5</v>
      </c>
      <c r="Q429" s="4" t="n">
        <v>800</v>
      </c>
      <c r="R429" s="4" t="n">
        <v>61.71</v>
      </c>
      <c r="S429" s="4" t="n">
        <v>0.388</v>
      </c>
      <c r="T429" s="23">
        <f>1/4.79</f>
        <v/>
      </c>
      <c r="U429" s="4" t="n">
        <v>3.508</v>
      </c>
      <c r="V429" s="4" t="n">
        <v>0.895</v>
      </c>
      <c r="W429" s="4">
        <f>0.0309+0.0068</f>
        <v/>
      </c>
      <c r="X429" s="4" t="n">
        <v>94.40000000000001</v>
      </c>
      <c r="Y429" s="29" t="inlineStr">
        <is>
          <t>[108]</t>
        </is>
      </c>
    </row>
    <row r="430" ht="15" customHeight="1">
      <c r="A430" s="4" t="inlineStr">
        <is>
          <t xml:space="preserve">Hemp hurd </t>
        </is>
      </c>
      <c r="B430" s="5" t="inlineStr">
        <is>
          <t>Carbon 2M HCl</t>
        </is>
      </c>
      <c r="C430" s="5" t="inlineStr">
        <is>
          <t>No wash</t>
        </is>
      </c>
      <c r="D430" s="5" t="inlineStr">
        <is>
          <t>No wash</t>
        </is>
      </c>
      <c r="E430" s="5" t="inlineStr">
        <is>
          <t>Acid wash</t>
        </is>
      </c>
      <c r="F430" s="5" t="inlineStr">
        <is>
          <t>Mild</t>
        </is>
      </c>
      <c r="G430" s="4" t="inlineStr">
        <is>
          <t>Two step</t>
        </is>
      </c>
      <c r="H430" s="4" t="inlineStr">
        <is>
          <t>HTC</t>
        </is>
      </c>
      <c r="I430" s="4" t="inlineStr">
        <is>
          <t>HCl</t>
        </is>
      </c>
      <c r="J430" s="4" t="n">
        <v>720</v>
      </c>
      <c r="K430" s="4" t="n"/>
      <c r="L430" s="4" t="n">
        <v>180</v>
      </c>
      <c r="M430" s="4" t="inlineStr">
        <is>
          <t>Pyrolysis</t>
        </is>
      </c>
      <c r="N430" s="4" t="inlineStr">
        <is>
          <t>No</t>
        </is>
      </c>
      <c r="O430" s="4" t="n">
        <v>120</v>
      </c>
      <c r="P430" s="4" t="n">
        <v>5</v>
      </c>
      <c r="Q430" s="4" t="n">
        <v>800</v>
      </c>
      <c r="R430" s="4" t="n">
        <v>461.8</v>
      </c>
      <c r="S430" s="4" t="n">
        <v>0.385</v>
      </c>
      <c r="T430" s="23">
        <f>1/4.02</f>
        <v/>
      </c>
      <c r="U430" s="4" t="n">
        <v>3.3</v>
      </c>
      <c r="V430" s="4" t="n">
        <v>0.88</v>
      </c>
      <c r="W430" s="4">
        <f>0.1778+0.0303</f>
        <v/>
      </c>
      <c r="X430" s="4" t="n">
        <v>90.59999999999999</v>
      </c>
      <c r="Y430" s="29" t="inlineStr">
        <is>
          <t>[108]</t>
        </is>
      </c>
    </row>
    <row r="431" ht="15" customHeight="1">
      <c r="A431" s="4" t="inlineStr">
        <is>
          <t xml:space="preserve">Hemp hurd </t>
        </is>
      </c>
      <c r="B431" s="5" t="inlineStr">
        <is>
          <t>Carbon 2M HCl</t>
        </is>
      </c>
      <c r="C431" s="5" t="inlineStr">
        <is>
          <t>No wash</t>
        </is>
      </c>
      <c r="D431" s="5" t="inlineStr">
        <is>
          <t>No wash</t>
        </is>
      </c>
      <c r="E431" s="5" t="inlineStr">
        <is>
          <t>Acid wash</t>
        </is>
      </c>
      <c r="F431" s="5" t="inlineStr">
        <is>
          <t>Mild</t>
        </is>
      </c>
      <c r="G431" s="4" t="inlineStr">
        <is>
          <t>Two step</t>
        </is>
      </c>
      <c r="H431" s="4" t="inlineStr">
        <is>
          <t>Pyrolysis</t>
        </is>
      </c>
      <c r="I431" s="4" t="n"/>
      <c r="J431" s="4" t="n"/>
      <c r="K431" s="4" t="n">
        <v>5</v>
      </c>
      <c r="L431" s="4" t="n">
        <v>500</v>
      </c>
      <c r="M431" s="4" t="inlineStr">
        <is>
          <t>Pyrolysis</t>
        </is>
      </c>
      <c r="N431" s="4" t="inlineStr">
        <is>
          <t>No</t>
        </is>
      </c>
      <c r="O431" s="4" t="n">
        <v>120</v>
      </c>
      <c r="P431" s="4" t="n">
        <v>5</v>
      </c>
      <c r="Q431" s="4" t="n">
        <v>1000</v>
      </c>
      <c r="R431" s="4" t="n">
        <v>14.73</v>
      </c>
      <c r="S431" s="4" t="n">
        <v>0.381</v>
      </c>
      <c r="T431" s="23">
        <f>1/5.22</f>
        <v/>
      </c>
      <c r="U431" s="4" t="n">
        <v>4.009</v>
      </c>
      <c r="V431" s="4" t="n">
        <v>0.874</v>
      </c>
      <c r="W431" s="4">
        <f>0.0041+0.11</f>
        <v/>
      </c>
      <c r="X431" s="4" t="n">
        <v>93</v>
      </c>
      <c r="Y431" s="29" t="inlineStr">
        <is>
          <t>[108]</t>
        </is>
      </c>
    </row>
    <row r="432" ht="15" customHeight="1">
      <c r="A432" s="4" t="inlineStr">
        <is>
          <t xml:space="preserve">Hemp hurd </t>
        </is>
      </c>
      <c r="B432" s="5" t="inlineStr">
        <is>
          <t>Carbon 2M HCl</t>
        </is>
      </c>
      <c r="C432" s="5" t="inlineStr">
        <is>
          <t>No wash</t>
        </is>
      </c>
      <c r="D432" s="5" t="inlineStr">
        <is>
          <t>No wash</t>
        </is>
      </c>
      <c r="E432" s="5" t="inlineStr">
        <is>
          <t>Acid wash</t>
        </is>
      </c>
      <c r="F432" s="5" t="inlineStr">
        <is>
          <t>Mild</t>
        </is>
      </c>
      <c r="G432" s="4" t="inlineStr">
        <is>
          <t>Two step</t>
        </is>
      </c>
      <c r="H432" s="4" t="inlineStr">
        <is>
          <t>HTC</t>
        </is>
      </c>
      <c r="I432" s="4" t="inlineStr">
        <is>
          <t>HCl</t>
        </is>
      </c>
      <c r="J432" s="4" t="n">
        <v>720</v>
      </c>
      <c r="K432" s="4" t="n"/>
      <c r="L432" s="4" t="n">
        <v>180</v>
      </c>
      <c r="M432" s="4" t="inlineStr">
        <is>
          <t>Pyrolysis</t>
        </is>
      </c>
      <c r="N432" s="4" t="inlineStr">
        <is>
          <t>No</t>
        </is>
      </c>
      <c r="O432" s="4" t="n">
        <v>120</v>
      </c>
      <c r="P432" s="4" t="n">
        <v>5</v>
      </c>
      <c r="Q432" s="4" t="n">
        <v>1000</v>
      </c>
      <c r="R432" s="4" t="n">
        <v>11.11</v>
      </c>
      <c r="S432" s="4" t="n">
        <v>0.385</v>
      </c>
      <c r="T432" s="23">
        <f>1/5.6</f>
        <v/>
      </c>
      <c r="U432" s="4" t="n">
        <v>4.243</v>
      </c>
      <c r="V432" s="4" t="n">
        <v>0.968</v>
      </c>
      <c r="W432" s="4">
        <f>0.0056+0.0108</f>
        <v/>
      </c>
      <c r="X432" s="4" t="n">
        <v>95.59999999999999</v>
      </c>
      <c r="Y432" s="29" t="inlineStr">
        <is>
          <t>[108]</t>
        </is>
      </c>
    </row>
    <row r="433" ht="15" customHeight="1">
      <c r="A433" s="4" t="inlineStr">
        <is>
          <t xml:space="preserve">Hemp hurd </t>
        </is>
      </c>
      <c r="B433" s="5" t="inlineStr">
        <is>
          <t>Carbon 2M HCl</t>
        </is>
      </c>
      <c r="C433" s="5" t="inlineStr">
        <is>
          <t>No wash</t>
        </is>
      </c>
      <c r="D433" s="5" t="inlineStr">
        <is>
          <t>No wash</t>
        </is>
      </c>
      <c r="E433" s="5" t="inlineStr">
        <is>
          <t>Acid wash</t>
        </is>
      </c>
      <c r="F433" s="5" t="inlineStr">
        <is>
          <t>Mild</t>
        </is>
      </c>
      <c r="G433" s="4" t="inlineStr">
        <is>
          <t>Two step</t>
        </is>
      </c>
      <c r="H433" s="4" t="inlineStr">
        <is>
          <t>HTC</t>
        </is>
      </c>
      <c r="I433" s="4" t="inlineStr">
        <is>
          <t>HCl</t>
        </is>
      </c>
      <c r="J433" s="4" t="n">
        <v>720</v>
      </c>
      <c r="K433" s="4" t="n"/>
      <c r="L433" s="4" t="n">
        <v>180</v>
      </c>
      <c r="M433" s="4" t="inlineStr">
        <is>
          <t>Pyrolysis</t>
        </is>
      </c>
      <c r="N433" s="4" t="inlineStr">
        <is>
          <t>No</t>
        </is>
      </c>
      <c r="O433" s="4" t="n">
        <v>120</v>
      </c>
      <c r="P433" s="4" t="n">
        <v>5</v>
      </c>
      <c r="Q433" s="4" t="n">
        <v>1000</v>
      </c>
      <c r="R433" s="4" t="n">
        <v>95.56</v>
      </c>
      <c r="S433" s="4" t="n">
        <v>0.383</v>
      </c>
      <c r="T433" s="23">
        <f>1/5.52</f>
        <v/>
      </c>
      <c r="U433" s="4" t="n">
        <v>3.451</v>
      </c>
      <c r="V433" s="4" t="n">
        <v>0.868</v>
      </c>
      <c r="W433" s="4">
        <f>0.0582+0.0112</f>
        <v/>
      </c>
      <c r="X433" s="4" t="n">
        <v>97.2</v>
      </c>
      <c r="Y433" s="29" t="inlineStr">
        <is>
          <t>[108]</t>
        </is>
      </c>
    </row>
    <row r="434" ht="15" customHeight="1">
      <c r="A434" s="4" t="inlineStr">
        <is>
          <t xml:space="preserve">Hemp hurd </t>
        </is>
      </c>
      <c r="B434" s="5" t="inlineStr">
        <is>
          <t>Carbon 2M HCl</t>
        </is>
      </c>
      <c r="C434" s="5" t="inlineStr">
        <is>
          <t>No wash</t>
        </is>
      </c>
      <c r="D434" s="5" t="inlineStr">
        <is>
          <t>No wash</t>
        </is>
      </c>
      <c r="E434" s="5" t="inlineStr">
        <is>
          <t>Acid wash</t>
        </is>
      </c>
      <c r="F434" s="5" t="inlineStr">
        <is>
          <t>Mild</t>
        </is>
      </c>
      <c r="G434" s="4" t="inlineStr">
        <is>
          <t>Two step</t>
        </is>
      </c>
      <c r="H434" s="4" t="inlineStr">
        <is>
          <t>Pyrolysis</t>
        </is>
      </c>
      <c r="I434" s="4" t="n"/>
      <c r="J434" s="4" t="n"/>
      <c r="K434" s="4" t="n">
        <v>5</v>
      </c>
      <c r="L434" s="4" t="n">
        <v>500</v>
      </c>
      <c r="M434" s="4" t="inlineStr">
        <is>
          <t>Pyrolysis</t>
        </is>
      </c>
      <c r="N434" s="4" t="inlineStr">
        <is>
          <t>No</t>
        </is>
      </c>
      <c r="O434" s="4" t="n">
        <v>120</v>
      </c>
      <c r="P434" s="4" t="n">
        <v>5</v>
      </c>
      <c r="Q434" s="4" t="n">
        <v>1200</v>
      </c>
      <c r="R434" s="4" t="n">
        <v>6.13</v>
      </c>
      <c r="S434" s="4" t="n">
        <v>0.377</v>
      </c>
      <c r="T434" s="23">
        <f>1/3.57</f>
        <v/>
      </c>
      <c r="U434" s="4" t="n">
        <v>4.637</v>
      </c>
      <c r="V434" s="4" t="n">
        <v>0.892</v>
      </c>
      <c r="W434" s="4">
        <f>0.002+0.0065</f>
        <v/>
      </c>
      <c r="X434" s="4" t="n">
        <v>91.2</v>
      </c>
      <c r="Y434" s="29" t="inlineStr">
        <is>
          <t>[108]</t>
        </is>
      </c>
    </row>
    <row r="435" ht="15" customHeight="1">
      <c r="A435" s="4" t="inlineStr">
        <is>
          <t xml:space="preserve">Hemp hurd </t>
        </is>
      </c>
      <c r="B435" s="5" t="inlineStr">
        <is>
          <t>Carbon 2M HCl</t>
        </is>
      </c>
      <c r="C435" s="5" t="inlineStr">
        <is>
          <t>No wash</t>
        </is>
      </c>
      <c r="D435" s="5" t="inlineStr">
        <is>
          <t>No wash</t>
        </is>
      </c>
      <c r="E435" s="5" t="inlineStr">
        <is>
          <t>Acid wash</t>
        </is>
      </c>
      <c r="F435" s="5" t="inlineStr">
        <is>
          <t>Mild</t>
        </is>
      </c>
      <c r="G435" s="4" t="inlineStr">
        <is>
          <t>Two step</t>
        </is>
      </c>
      <c r="H435" s="4" t="inlineStr">
        <is>
          <t>HTC</t>
        </is>
      </c>
      <c r="I435" s="4" t="inlineStr">
        <is>
          <t>HCl</t>
        </is>
      </c>
      <c r="J435" s="4" t="n">
        <v>720</v>
      </c>
      <c r="K435" s="4" t="n"/>
      <c r="L435" s="4" t="n">
        <v>180</v>
      </c>
      <c r="M435" s="4" t="inlineStr">
        <is>
          <t>Pyrolysis</t>
        </is>
      </c>
      <c r="N435" s="4" t="inlineStr">
        <is>
          <t>No</t>
        </is>
      </c>
      <c r="O435" s="4" t="n">
        <v>120</v>
      </c>
      <c r="P435" s="4" t="n">
        <v>5</v>
      </c>
      <c r="Q435" s="4" t="n">
        <v>1200</v>
      </c>
      <c r="R435" s="4" t="n">
        <v>25.21</v>
      </c>
      <c r="S435" s="4" t="n">
        <v>0.377</v>
      </c>
      <c r="T435" s="23">
        <f>1/3.82</f>
        <v/>
      </c>
      <c r="U435" s="4" t="n">
        <v>5.346</v>
      </c>
      <c r="V435" s="4" t="n">
        <v>1.056</v>
      </c>
      <c r="W435" s="4">
        <f>0.0072+0.0243</f>
        <v/>
      </c>
      <c r="X435" s="4" t="n">
        <v>96.7</v>
      </c>
      <c r="Y435" s="29" t="inlineStr">
        <is>
          <t>[108]</t>
        </is>
      </c>
    </row>
    <row r="436" ht="15" customHeight="1">
      <c r="A436" s="4" t="inlineStr">
        <is>
          <t xml:space="preserve">Hemp hurd </t>
        </is>
      </c>
      <c r="B436" s="5" t="inlineStr">
        <is>
          <t>Carbon 2M HCl</t>
        </is>
      </c>
      <c r="C436" s="5" t="inlineStr">
        <is>
          <t>No wash</t>
        </is>
      </c>
      <c r="D436" s="5" t="inlineStr">
        <is>
          <t>No wash</t>
        </is>
      </c>
      <c r="E436" s="5" t="inlineStr">
        <is>
          <t>Acid wash</t>
        </is>
      </c>
      <c r="F436" s="5" t="inlineStr">
        <is>
          <t>Mild</t>
        </is>
      </c>
      <c r="G436" s="4" t="inlineStr">
        <is>
          <t>Two step</t>
        </is>
      </c>
      <c r="H436" s="4" t="inlineStr">
        <is>
          <t>HTC</t>
        </is>
      </c>
      <c r="I436" s="4" t="inlineStr">
        <is>
          <t>HCl</t>
        </is>
      </c>
      <c r="J436" s="4" t="n">
        <v>720</v>
      </c>
      <c r="K436" s="4" t="n"/>
      <c r="L436" s="4" t="n">
        <v>180</v>
      </c>
      <c r="M436" s="4" t="inlineStr">
        <is>
          <t>Pyrolysis</t>
        </is>
      </c>
      <c r="N436" s="4" t="inlineStr">
        <is>
          <t>No</t>
        </is>
      </c>
      <c r="O436" s="4" t="n">
        <v>120</v>
      </c>
      <c r="P436" s="4" t="n">
        <v>5</v>
      </c>
      <c r="Q436" s="4" t="n">
        <v>1200</v>
      </c>
      <c r="R436" s="4" t="n">
        <v>103.4</v>
      </c>
      <c r="S436" s="4" t="n">
        <v>0.385</v>
      </c>
      <c r="T436" s="23">
        <f>1/4.09</f>
        <v/>
      </c>
      <c r="U436" s="4" t="n">
        <v>3.333</v>
      </c>
      <c r="V436" s="4" t="n">
        <v>0.9320000000000001</v>
      </c>
      <c r="W436" s="4">
        <f>0.0365+0.0301</f>
        <v/>
      </c>
      <c r="X436" s="4" t="n">
        <v>97.09999999999999</v>
      </c>
      <c r="Y436" s="29" t="inlineStr">
        <is>
          <t>[108]</t>
        </is>
      </c>
    </row>
    <row r="437" ht="15" customHeight="1">
      <c r="A437" s="4" t="inlineStr">
        <is>
          <t>Paulownia wood</t>
        </is>
      </c>
      <c r="B437" s="5" t="inlineStr">
        <is>
          <t>1M HCl</t>
        </is>
      </c>
      <c r="C437" s="5" t="inlineStr">
        <is>
          <t>Acid wash</t>
        </is>
      </c>
      <c r="D437" s="5" t="inlineStr">
        <is>
          <t>Mild</t>
        </is>
      </c>
      <c r="E437" s="5" t="inlineStr">
        <is>
          <t>No wash</t>
        </is>
      </c>
      <c r="F437" s="5" t="inlineStr">
        <is>
          <t>No wash</t>
        </is>
      </c>
      <c r="G437" s="4" t="inlineStr">
        <is>
          <t>Two step</t>
        </is>
      </c>
      <c r="H437" s="4" t="inlineStr">
        <is>
          <t xml:space="preserve">Pyrolysis </t>
        </is>
      </c>
      <c r="I437" s="4" t="inlineStr">
        <is>
          <t>No</t>
        </is>
      </c>
      <c r="J437" s="4" t="n">
        <v>120</v>
      </c>
      <c r="K437" s="4" t="n">
        <v>5</v>
      </c>
      <c r="L437" s="4" t="n">
        <v>600</v>
      </c>
      <c r="M437" s="4" t="inlineStr">
        <is>
          <t xml:space="preserve">Pyrolysis </t>
        </is>
      </c>
      <c r="N437" s="4" t="n"/>
      <c r="O437" s="4" t="n">
        <v>120</v>
      </c>
      <c r="P437" s="4" t="n">
        <v>5</v>
      </c>
      <c r="Q437" s="4" t="n">
        <v>1000</v>
      </c>
      <c r="R437" s="4" t="n">
        <v>270.8</v>
      </c>
      <c r="S437" s="4" t="n">
        <v>0.379</v>
      </c>
      <c r="T437" s="23" t="n">
        <v>0.837</v>
      </c>
      <c r="U437" s="4" t="n">
        <v>3.81</v>
      </c>
      <c r="V437" s="4" t="n">
        <v>1.15</v>
      </c>
      <c r="W437" s="4" t="n">
        <v>0.123</v>
      </c>
      <c r="X437" s="4" t="n">
        <v>91.2</v>
      </c>
      <c r="Y437" s="29" t="inlineStr">
        <is>
          <t>[109]</t>
        </is>
      </c>
    </row>
    <row r="438" ht="15" customHeight="1">
      <c r="A438" s="4" t="inlineStr">
        <is>
          <t>Paulownia wood</t>
        </is>
      </c>
      <c r="B438" s="5" t="inlineStr">
        <is>
          <t>1M HCl</t>
        </is>
      </c>
      <c r="C438" s="5" t="inlineStr">
        <is>
          <t>Acid wash</t>
        </is>
      </c>
      <c r="D438" s="5" t="inlineStr">
        <is>
          <t>Mild</t>
        </is>
      </c>
      <c r="E438" s="5" t="inlineStr">
        <is>
          <t>No wash</t>
        </is>
      </c>
      <c r="F438" s="5" t="inlineStr">
        <is>
          <t>No wash</t>
        </is>
      </c>
      <c r="G438" s="4" t="inlineStr">
        <is>
          <t>Two step</t>
        </is>
      </c>
      <c r="H438" s="4" t="inlineStr">
        <is>
          <t xml:space="preserve">Pyrolysis </t>
        </is>
      </c>
      <c r="I438" s="4" t="inlineStr">
        <is>
          <t>No</t>
        </is>
      </c>
      <c r="J438" s="4" t="n">
        <v>120</v>
      </c>
      <c r="K438" s="4" t="n">
        <v>5</v>
      </c>
      <c r="L438" s="4" t="n">
        <v>600</v>
      </c>
      <c r="M438" s="4" t="inlineStr">
        <is>
          <t xml:space="preserve">Pyrolysis </t>
        </is>
      </c>
      <c r="N438" s="4" t="n"/>
      <c r="O438" s="4" t="n">
        <v>120</v>
      </c>
      <c r="P438" s="4" t="n">
        <v>5</v>
      </c>
      <c r="Q438" s="4" t="n">
        <v>1100</v>
      </c>
      <c r="R438" s="4" t="n"/>
      <c r="S438" s="4" t="n">
        <v>0.375</v>
      </c>
      <c r="T438" s="23" t="n">
        <v>0.899</v>
      </c>
      <c r="U438" s="4" t="n">
        <v>3.95</v>
      </c>
      <c r="V438" s="4" t="n">
        <v>1.25</v>
      </c>
      <c r="W438" s="4" t="n"/>
      <c r="X438" s="4" t="n"/>
      <c r="Y438" s="29" t="inlineStr">
        <is>
          <t>[109]</t>
        </is>
      </c>
    </row>
    <row r="439" ht="15" customHeight="1">
      <c r="A439" s="4" t="inlineStr">
        <is>
          <t>Paulownia wood</t>
        </is>
      </c>
      <c r="B439" s="5" t="inlineStr">
        <is>
          <t>1M HCl</t>
        </is>
      </c>
      <c r="C439" s="5" t="inlineStr">
        <is>
          <t>Acid wash</t>
        </is>
      </c>
      <c r="D439" s="5" t="inlineStr">
        <is>
          <t>Mild</t>
        </is>
      </c>
      <c r="E439" s="5" t="inlineStr">
        <is>
          <t>No wash</t>
        </is>
      </c>
      <c r="F439" s="5" t="inlineStr">
        <is>
          <t>No wash</t>
        </is>
      </c>
      <c r="G439" s="4" t="inlineStr">
        <is>
          <t>Two step</t>
        </is>
      </c>
      <c r="H439" s="4" t="inlineStr">
        <is>
          <t xml:space="preserve">Pyrolysis </t>
        </is>
      </c>
      <c r="I439" s="4" t="inlineStr">
        <is>
          <t>No</t>
        </is>
      </c>
      <c r="J439" s="4" t="n">
        <v>120</v>
      </c>
      <c r="K439" s="4" t="n">
        <v>5</v>
      </c>
      <c r="L439" s="4" t="n">
        <v>600</v>
      </c>
      <c r="M439" s="4" t="inlineStr">
        <is>
          <t xml:space="preserve">Pyrolysis </t>
        </is>
      </c>
      <c r="N439" s="4" t="n"/>
      <c r="O439" s="4" t="n">
        <v>120</v>
      </c>
      <c r="P439" s="4" t="n">
        <v>5</v>
      </c>
      <c r="Q439" s="4" t="n">
        <v>1200</v>
      </c>
      <c r="R439" s="4" t="n">
        <v>28.3</v>
      </c>
      <c r="S439" s="4" t="n">
        <v>0.374</v>
      </c>
      <c r="T439" s="23" t="n">
        <v>0.95</v>
      </c>
      <c r="U439" s="4" t="n">
        <v>4.04</v>
      </c>
      <c r="V439" s="4" t="n">
        <v>1.28</v>
      </c>
      <c r="W439" s="4" t="n">
        <v>0.016</v>
      </c>
      <c r="X439" s="4" t="n">
        <v>89.34999999999999</v>
      </c>
      <c r="Y439" s="29" t="inlineStr">
        <is>
          <t>[109]</t>
        </is>
      </c>
    </row>
    <row r="440" ht="15" customHeight="1">
      <c r="A440" s="4" t="inlineStr">
        <is>
          <t>Paulownia wood</t>
        </is>
      </c>
      <c r="B440" s="5" t="inlineStr">
        <is>
          <t>1M HCl</t>
        </is>
      </c>
      <c r="C440" s="5" t="inlineStr">
        <is>
          <t>Acid wash</t>
        </is>
      </c>
      <c r="D440" s="5" t="inlineStr">
        <is>
          <t>Mild</t>
        </is>
      </c>
      <c r="E440" s="5" t="inlineStr">
        <is>
          <t>No wash</t>
        </is>
      </c>
      <c r="F440" s="5" t="inlineStr">
        <is>
          <t>No wash</t>
        </is>
      </c>
      <c r="G440" s="4" t="inlineStr">
        <is>
          <t>Two step</t>
        </is>
      </c>
      <c r="H440" s="4" t="inlineStr">
        <is>
          <t xml:space="preserve">Pyrolysis </t>
        </is>
      </c>
      <c r="I440" s="4" t="inlineStr">
        <is>
          <t>No</t>
        </is>
      </c>
      <c r="J440" s="4" t="n">
        <v>120</v>
      </c>
      <c r="K440" s="4" t="n">
        <v>5</v>
      </c>
      <c r="L440" s="4" t="n">
        <v>600</v>
      </c>
      <c r="M440" s="4" t="inlineStr">
        <is>
          <t xml:space="preserve">Pyrolysis </t>
        </is>
      </c>
      <c r="N440" s="4" t="n"/>
      <c r="O440" s="4" t="n">
        <v>120</v>
      </c>
      <c r="P440" s="4" t="n">
        <v>5</v>
      </c>
      <c r="Q440" s="4" t="n">
        <v>1300</v>
      </c>
      <c r="R440" s="4" t="n"/>
      <c r="S440" s="4" t="n">
        <v>0.372</v>
      </c>
      <c r="T440" s="23" t="n">
        <v>0.952</v>
      </c>
      <c r="U440" s="4" t="n">
        <v>4.11</v>
      </c>
      <c r="V440" s="4" t="n">
        <v>1.29</v>
      </c>
      <c r="W440" s="4" t="n"/>
      <c r="X440" s="4" t="n"/>
      <c r="Y440" s="29" t="inlineStr">
        <is>
          <t>[109]</t>
        </is>
      </c>
    </row>
    <row r="441" ht="15" customHeight="1">
      <c r="A441" s="4" t="inlineStr">
        <is>
          <t>Paulownia wood</t>
        </is>
      </c>
      <c r="B441" s="5" t="inlineStr">
        <is>
          <t>1M HCl</t>
        </is>
      </c>
      <c r="C441" s="5" t="inlineStr">
        <is>
          <t>Acid wash</t>
        </is>
      </c>
      <c r="D441" s="5" t="inlineStr">
        <is>
          <t>Mild</t>
        </is>
      </c>
      <c r="E441" s="5" t="inlineStr">
        <is>
          <t>No wash</t>
        </is>
      </c>
      <c r="F441" s="5" t="inlineStr">
        <is>
          <t>No wash</t>
        </is>
      </c>
      <c r="G441" s="4" t="inlineStr">
        <is>
          <t>Two step</t>
        </is>
      </c>
      <c r="H441" s="4" t="inlineStr">
        <is>
          <t xml:space="preserve">Pyrolysis </t>
        </is>
      </c>
      <c r="I441" s="4" t="inlineStr">
        <is>
          <t>No</t>
        </is>
      </c>
      <c r="J441" s="4" t="n">
        <v>120</v>
      </c>
      <c r="K441" s="4" t="n">
        <v>5</v>
      </c>
      <c r="L441" s="4" t="n">
        <v>600</v>
      </c>
      <c r="M441" s="4" t="inlineStr">
        <is>
          <t xml:space="preserve">Pyrolysis </t>
        </is>
      </c>
      <c r="N441" s="4" t="n"/>
      <c r="O441" s="4" t="n">
        <v>120</v>
      </c>
      <c r="P441" s="4" t="n">
        <v>5</v>
      </c>
      <c r="Q441" s="4" t="n">
        <v>1400</v>
      </c>
      <c r="R441" s="4" t="n">
        <v>18.6</v>
      </c>
      <c r="S441" s="4" t="n">
        <v>0.368</v>
      </c>
      <c r="T441" s="23" t="n">
        <v>0.975</v>
      </c>
      <c r="U441" s="4" t="n">
        <v>4.2</v>
      </c>
      <c r="V441" s="4" t="n">
        <v>1.48</v>
      </c>
      <c r="W441" s="4" t="n">
        <v>0.01</v>
      </c>
      <c r="X441" s="4" t="n">
        <v>89.18000000000001</v>
      </c>
      <c r="Y441" s="29" t="inlineStr">
        <is>
          <t>[109]</t>
        </is>
      </c>
    </row>
    <row r="442" ht="15" customHeight="1">
      <c r="A442" s="4" t="inlineStr">
        <is>
          <t xml:space="preserve">D-Sodium ascorbate </t>
        </is>
      </c>
      <c r="B442" s="5" t="inlineStr">
        <is>
          <t>Carbon 1M HCl</t>
        </is>
      </c>
      <c r="C442" s="5" t="inlineStr">
        <is>
          <t>No wash</t>
        </is>
      </c>
      <c r="D442" s="5" t="inlineStr">
        <is>
          <t>No wash</t>
        </is>
      </c>
      <c r="E442" s="5" t="inlineStr">
        <is>
          <t>Acid wash</t>
        </is>
      </c>
      <c r="F442" s="5" t="inlineStr">
        <is>
          <t>Mild</t>
        </is>
      </c>
      <c r="G442" s="4" t="inlineStr">
        <is>
          <t>One step</t>
        </is>
      </c>
      <c r="H442" s="4" t="inlineStr">
        <is>
          <t xml:space="preserve">Pyrolysis </t>
        </is>
      </c>
      <c r="I442" s="4" t="inlineStr">
        <is>
          <t>No</t>
        </is>
      </c>
      <c r="J442" s="4" t="n">
        <v>120</v>
      </c>
      <c r="K442" s="4" t="n">
        <v>2</v>
      </c>
      <c r="L442" s="4" t="n">
        <v>600</v>
      </c>
      <c r="M442" s="4" t="inlineStr">
        <is>
          <t>No</t>
        </is>
      </c>
      <c r="N442" s="4" t="inlineStr">
        <is>
          <t>No</t>
        </is>
      </c>
      <c r="O442" s="4" t="inlineStr">
        <is>
          <t>No</t>
        </is>
      </c>
      <c r="P442" s="4" t="inlineStr">
        <is>
          <t>No</t>
        </is>
      </c>
      <c r="Q442" s="4" t="inlineStr">
        <is>
          <t>No</t>
        </is>
      </c>
      <c r="R442" s="4" t="n">
        <v>488</v>
      </c>
      <c r="S442" s="4" t="n">
        <v>0.386</v>
      </c>
      <c r="T442" s="23" t="n">
        <v>0.48</v>
      </c>
      <c r="U442" s="4" t="n"/>
      <c r="V442" s="4" t="n"/>
      <c r="W442" s="4" t="n">
        <v>0.44</v>
      </c>
      <c r="X442" s="4" t="n"/>
      <c r="Y442" s="29" t="inlineStr">
        <is>
          <t>[110]</t>
        </is>
      </c>
    </row>
    <row r="443" ht="15" customHeight="1">
      <c r="A443" s="4" t="inlineStr">
        <is>
          <t xml:space="preserve">D-Sodium ascorbate </t>
        </is>
      </c>
      <c r="B443" s="5" t="inlineStr">
        <is>
          <t>Carbon 1M HCl</t>
        </is>
      </c>
      <c r="C443" s="5" t="inlineStr">
        <is>
          <t>No wash</t>
        </is>
      </c>
      <c r="D443" s="5" t="inlineStr">
        <is>
          <t>No wash</t>
        </is>
      </c>
      <c r="E443" s="5" t="inlineStr">
        <is>
          <t>Acid wash</t>
        </is>
      </c>
      <c r="F443" s="5" t="inlineStr">
        <is>
          <t>Mild</t>
        </is>
      </c>
      <c r="G443" s="4" t="inlineStr">
        <is>
          <t>One step</t>
        </is>
      </c>
      <c r="H443" s="4" t="inlineStr">
        <is>
          <t xml:space="preserve">Pyrolysis </t>
        </is>
      </c>
      <c r="I443" s="4" t="inlineStr">
        <is>
          <t>No</t>
        </is>
      </c>
      <c r="J443" s="4" t="n">
        <v>120</v>
      </c>
      <c r="K443" s="4" t="n">
        <v>2</v>
      </c>
      <c r="L443" s="4" t="n">
        <v>800</v>
      </c>
      <c r="M443" s="4" t="inlineStr">
        <is>
          <t>No</t>
        </is>
      </c>
      <c r="N443" s="4" t="inlineStr">
        <is>
          <t>No</t>
        </is>
      </c>
      <c r="O443" s="4" t="inlineStr">
        <is>
          <t>No</t>
        </is>
      </c>
      <c r="P443" s="4" t="inlineStr">
        <is>
          <t>No</t>
        </is>
      </c>
      <c r="Q443" s="4" t="inlineStr">
        <is>
          <t>No</t>
        </is>
      </c>
      <c r="R443" s="4" t="n">
        <v>813</v>
      </c>
      <c r="S443" s="4" t="n">
        <v>0.379</v>
      </c>
      <c r="T443" s="23" t="n">
        <v>0.58</v>
      </c>
      <c r="U443" s="4" t="n"/>
      <c r="V443" s="4" t="n"/>
      <c r="W443" s="4" t="n">
        <v>0.78</v>
      </c>
      <c r="X443" s="4" t="n"/>
      <c r="Y443" s="29" t="inlineStr">
        <is>
          <t>[110]</t>
        </is>
      </c>
    </row>
    <row r="444" ht="15" customHeight="1">
      <c r="A444" s="4" t="inlineStr">
        <is>
          <t xml:space="preserve">D-Sodium ascorbate </t>
        </is>
      </c>
      <c r="B444" s="5" t="inlineStr">
        <is>
          <t>Carbon 1M HCl</t>
        </is>
      </c>
      <c r="C444" s="5" t="inlineStr">
        <is>
          <t>No wash</t>
        </is>
      </c>
      <c r="D444" s="5" t="inlineStr">
        <is>
          <t>No wash</t>
        </is>
      </c>
      <c r="E444" s="5" t="inlineStr">
        <is>
          <t>Acid wash</t>
        </is>
      </c>
      <c r="F444" s="5" t="inlineStr">
        <is>
          <t>Mild</t>
        </is>
      </c>
      <c r="G444" s="4" t="inlineStr">
        <is>
          <t>One step</t>
        </is>
      </c>
      <c r="H444" s="4" t="inlineStr">
        <is>
          <t xml:space="preserve">Pyrolysis </t>
        </is>
      </c>
      <c r="I444" s="4" t="inlineStr">
        <is>
          <t>No</t>
        </is>
      </c>
      <c r="J444" s="4" t="n">
        <v>120</v>
      </c>
      <c r="K444" s="4" t="n">
        <v>2</v>
      </c>
      <c r="L444" s="4" t="n">
        <v>1000</v>
      </c>
      <c r="M444" s="4" t="inlineStr">
        <is>
          <t>No</t>
        </is>
      </c>
      <c r="N444" s="4" t="inlineStr">
        <is>
          <t>No</t>
        </is>
      </c>
      <c r="O444" s="4" t="inlineStr">
        <is>
          <t>No</t>
        </is>
      </c>
      <c r="P444" s="4" t="inlineStr">
        <is>
          <t>No</t>
        </is>
      </c>
      <c r="Q444" s="4" t="inlineStr">
        <is>
          <t>No</t>
        </is>
      </c>
      <c r="R444" s="4" t="n">
        <v>1329</v>
      </c>
      <c r="S444" s="4" t="n">
        <v>0.37</v>
      </c>
      <c r="T444" s="23" t="n">
        <v>0.67</v>
      </c>
      <c r="U444" s="4" t="n"/>
      <c r="V444" s="4" t="n"/>
      <c r="W444" s="4" t="n">
        <v>1.15</v>
      </c>
      <c r="X444" s="4" t="n"/>
      <c r="Y444" s="29" t="inlineStr">
        <is>
          <t>[110]</t>
        </is>
      </c>
    </row>
    <row r="445" ht="15" customHeight="1">
      <c r="A445" s="4" t="inlineStr">
        <is>
          <t>Palm Leaves</t>
        </is>
      </c>
      <c r="B445" s="5" t="inlineStr">
        <is>
          <t xml:space="preserve">1M HCl </t>
        </is>
      </c>
      <c r="C445" s="5" t="inlineStr">
        <is>
          <t>Acid wash</t>
        </is>
      </c>
      <c r="D445" s="5" t="inlineStr">
        <is>
          <t>Mild</t>
        </is>
      </c>
      <c r="E445" s="5" t="inlineStr">
        <is>
          <t>No wash</t>
        </is>
      </c>
      <c r="F445" s="5" t="inlineStr">
        <is>
          <t>No wash</t>
        </is>
      </c>
      <c r="G445" s="4" t="inlineStr">
        <is>
          <t>One step</t>
        </is>
      </c>
      <c r="H445" s="4" t="inlineStr">
        <is>
          <t xml:space="preserve">Pyrolysis </t>
        </is>
      </c>
      <c r="I445" s="4" t="inlineStr">
        <is>
          <t>No</t>
        </is>
      </c>
      <c r="J445" s="4" t="n"/>
      <c r="K445" s="4" t="n"/>
      <c r="L445" s="4" t="n">
        <v>800</v>
      </c>
      <c r="M445" s="4" t="inlineStr">
        <is>
          <t>No</t>
        </is>
      </c>
      <c r="N445" s="4" t="inlineStr">
        <is>
          <t>No</t>
        </is>
      </c>
      <c r="O445" s="4" t="inlineStr">
        <is>
          <t>No</t>
        </is>
      </c>
      <c r="P445" s="4" t="inlineStr">
        <is>
          <t>No</t>
        </is>
      </c>
      <c r="Q445" s="4" t="inlineStr">
        <is>
          <t>No</t>
        </is>
      </c>
      <c r="R445" s="4" t="n">
        <v>253.56</v>
      </c>
      <c r="S445" s="4" t="n"/>
      <c r="T445" s="23">
        <f>1/3.15</f>
        <v/>
      </c>
      <c r="U445" s="4" t="n"/>
      <c r="V445" s="4" t="n"/>
      <c r="W445" s="4" t="n"/>
      <c r="X445" s="4" t="n"/>
      <c r="Y445" s="29" t="inlineStr">
        <is>
          <t>[111]</t>
        </is>
      </c>
    </row>
    <row r="446" ht="15" customHeight="1">
      <c r="A446" s="4" t="inlineStr">
        <is>
          <t>Palm Leaves</t>
        </is>
      </c>
      <c r="B446" s="5" t="inlineStr">
        <is>
          <t xml:space="preserve">1M HCl </t>
        </is>
      </c>
      <c r="C446" s="5" t="inlineStr">
        <is>
          <t>Acid wash</t>
        </is>
      </c>
      <c r="D446" s="5" t="inlineStr">
        <is>
          <t>Mild</t>
        </is>
      </c>
      <c r="E446" s="5" t="inlineStr">
        <is>
          <t>No wash</t>
        </is>
      </c>
      <c r="F446" s="5" t="inlineStr">
        <is>
          <t>No wash</t>
        </is>
      </c>
      <c r="G446" s="4" t="inlineStr">
        <is>
          <t>One step</t>
        </is>
      </c>
      <c r="H446" s="4" t="inlineStr">
        <is>
          <t xml:space="preserve">Pyrolysis </t>
        </is>
      </c>
      <c r="I446" s="4" t="inlineStr">
        <is>
          <t>No</t>
        </is>
      </c>
      <c r="J446" s="4" t="n"/>
      <c r="K446" s="4" t="n"/>
      <c r="L446" s="4" t="n">
        <v>900</v>
      </c>
      <c r="M446" s="4" t="inlineStr">
        <is>
          <t>No</t>
        </is>
      </c>
      <c r="N446" s="4" t="inlineStr">
        <is>
          <t>No</t>
        </is>
      </c>
      <c r="O446" s="4" t="inlineStr">
        <is>
          <t>No</t>
        </is>
      </c>
      <c r="P446" s="4" t="inlineStr">
        <is>
          <t>No</t>
        </is>
      </c>
      <c r="Q446" s="4" t="inlineStr">
        <is>
          <t>No</t>
        </is>
      </c>
      <c r="R446" s="4" t="n">
        <v>9.68</v>
      </c>
      <c r="S446" s="4" t="n"/>
      <c r="T446" s="23">
        <f>1/2.8</f>
        <v/>
      </c>
      <c r="U446" s="4" t="n"/>
      <c r="V446" s="4" t="n"/>
      <c r="W446" s="4" t="n"/>
      <c r="X446" s="4" t="n"/>
      <c r="Y446" s="29" t="inlineStr">
        <is>
          <t>[111]</t>
        </is>
      </c>
    </row>
    <row r="447" ht="15" customHeight="1">
      <c r="A447" s="4" t="inlineStr">
        <is>
          <t>Palm Leaves</t>
        </is>
      </c>
      <c r="B447" s="5" t="inlineStr">
        <is>
          <t xml:space="preserve">1M HCl </t>
        </is>
      </c>
      <c r="C447" s="5" t="inlineStr">
        <is>
          <t>Acid wash</t>
        </is>
      </c>
      <c r="D447" s="5" t="inlineStr">
        <is>
          <t>Mild</t>
        </is>
      </c>
      <c r="E447" s="5" t="inlineStr">
        <is>
          <t>No wash</t>
        </is>
      </c>
      <c r="F447" s="5" t="inlineStr">
        <is>
          <t>No wash</t>
        </is>
      </c>
      <c r="G447" s="4" t="inlineStr">
        <is>
          <t>One step</t>
        </is>
      </c>
      <c r="H447" s="4" t="inlineStr">
        <is>
          <t xml:space="preserve">Pyrolysis </t>
        </is>
      </c>
      <c r="I447" s="4" t="inlineStr">
        <is>
          <t>No</t>
        </is>
      </c>
      <c r="J447" s="4" t="n"/>
      <c r="K447" s="4" t="n"/>
      <c r="L447" s="4" t="n">
        <v>1000</v>
      </c>
      <c r="M447" s="4" t="inlineStr">
        <is>
          <t>No</t>
        </is>
      </c>
      <c r="N447" s="4" t="inlineStr">
        <is>
          <t>No</t>
        </is>
      </c>
      <c r="O447" s="4" t="inlineStr">
        <is>
          <t>No</t>
        </is>
      </c>
      <c r="P447" s="4" t="inlineStr">
        <is>
          <t>No</t>
        </is>
      </c>
      <c r="Q447" s="4" t="inlineStr">
        <is>
          <t>No</t>
        </is>
      </c>
      <c r="R447" s="4" t="n">
        <v>38.65</v>
      </c>
      <c r="S447" s="4" t="n">
        <v>0.383</v>
      </c>
      <c r="T447" s="23">
        <f>1/2.48</f>
        <v/>
      </c>
      <c r="U447" s="4" t="n"/>
      <c r="V447" s="4" t="n"/>
      <c r="W447" s="4" t="n"/>
      <c r="X447" s="4" t="n"/>
      <c r="Y447" s="29" t="inlineStr">
        <is>
          <t>[111]</t>
        </is>
      </c>
    </row>
    <row r="448" ht="15" customHeight="1">
      <c r="A448" s="4" t="inlineStr">
        <is>
          <t>Palm Leaves</t>
        </is>
      </c>
      <c r="B448" s="5" t="inlineStr">
        <is>
          <t xml:space="preserve">1M HCl </t>
        </is>
      </c>
      <c r="C448" s="5" t="inlineStr">
        <is>
          <t>Acid wash</t>
        </is>
      </c>
      <c r="D448" s="5" t="inlineStr">
        <is>
          <t>Mild</t>
        </is>
      </c>
      <c r="E448" s="5" t="inlineStr">
        <is>
          <t>No wash</t>
        </is>
      </c>
      <c r="F448" s="5" t="inlineStr">
        <is>
          <t>No wash</t>
        </is>
      </c>
      <c r="G448" s="4" t="inlineStr">
        <is>
          <t>One step</t>
        </is>
      </c>
      <c r="H448" s="4" t="inlineStr">
        <is>
          <t xml:space="preserve">Pyrolysis </t>
        </is>
      </c>
      <c r="I448" s="4" t="inlineStr">
        <is>
          <t>No</t>
        </is>
      </c>
      <c r="J448" s="4" t="n"/>
      <c r="K448" s="4" t="n"/>
      <c r="L448" s="4" t="n">
        <v>1100</v>
      </c>
      <c r="M448" s="4" t="inlineStr">
        <is>
          <t>No</t>
        </is>
      </c>
      <c r="N448" s="4" t="inlineStr">
        <is>
          <t>No</t>
        </is>
      </c>
      <c r="O448" s="4" t="inlineStr">
        <is>
          <t>No</t>
        </is>
      </c>
      <c r="P448" s="4" t="inlineStr">
        <is>
          <t>No</t>
        </is>
      </c>
      <c r="Q448" s="4" t="inlineStr">
        <is>
          <t>No</t>
        </is>
      </c>
      <c r="R448" s="4" t="n">
        <v>335.47</v>
      </c>
      <c r="S448" s="4" t="n"/>
      <c r="T448" s="23">
        <f>1/2.24</f>
        <v/>
      </c>
      <c r="U448" s="4" t="n"/>
      <c r="V448" s="4" t="n"/>
      <c r="W448" s="4" t="n"/>
      <c r="X448" s="4" t="n"/>
      <c r="Y448" s="29" t="inlineStr">
        <is>
          <t>[111]</t>
        </is>
      </c>
    </row>
    <row r="449" ht="15" customHeight="1">
      <c r="A449" s="4" t="inlineStr">
        <is>
          <t>Palm Leaves</t>
        </is>
      </c>
      <c r="B449" s="5" t="inlineStr">
        <is>
          <t>1M HCl , Aniiline, APS</t>
        </is>
      </c>
      <c r="C449" s="5" t="inlineStr">
        <is>
          <t>Acid wash</t>
        </is>
      </c>
      <c r="D449" s="5" t="inlineStr">
        <is>
          <t>Mild</t>
        </is>
      </c>
      <c r="E449" s="5" t="inlineStr">
        <is>
          <t>No wash</t>
        </is>
      </c>
      <c r="F449" s="5" t="inlineStr">
        <is>
          <t>No wash</t>
        </is>
      </c>
      <c r="G449" s="4" t="inlineStr">
        <is>
          <t>One step</t>
        </is>
      </c>
      <c r="H449" s="4" t="inlineStr">
        <is>
          <t xml:space="preserve">Pyrolysis </t>
        </is>
      </c>
      <c r="I449" s="4" t="inlineStr">
        <is>
          <t>No</t>
        </is>
      </c>
      <c r="J449" s="4" t="n"/>
      <c r="K449" s="4" t="n"/>
      <c r="L449" s="4" t="n">
        <v>800</v>
      </c>
      <c r="M449" s="4" t="inlineStr">
        <is>
          <t>No</t>
        </is>
      </c>
      <c r="N449" s="4" t="inlineStr">
        <is>
          <t>No</t>
        </is>
      </c>
      <c r="O449" s="4" t="inlineStr">
        <is>
          <t>No</t>
        </is>
      </c>
      <c r="P449" s="4" t="inlineStr">
        <is>
          <t>No</t>
        </is>
      </c>
      <c r="Q449" s="4" t="inlineStr">
        <is>
          <t>No</t>
        </is>
      </c>
      <c r="R449" s="4" t="n">
        <v>20.47</v>
      </c>
      <c r="S449" s="4" t="n"/>
      <c r="T449" s="23">
        <f>1/3.37</f>
        <v/>
      </c>
      <c r="U449" s="4" t="n"/>
      <c r="V449" s="4" t="n"/>
      <c r="W449" s="4" t="n"/>
      <c r="X449" s="4" t="n">
        <v>89.04000000000001</v>
      </c>
      <c r="Y449" s="29" t="inlineStr">
        <is>
          <t>[111]</t>
        </is>
      </c>
    </row>
    <row r="450" ht="15" customHeight="1">
      <c r="A450" s="4" t="inlineStr">
        <is>
          <t>Palm Leaves</t>
        </is>
      </c>
      <c r="B450" s="5" t="inlineStr">
        <is>
          <t>1M HCl , Aniiline, APS</t>
        </is>
      </c>
      <c r="C450" s="5" t="inlineStr">
        <is>
          <t>Acid wash</t>
        </is>
      </c>
      <c r="D450" s="5" t="inlineStr">
        <is>
          <t>Mild</t>
        </is>
      </c>
      <c r="E450" s="5" t="inlineStr">
        <is>
          <t>No wash</t>
        </is>
      </c>
      <c r="F450" s="5" t="inlineStr">
        <is>
          <t>No wash</t>
        </is>
      </c>
      <c r="G450" s="4" t="inlineStr">
        <is>
          <t>One step</t>
        </is>
      </c>
      <c r="H450" s="4" t="inlineStr">
        <is>
          <t xml:space="preserve">Pyrolysis </t>
        </is>
      </c>
      <c r="I450" s="4" t="inlineStr">
        <is>
          <t>No</t>
        </is>
      </c>
      <c r="J450" s="4" t="n"/>
      <c r="K450" s="4" t="n"/>
      <c r="L450" s="4" t="n">
        <v>900</v>
      </c>
      <c r="M450" s="4" t="inlineStr">
        <is>
          <t>No</t>
        </is>
      </c>
      <c r="N450" s="4" t="inlineStr">
        <is>
          <t>No</t>
        </is>
      </c>
      <c r="O450" s="4" t="inlineStr">
        <is>
          <t>No</t>
        </is>
      </c>
      <c r="P450" s="4" t="inlineStr">
        <is>
          <t>No</t>
        </is>
      </c>
      <c r="Q450" s="4" t="inlineStr">
        <is>
          <t>No</t>
        </is>
      </c>
      <c r="R450" s="4" t="n">
        <v>14.51</v>
      </c>
      <c r="S450" s="4" t="n"/>
      <c r="T450" s="23">
        <f>1/3.28</f>
        <v/>
      </c>
      <c r="U450" s="4" t="n"/>
      <c r="V450" s="4" t="n"/>
      <c r="W450" s="4" t="n"/>
      <c r="X450" s="4" t="n">
        <v>89.05</v>
      </c>
      <c r="Y450" s="29" t="inlineStr">
        <is>
          <t>[111]</t>
        </is>
      </c>
    </row>
    <row r="451" ht="15" customHeight="1">
      <c r="A451" s="4" t="inlineStr">
        <is>
          <t>Palm Leaves</t>
        </is>
      </c>
      <c r="B451" s="5" t="inlineStr">
        <is>
          <t>1M HCl , Aniiline, APS</t>
        </is>
      </c>
      <c r="C451" s="5" t="inlineStr">
        <is>
          <t>Acid wash</t>
        </is>
      </c>
      <c r="D451" s="5" t="inlineStr">
        <is>
          <t>Mild</t>
        </is>
      </c>
      <c r="E451" s="5" t="inlineStr">
        <is>
          <t>No wash</t>
        </is>
      </c>
      <c r="F451" s="5" t="inlineStr">
        <is>
          <t>No wash</t>
        </is>
      </c>
      <c r="G451" s="4" t="inlineStr">
        <is>
          <t>One step</t>
        </is>
      </c>
      <c r="H451" s="4" t="inlineStr">
        <is>
          <t xml:space="preserve">Pyrolysis </t>
        </is>
      </c>
      <c r="I451" s="4" t="inlineStr">
        <is>
          <t>No</t>
        </is>
      </c>
      <c r="J451" s="4" t="n"/>
      <c r="K451" s="4" t="n"/>
      <c r="L451" s="4" t="n">
        <v>1000</v>
      </c>
      <c r="M451" s="4" t="inlineStr">
        <is>
          <t>No</t>
        </is>
      </c>
      <c r="N451" s="4" t="inlineStr">
        <is>
          <t>No</t>
        </is>
      </c>
      <c r="O451" s="4" t="inlineStr">
        <is>
          <t>No</t>
        </is>
      </c>
      <c r="P451" s="4" t="inlineStr">
        <is>
          <t>No</t>
        </is>
      </c>
      <c r="Q451" s="4" t="inlineStr">
        <is>
          <t>No</t>
        </is>
      </c>
      <c r="R451" s="4" t="n">
        <v>6.21</v>
      </c>
      <c r="S451" s="4" t="n">
        <v>0.388</v>
      </c>
      <c r="T451" s="23">
        <f>1/3.19</f>
        <v/>
      </c>
      <c r="U451" s="4" t="n"/>
      <c r="V451" s="4" t="n"/>
      <c r="W451" s="4" t="n"/>
      <c r="X451" s="4" t="n">
        <v>89.84999999999999</v>
      </c>
      <c r="Y451" s="29" t="inlineStr">
        <is>
          <t>[111]</t>
        </is>
      </c>
    </row>
    <row r="452" ht="15" customHeight="1">
      <c r="A452" s="4" t="inlineStr">
        <is>
          <t>Palm Leaves</t>
        </is>
      </c>
      <c r="B452" s="5" t="inlineStr">
        <is>
          <t>1M HCl , Aniiline, APS</t>
        </is>
      </c>
      <c r="C452" s="5" t="inlineStr">
        <is>
          <t>Acid wash</t>
        </is>
      </c>
      <c r="D452" s="5" t="inlineStr">
        <is>
          <t>Mild</t>
        </is>
      </c>
      <c r="E452" s="5" t="inlineStr">
        <is>
          <t>No wash</t>
        </is>
      </c>
      <c r="F452" s="5" t="inlineStr">
        <is>
          <t>No wash</t>
        </is>
      </c>
      <c r="G452" s="4" t="inlineStr">
        <is>
          <t>One step</t>
        </is>
      </c>
      <c r="H452" s="4" t="inlineStr">
        <is>
          <t xml:space="preserve">Pyrolysis </t>
        </is>
      </c>
      <c r="I452" s="4" t="inlineStr">
        <is>
          <t>No</t>
        </is>
      </c>
      <c r="J452" s="4" t="n"/>
      <c r="K452" s="4" t="n"/>
      <c r="L452" s="4" t="n">
        <v>1100</v>
      </c>
      <c r="M452" s="4" t="inlineStr">
        <is>
          <t>No</t>
        </is>
      </c>
      <c r="N452" s="4" t="inlineStr">
        <is>
          <t>No</t>
        </is>
      </c>
      <c r="O452" s="4" t="inlineStr">
        <is>
          <t>No</t>
        </is>
      </c>
      <c r="P452" s="4" t="inlineStr">
        <is>
          <t>No</t>
        </is>
      </c>
      <c r="Q452" s="4" t="inlineStr">
        <is>
          <t>No</t>
        </is>
      </c>
      <c r="R452" s="4" t="n">
        <v>14.15</v>
      </c>
      <c r="S452" s="4" t="n"/>
      <c r="T452" s="23">
        <f>1/3.08</f>
        <v/>
      </c>
      <c r="U452" s="4" t="n"/>
      <c r="V452" s="4" t="n"/>
      <c r="W452" s="4" t="n"/>
      <c r="X452" s="4" t="n">
        <v>92.17</v>
      </c>
      <c r="Y452" s="29" t="inlineStr">
        <is>
          <t>[111]</t>
        </is>
      </c>
    </row>
    <row r="453" ht="15" customHeight="1">
      <c r="A453" s="4" t="inlineStr">
        <is>
          <t>Corn Stalks</t>
        </is>
      </c>
      <c r="B453" s="5" t="inlineStr">
        <is>
          <t>No</t>
        </is>
      </c>
      <c r="C453" s="5" t="inlineStr">
        <is>
          <t>No wash</t>
        </is>
      </c>
      <c r="D453" s="5" t="inlineStr">
        <is>
          <t>No wash</t>
        </is>
      </c>
      <c r="E453" s="5" t="inlineStr">
        <is>
          <t>No wash</t>
        </is>
      </c>
      <c r="F453" s="5" t="inlineStr">
        <is>
          <t>No wash</t>
        </is>
      </c>
      <c r="G453" s="4" t="inlineStr">
        <is>
          <t>One step</t>
        </is>
      </c>
      <c r="H453" s="4" t="inlineStr">
        <is>
          <t xml:space="preserve">Pyrolysis </t>
        </is>
      </c>
      <c r="I453" s="4" t="inlineStr">
        <is>
          <t>No</t>
        </is>
      </c>
      <c r="J453" s="4" t="n">
        <v>120</v>
      </c>
      <c r="K453" s="4" t="n"/>
      <c r="L453" s="4" t="n">
        <v>1200</v>
      </c>
      <c r="M453" s="4" t="inlineStr">
        <is>
          <t>No</t>
        </is>
      </c>
      <c r="N453" s="4" t="inlineStr">
        <is>
          <t>No</t>
        </is>
      </c>
      <c r="O453" s="4" t="inlineStr">
        <is>
          <t>No</t>
        </is>
      </c>
      <c r="P453" s="4" t="inlineStr">
        <is>
          <t>No</t>
        </is>
      </c>
      <c r="Q453" s="4" t="inlineStr">
        <is>
          <t>No</t>
        </is>
      </c>
      <c r="R453" s="4" t="n">
        <v>638.9</v>
      </c>
      <c r="S453" s="4" t="n">
        <v>0.391</v>
      </c>
      <c r="T453" s="23">
        <f>1/1.692</f>
        <v/>
      </c>
      <c r="U453" s="4" t="n"/>
      <c r="V453" s="4" t="n">
        <v>1.238</v>
      </c>
      <c r="W453" s="4" t="n">
        <v>0.2921</v>
      </c>
      <c r="X453" s="4" t="n">
        <v>70</v>
      </c>
      <c r="Y453" s="29" t="inlineStr">
        <is>
          <t>[112]</t>
        </is>
      </c>
    </row>
    <row r="454" ht="15" customHeight="1">
      <c r="A454" s="4" t="inlineStr">
        <is>
          <t>Corn Stalks</t>
        </is>
      </c>
      <c r="B454" s="5" t="inlineStr">
        <is>
          <t>No</t>
        </is>
      </c>
      <c r="C454" s="5" t="inlineStr">
        <is>
          <t>No wash</t>
        </is>
      </c>
      <c r="D454" s="5" t="inlineStr">
        <is>
          <t>No wash</t>
        </is>
      </c>
      <c r="E454" s="5" t="inlineStr">
        <is>
          <t>No wash</t>
        </is>
      </c>
      <c r="F454" s="5" t="inlineStr">
        <is>
          <t>No wash</t>
        </is>
      </c>
      <c r="G454" s="4" t="inlineStr">
        <is>
          <t>One step</t>
        </is>
      </c>
      <c r="H454" s="4" t="inlineStr">
        <is>
          <t xml:space="preserve">Pyrolysis </t>
        </is>
      </c>
      <c r="I454" s="4" t="inlineStr">
        <is>
          <t>No</t>
        </is>
      </c>
      <c r="J454" s="4" t="n">
        <v>120</v>
      </c>
      <c r="K454" s="4" t="n"/>
      <c r="L454" s="4" t="n">
        <v>1200</v>
      </c>
      <c r="M454" s="4" t="inlineStr">
        <is>
          <t>No</t>
        </is>
      </c>
      <c r="N454" s="4" t="inlineStr">
        <is>
          <t>No</t>
        </is>
      </c>
      <c r="O454" s="4" t="inlineStr">
        <is>
          <t>No</t>
        </is>
      </c>
      <c r="P454" s="4" t="inlineStr">
        <is>
          <t>No</t>
        </is>
      </c>
      <c r="Q454" s="4" t="inlineStr">
        <is>
          <t>No</t>
        </is>
      </c>
      <c r="R454" s="4" t="n">
        <v>27.4</v>
      </c>
      <c r="S454" s="4" t="n">
        <v>0.384</v>
      </c>
      <c r="T454" s="23">
        <f>1/1.564</f>
        <v/>
      </c>
      <c r="U454" s="4" t="n"/>
      <c r="V454" s="4" t="n">
        <v>1.236</v>
      </c>
      <c r="W454" s="4" t="n">
        <v>0.06</v>
      </c>
      <c r="X454" s="4" t="n">
        <v>73.12</v>
      </c>
      <c r="Y454" s="29" t="inlineStr">
        <is>
          <t>[112]</t>
        </is>
      </c>
    </row>
    <row r="455" ht="15" customHeight="1">
      <c r="A455" s="42" t="inlineStr">
        <is>
          <t>Prawn shells</t>
        </is>
      </c>
      <c r="B455" s="43" t="inlineStr">
        <is>
          <t>0.1 M NaOH</t>
        </is>
      </c>
      <c r="C455" s="42" t="inlineStr">
        <is>
          <t>Alkali wash</t>
        </is>
      </c>
      <c r="D455" s="42" t="inlineStr">
        <is>
          <t>Mild</t>
        </is>
      </c>
      <c r="E455" s="5" t="inlineStr">
        <is>
          <t>No wash</t>
        </is>
      </c>
      <c r="F455" s="5" t="inlineStr">
        <is>
          <t>No wash</t>
        </is>
      </c>
      <c r="G455" s="4" t="inlineStr">
        <is>
          <t>One step</t>
        </is>
      </c>
      <c r="H455" s="4" t="inlineStr">
        <is>
          <t xml:space="preserve">Pyrolysis </t>
        </is>
      </c>
      <c r="I455" s="4" t="inlineStr">
        <is>
          <t>NaOH</t>
        </is>
      </c>
      <c r="J455" s="4" t="n">
        <v>120</v>
      </c>
      <c r="K455" s="4" t="n">
        <v>3</v>
      </c>
      <c r="L455" s="4" t="n">
        <v>750</v>
      </c>
      <c r="M455" s="4" t="inlineStr">
        <is>
          <t>No</t>
        </is>
      </c>
      <c r="N455" s="4" t="inlineStr">
        <is>
          <t>No</t>
        </is>
      </c>
      <c r="O455" s="4" t="inlineStr">
        <is>
          <t>No</t>
        </is>
      </c>
      <c r="P455" s="4" t="inlineStr">
        <is>
          <t>No</t>
        </is>
      </c>
      <c r="Q455" s="4" t="inlineStr">
        <is>
          <t>No</t>
        </is>
      </c>
      <c r="R455" s="4" t="n">
        <v>336</v>
      </c>
      <c r="S455" s="4" t="n">
        <v>0.35</v>
      </c>
      <c r="T455" s="23" t="n">
        <v>1.02</v>
      </c>
      <c r="U455" s="4" t="n"/>
      <c r="V455" s="4" t="n"/>
      <c r="W455" s="4" t="n"/>
      <c r="X455" s="4" t="n">
        <v>78.7</v>
      </c>
      <c r="Y455" s="29" t="inlineStr">
        <is>
          <t>[113]</t>
        </is>
      </c>
    </row>
    <row r="456" ht="15" customHeight="1">
      <c r="A456" s="5" t="inlineStr">
        <is>
          <t>Waste shrimp skin</t>
        </is>
      </c>
      <c r="B456" s="5" t="inlineStr">
        <is>
          <t>No</t>
        </is>
      </c>
      <c r="C456" s="5" t="inlineStr">
        <is>
          <t>No wash</t>
        </is>
      </c>
      <c r="D456" s="5" t="inlineStr">
        <is>
          <t>No wash</t>
        </is>
      </c>
      <c r="E456" s="5" t="inlineStr">
        <is>
          <t>No wash</t>
        </is>
      </c>
      <c r="F456" s="5" t="inlineStr">
        <is>
          <t>No wash</t>
        </is>
      </c>
      <c r="G456" s="4" t="inlineStr">
        <is>
          <t>One step</t>
        </is>
      </c>
      <c r="H456" s="4" t="inlineStr">
        <is>
          <t xml:space="preserve">Pyrolysis </t>
        </is>
      </c>
      <c r="I456" s="4" t="n"/>
      <c r="J456" s="4" t="n">
        <v>120</v>
      </c>
      <c r="K456" s="4" t="n">
        <v>10</v>
      </c>
      <c r="L456" s="4" t="n">
        <v>600</v>
      </c>
      <c r="M456" s="4" t="inlineStr">
        <is>
          <t>No</t>
        </is>
      </c>
      <c r="N456" s="4" t="inlineStr">
        <is>
          <t>No</t>
        </is>
      </c>
      <c r="O456" s="4" t="inlineStr">
        <is>
          <t>No</t>
        </is>
      </c>
      <c r="P456" s="4" t="inlineStr">
        <is>
          <t>No</t>
        </is>
      </c>
      <c r="Q456" s="4" t="inlineStr">
        <is>
          <t>No</t>
        </is>
      </c>
      <c r="R456" s="4" t="n">
        <v>539</v>
      </c>
      <c r="S456" s="4" t="n">
        <v>0.371</v>
      </c>
      <c r="T456" s="23" t="n">
        <v>0.85</v>
      </c>
      <c r="U456" s="4" t="n"/>
      <c r="V456" s="4" t="n"/>
      <c r="W456" s="4" t="n">
        <v>0.5600000000000001</v>
      </c>
      <c r="X456" s="4" t="n">
        <v>75.3</v>
      </c>
      <c r="Y456" s="29" t="inlineStr">
        <is>
          <t>[114]</t>
        </is>
      </c>
    </row>
    <row r="457" ht="15" customHeight="1">
      <c r="A457" s="5" t="inlineStr">
        <is>
          <t>Waste shrimp skin</t>
        </is>
      </c>
      <c r="B457" s="5" t="inlineStr">
        <is>
          <t>No</t>
        </is>
      </c>
      <c r="C457" s="5" t="inlineStr">
        <is>
          <t>No wash</t>
        </is>
      </c>
      <c r="D457" s="5" t="inlineStr">
        <is>
          <t>No wash</t>
        </is>
      </c>
      <c r="E457" s="5" t="inlineStr">
        <is>
          <t>No wash</t>
        </is>
      </c>
      <c r="F457" s="5" t="inlineStr">
        <is>
          <t>No wash</t>
        </is>
      </c>
      <c r="G457" s="4" t="inlineStr">
        <is>
          <t>One step</t>
        </is>
      </c>
      <c r="H457" s="4" t="inlineStr">
        <is>
          <t xml:space="preserve">Pyrolysis </t>
        </is>
      </c>
      <c r="I457" s="4" t="n"/>
      <c r="J457" s="4" t="n">
        <v>120</v>
      </c>
      <c r="K457" s="4" t="n">
        <v>10</v>
      </c>
      <c r="L457" s="4" t="n">
        <v>700</v>
      </c>
      <c r="M457" s="4" t="inlineStr">
        <is>
          <t>No</t>
        </is>
      </c>
      <c r="N457" s="4" t="inlineStr">
        <is>
          <t>No</t>
        </is>
      </c>
      <c r="O457" s="4" t="inlineStr">
        <is>
          <t>No</t>
        </is>
      </c>
      <c r="P457" s="4" t="inlineStr">
        <is>
          <t>No</t>
        </is>
      </c>
      <c r="Q457" s="4" t="inlineStr">
        <is>
          <t>No</t>
        </is>
      </c>
      <c r="R457" s="4" t="n">
        <v>531</v>
      </c>
      <c r="S457" s="4" t="n">
        <v>0.366</v>
      </c>
      <c r="T457" s="23" t="n">
        <v>0.9399999999999999</v>
      </c>
      <c r="U457" s="4" t="n"/>
      <c r="V457" s="4" t="n"/>
      <c r="W457" s="4" t="n">
        <v>0.61</v>
      </c>
      <c r="X457" s="4" t="n">
        <v>78.09999999999999</v>
      </c>
      <c r="Y457" s="29" t="inlineStr">
        <is>
          <t>[114]</t>
        </is>
      </c>
    </row>
    <row r="458" ht="15" customHeight="1">
      <c r="A458" s="5" t="inlineStr">
        <is>
          <t>Waste shrimp skin</t>
        </is>
      </c>
      <c r="B458" s="5" t="inlineStr">
        <is>
          <t>No</t>
        </is>
      </c>
      <c r="C458" s="5" t="inlineStr">
        <is>
          <t>No wash</t>
        </is>
      </c>
      <c r="D458" s="5" t="inlineStr">
        <is>
          <t>No wash</t>
        </is>
      </c>
      <c r="E458" s="5" t="inlineStr">
        <is>
          <t>No wash</t>
        </is>
      </c>
      <c r="F458" s="5" t="inlineStr">
        <is>
          <t>No wash</t>
        </is>
      </c>
      <c r="G458" s="4" t="inlineStr">
        <is>
          <t>One step</t>
        </is>
      </c>
      <c r="H458" s="4" t="inlineStr">
        <is>
          <t xml:space="preserve">Pyrolysis </t>
        </is>
      </c>
      <c r="I458" s="4" t="n"/>
      <c r="J458" s="4" t="n">
        <v>120</v>
      </c>
      <c r="K458" s="4" t="n">
        <v>10</v>
      </c>
      <c r="L458" s="4" t="n">
        <v>800</v>
      </c>
      <c r="M458" s="4" t="inlineStr">
        <is>
          <t>No</t>
        </is>
      </c>
      <c r="N458" s="4" t="inlineStr">
        <is>
          <t>No</t>
        </is>
      </c>
      <c r="O458" s="4" t="inlineStr">
        <is>
          <t>No</t>
        </is>
      </c>
      <c r="P458" s="4" t="inlineStr">
        <is>
          <t>No</t>
        </is>
      </c>
      <c r="Q458" s="4" t="inlineStr">
        <is>
          <t>No</t>
        </is>
      </c>
      <c r="R458" s="4" t="n">
        <v>508</v>
      </c>
      <c r="S458" s="4" t="n">
        <v>0.363</v>
      </c>
      <c r="T458" s="23" t="n">
        <v>0.93</v>
      </c>
      <c r="U458" s="4" t="n"/>
      <c r="V458" s="4" t="n"/>
      <c r="W458" s="4" t="n">
        <v>0.71</v>
      </c>
      <c r="X458" s="4" t="n">
        <v>80.7</v>
      </c>
      <c r="Y458" s="29" t="inlineStr">
        <is>
          <t>[114]</t>
        </is>
      </c>
    </row>
    <row r="459" ht="15" customHeight="1">
      <c r="A459" s="5" t="inlineStr">
        <is>
          <t>Waste shrimp skin</t>
        </is>
      </c>
      <c r="B459" s="5" t="inlineStr">
        <is>
          <t>No</t>
        </is>
      </c>
      <c r="C459" s="5" t="inlineStr">
        <is>
          <t>No wash</t>
        </is>
      </c>
      <c r="D459" s="5" t="inlineStr">
        <is>
          <t>No wash</t>
        </is>
      </c>
      <c r="E459" s="5" t="inlineStr">
        <is>
          <t>No wash</t>
        </is>
      </c>
      <c r="F459" s="5" t="inlineStr">
        <is>
          <t>No wash</t>
        </is>
      </c>
      <c r="G459" s="4" t="inlineStr">
        <is>
          <t>One step</t>
        </is>
      </c>
      <c r="H459" s="4" t="inlineStr">
        <is>
          <t xml:space="preserve">Pyrolysis </t>
        </is>
      </c>
      <c r="I459" s="4" t="n"/>
      <c r="J459" s="4" t="n">
        <v>120</v>
      </c>
      <c r="K459" s="4" t="n">
        <v>10</v>
      </c>
      <c r="L459" s="4" t="n">
        <v>900</v>
      </c>
      <c r="M459" s="4" t="inlineStr">
        <is>
          <t>No</t>
        </is>
      </c>
      <c r="N459" s="4" t="inlineStr">
        <is>
          <t>No</t>
        </is>
      </c>
      <c r="O459" s="4" t="inlineStr">
        <is>
          <t>No</t>
        </is>
      </c>
      <c r="P459" s="4" t="inlineStr">
        <is>
          <t>No</t>
        </is>
      </c>
      <c r="Q459" s="4" t="inlineStr">
        <is>
          <t>No</t>
        </is>
      </c>
      <c r="R459" s="4" t="n">
        <v>467</v>
      </c>
      <c r="S459" s="4" t="n">
        <v>0.359</v>
      </c>
      <c r="T459" s="23" t="n">
        <v>0.92</v>
      </c>
      <c r="U459" s="4" t="n"/>
      <c r="V459" s="4" t="n"/>
      <c r="W459" s="4" t="n">
        <v>0.8</v>
      </c>
      <c r="X459" s="4" t="n">
        <v>81.8</v>
      </c>
      <c r="Y459" s="29" t="inlineStr">
        <is>
          <t>[114]</t>
        </is>
      </c>
    </row>
    <row r="460" ht="15" customHeight="1">
      <c r="A460" s="4" t="inlineStr">
        <is>
          <t>Sisal hemp</t>
        </is>
      </c>
      <c r="B460" s="5" t="inlineStr">
        <is>
          <t>1.6M Hydrazine hydrate</t>
        </is>
      </c>
      <c r="C460" s="5" t="inlineStr">
        <is>
          <t>Acid wash</t>
        </is>
      </c>
      <c r="D460" s="5" t="inlineStr">
        <is>
          <t>Mild</t>
        </is>
      </c>
      <c r="E460" s="5" t="inlineStr">
        <is>
          <t>No wash</t>
        </is>
      </c>
      <c r="F460" s="5" t="inlineStr">
        <is>
          <t>No wash</t>
        </is>
      </c>
      <c r="G460" s="4" t="inlineStr">
        <is>
          <t>Two step</t>
        </is>
      </c>
      <c r="H460" s="4" t="inlineStr">
        <is>
          <t xml:space="preserve">HTC </t>
        </is>
      </c>
      <c r="I460" s="4" t="inlineStr">
        <is>
          <t>HCl</t>
        </is>
      </c>
      <c r="J460" s="4" t="n">
        <v>720</v>
      </c>
      <c r="K460" s="4" t="n"/>
      <c r="L460" s="4" t="n">
        <v>160</v>
      </c>
      <c r="M460" s="4" t="inlineStr">
        <is>
          <t xml:space="preserve">Pyrolysis </t>
        </is>
      </c>
      <c r="N460" s="4" t="inlineStr">
        <is>
          <t>No</t>
        </is>
      </c>
      <c r="O460" s="4" t="n">
        <v>120</v>
      </c>
      <c r="P460" s="4" t="inlineStr">
        <is>
          <t>No</t>
        </is>
      </c>
      <c r="Q460" s="4" t="n">
        <v>1100</v>
      </c>
      <c r="R460" s="4" t="n">
        <v>2.25</v>
      </c>
      <c r="S460" s="4" t="n">
        <v>0.383</v>
      </c>
      <c r="T460" s="23" t="n">
        <v>0.895</v>
      </c>
      <c r="U460" s="4" t="n"/>
      <c r="V460" s="4" t="n"/>
      <c r="W460" s="4" t="n">
        <v>0.003</v>
      </c>
      <c r="X460" s="4" t="n">
        <v>93.61</v>
      </c>
      <c r="Y460" s="29" t="inlineStr">
        <is>
          <t>[115]</t>
        </is>
      </c>
    </row>
    <row r="461" ht="15" customHeight="1">
      <c r="A461" s="4" t="inlineStr">
        <is>
          <t>Sisal hemp</t>
        </is>
      </c>
      <c r="B461" s="5" t="inlineStr">
        <is>
          <t>1.6M Hydrazine hydrate</t>
        </is>
      </c>
      <c r="C461" s="5" t="inlineStr">
        <is>
          <t>Acid wash</t>
        </is>
      </c>
      <c r="D461" s="5" t="inlineStr">
        <is>
          <t>Mild</t>
        </is>
      </c>
      <c r="E461" s="5" t="inlineStr">
        <is>
          <t>No wash</t>
        </is>
      </c>
      <c r="F461" s="5" t="inlineStr">
        <is>
          <t>No wash</t>
        </is>
      </c>
      <c r="G461" s="4" t="inlineStr">
        <is>
          <t>Two step</t>
        </is>
      </c>
      <c r="H461" s="4" t="inlineStr">
        <is>
          <t xml:space="preserve">HTC </t>
        </is>
      </c>
      <c r="I461" s="4" t="inlineStr">
        <is>
          <t>HCl</t>
        </is>
      </c>
      <c r="J461" s="4" t="n">
        <v>720</v>
      </c>
      <c r="K461" s="4" t="n"/>
      <c r="L461" s="4" t="n">
        <v>160</v>
      </c>
      <c r="M461" s="4" t="inlineStr">
        <is>
          <t xml:space="preserve">Pyrolysis </t>
        </is>
      </c>
      <c r="N461" s="4" t="inlineStr">
        <is>
          <t>No</t>
        </is>
      </c>
      <c r="O461" s="4" t="n">
        <v>120</v>
      </c>
      <c r="P461" s="4" t="inlineStr">
        <is>
          <t>No</t>
        </is>
      </c>
      <c r="Q461" s="4" t="n">
        <v>1300</v>
      </c>
      <c r="R461" s="4" t="n">
        <v>28.65</v>
      </c>
      <c r="S461" s="4" t="n">
        <v>0.367</v>
      </c>
      <c r="T461" s="23" t="n">
        <v>0.905</v>
      </c>
      <c r="U461" s="4" t="n"/>
      <c r="V461" s="4" t="n"/>
      <c r="W461" s="4" t="n">
        <v>0.006</v>
      </c>
      <c r="X461" s="4" t="n">
        <v>94.18000000000001</v>
      </c>
      <c r="Y461" s="29" t="inlineStr">
        <is>
          <t>[115]</t>
        </is>
      </c>
    </row>
    <row r="462" ht="15" customHeight="1">
      <c r="A462" s="4" t="inlineStr">
        <is>
          <t>Sisal hemp</t>
        </is>
      </c>
      <c r="B462" s="5" t="inlineStr">
        <is>
          <t>1.6M Hydrazine hydrate</t>
        </is>
      </c>
      <c r="C462" s="5" t="inlineStr">
        <is>
          <t>Acid wash</t>
        </is>
      </c>
      <c r="D462" s="5" t="inlineStr">
        <is>
          <t>Mild</t>
        </is>
      </c>
      <c r="E462" s="5" t="inlineStr">
        <is>
          <t>No wash</t>
        </is>
      </c>
      <c r="F462" s="5" t="inlineStr">
        <is>
          <t>No wash</t>
        </is>
      </c>
      <c r="G462" s="4" t="inlineStr">
        <is>
          <t>Two step</t>
        </is>
      </c>
      <c r="H462" s="4" t="inlineStr">
        <is>
          <t xml:space="preserve">HTC </t>
        </is>
      </c>
      <c r="I462" s="4" t="inlineStr">
        <is>
          <t>HCl</t>
        </is>
      </c>
      <c r="J462" s="4" t="n">
        <v>720</v>
      </c>
      <c r="K462" s="4" t="n"/>
      <c r="L462" s="4" t="n">
        <v>160</v>
      </c>
      <c r="M462" s="4" t="inlineStr">
        <is>
          <t xml:space="preserve">Pyrolysis </t>
        </is>
      </c>
      <c r="N462" s="4" t="inlineStr">
        <is>
          <t>No</t>
        </is>
      </c>
      <c r="O462" s="4" t="n">
        <v>120</v>
      </c>
      <c r="P462" s="4" t="inlineStr">
        <is>
          <t>No</t>
        </is>
      </c>
      <c r="Q462" s="4" t="n">
        <v>1500</v>
      </c>
      <c r="R462" s="4" t="n">
        <v>4.67</v>
      </c>
      <c r="S462" s="4" t="n">
        <v>0.365</v>
      </c>
      <c r="T462" s="23" t="n">
        <v>0.916</v>
      </c>
      <c r="U462" s="4" t="n"/>
      <c r="V462" s="4" t="n"/>
      <c r="W462" s="4" t="n">
        <v>0.005</v>
      </c>
      <c r="X462" s="4" t="n">
        <v>95.31999999999999</v>
      </c>
      <c r="Y462" s="29" t="inlineStr">
        <is>
          <t>[115]</t>
        </is>
      </c>
    </row>
    <row r="463" ht="15" customHeight="1">
      <c r="A463" s="5" t="inlineStr">
        <is>
          <t xml:space="preserve">Corn Strarch </t>
        </is>
      </c>
      <c r="B463" s="5" t="inlineStr">
        <is>
          <t>No</t>
        </is>
      </c>
      <c r="C463" s="5" t="inlineStr">
        <is>
          <t>No wash</t>
        </is>
      </c>
      <c r="D463" s="5" t="inlineStr">
        <is>
          <t>No wash</t>
        </is>
      </c>
      <c r="E463" s="5" t="inlineStr">
        <is>
          <t>No wash</t>
        </is>
      </c>
      <c r="F463" s="5" t="inlineStr">
        <is>
          <t>No wash</t>
        </is>
      </c>
      <c r="G463" s="4" t="inlineStr">
        <is>
          <t>Two step</t>
        </is>
      </c>
      <c r="H463" s="4" t="inlineStr">
        <is>
          <t xml:space="preserve">Pyrolysis </t>
        </is>
      </c>
      <c r="I463" s="4" t="inlineStr">
        <is>
          <t>NaOH</t>
        </is>
      </c>
      <c r="J463" s="4" t="n">
        <v>120</v>
      </c>
      <c r="K463" s="4" t="n">
        <v>5</v>
      </c>
      <c r="L463" s="4" t="n">
        <v>600</v>
      </c>
      <c r="M463" s="4" t="inlineStr">
        <is>
          <t xml:space="preserve">Pyrolysis </t>
        </is>
      </c>
      <c r="N463" s="4" t="inlineStr">
        <is>
          <t>No</t>
        </is>
      </c>
      <c r="O463" s="4" t="n">
        <v>120</v>
      </c>
      <c r="P463" s="30" t="inlineStr">
        <is>
          <t>5 n 2</t>
        </is>
      </c>
      <c r="Q463" s="4" t="n">
        <v>1100</v>
      </c>
      <c r="R463" s="4" t="n">
        <v>3.88</v>
      </c>
      <c r="S463" s="4" t="n">
        <v>0.398</v>
      </c>
      <c r="T463" s="23">
        <f>1/1.76</f>
        <v/>
      </c>
      <c r="U463" s="4" t="n">
        <v>4.05</v>
      </c>
      <c r="V463" s="4" t="n">
        <v>1.19</v>
      </c>
      <c r="W463" s="4" t="n">
        <v>0.009900000000000001</v>
      </c>
      <c r="X463" s="4" t="n"/>
      <c r="Y463" s="29" t="inlineStr">
        <is>
          <t>[116]</t>
        </is>
      </c>
    </row>
    <row r="464" ht="15" customHeight="1">
      <c r="A464" s="5" t="inlineStr">
        <is>
          <t xml:space="preserve">Corn Strarch </t>
        </is>
      </c>
      <c r="B464" s="5" t="inlineStr">
        <is>
          <t>No</t>
        </is>
      </c>
      <c r="C464" s="5" t="inlineStr">
        <is>
          <t>No wash</t>
        </is>
      </c>
      <c r="D464" s="5" t="inlineStr">
        <is>
          <t>No wash</t>
        </is>
      </c>
      <c r="E464" s="5" t="inlineStr">
        <is>
          <t>No wash</t>
        </is>
      </c>
      <c r="F464" s="5" t="inlineStr">
        <is>
          <t>No wash</t>
        </is>
      </c>
      <c r="G464" s="4" t="inlineStr">
        <is>
          <t>Two step</t>
        </is>
      </c>
      <c r="H464" s="4" t="inlineStr">
        <is>
          <t xml:space="preserve">Pyrolysis </t>
        </is>
      </c>
      <c r="I464" s="4" t="inlineStr">
        <is>
          <t>NaOH</t>
        </is>
      </c>
      <c r="J464" s="4" t="n">
        <v>120</v>
      </c>
      <c r="K464" s="4" t="n">
        <v>5</v>
      </c>
      <c r="L464" s="4" t="n">
        <v>600</v>
      </c>
      <c r="M464" s="4" t="inlineStr">
        <is>
          <t xml:space="preserve">Pyrolysis </t>
        </is>
      </c>
      <c r="N464" s="4" t="inlineStr">
        <is>
          <t>No</t>
        </is>
      </c>
      <c r="O464" s="4" t="n">
        <v>120</v>
      </c>
      <c r="P464" s="30" t="inlineStr">
        <is>
          <t>5 n 2</t>
        </is>
      </c>
      <c r="Q464" s="4" t="n">
        <v>1300</v>
      </c>
      <c r="R464" s="4" t="n">
        <v>2.35</v>
      </c>
      <c r="S464" s="4" t="n">
        <v>0.385</v>
      </c>
      <c r="T464" s="23">
        <f>1/1.64</f>
        <v/>
      </c>
      <c r="U464" s="4" t="n">
        <v>5.16</v>
      </c>
      <c r="V464" s="4" t="n">
        <v>1.34</v>
      </c>
      <c r="W464" s="4" t="n">
        <v>0.0056</v>
      </c>
      <c r="X464" s="4" t="n"/>
      <c r="Y464" s="29" t="inlineStr">
        <is>
          <t>[116]</t>
        </is>
      </c>
    </row>
    <row r="465" ht="15" customHeight="1">
      <c r="A465" s="5" t="inlineStr">
        <is>
          <t xml:space="preserve">Corn Strarch </t>
        </is>
      </c>
      <c r="B465" s="5" t="inlineStr">
        <is>
          <t>No</t>
        </is>
      </c>
      <c r="C465" s="5" t="inlineStr">
        <is>
          <t>No wash</t>
        </is>
      </c>
      <c r="D465" s="5" t="inlineStr">
        <is>
          <t>No wash</t>
        </is>
      </c>
      <c r="E465" s="5" t="inlineStr">
        <is>
          <t>No wash</t>
        </is>
      </c>
      <c r="F465" s="5" t="inlineStr">
        <is>
          <t>No wash</t>
        </is>
      </c>
      <c r="G465" s="4" t="inlineStr">
        <is>
          <t>Two step</t>
        </is>
      </c>
      <c r="H465" s="4" t="inlineStr">
        <is>
          <t xml:space="preserve">Pyrolysis </t>
        </is>
      </c>
      <c r="I465" s="4" t="inlineStr">
        <is>
          <t>NaOH</t>
        </is>
      </c>
      <c r="J465" s="4" t="n">
        <v>120</v>
      </c>
      <c r="K465" s="4" t="n">
        <v>5</v>
      </c>
      <c r="L465" s="4" t="n">
        <v>600</v>
      </c>
      <c r="M465" s="4" t="inlineStr">
        <is>
          <t xml:space="preserve">Pyrolysis </t>
        </is>
      </c>
      <c r="N465" s="4" t="inlineStr">
        <is>
          <t>No</t>
        </is>
      </c>
      <c r="O465" s="4" t="n">
        <v>120</v>
      </c>
      <c r="P465" s="30" t="inlineStr">
        <is>
          <t>5 n 2</t>
        </is>
      </c>
      <c r="Q465" s="4" t="n">
        <v>1500</v>
      </c>
      <c r="R465" s="4" t="n">
        <v>1.84</v>
      </c>
      <c r="S465" s="4" t="n">
        <v>0.374</v>
      </c>
      <c r="T465" s="23">
        <f>1/1.21</f>
        <v/>
      </c>
      <c r="U465" s="4" t="n">
        <v>5.37</v>
      </c>
      <c r="V465" s="4" t="n">
        <v>1.7</v>
      </c>
      <c r="W465" s="4" t="n">
        <v>0.0055</v>
      </c>
      <c r="X465" s="4" t="n"/>
      <c r="Y465" s="29" t="inlineStr">
        <is>
          <t>[116]</t>
        </is>
      </c>
    </row>
    <row r="466" ht="15" customHeight="1">
      <c r="A466" s="5" t="inlineStr">
        <is>
          <t>Alkali Lignin</t>
        </is>
      </c>
      <c r="B466" s="5" t="inlineStr">
        <is>
          <t>No</t>
        </is>
      </c>
      <c r="C466" s="5" t="inlineStr">
        <is>
          <t>No wash</t>
        </is>
      </c>
      <c r="D466" s="5" t="inlineStr">
        <is>
          <t>No wash</t>
        </is>
      </c>
      <c r="E466" s="5" t="inlineStr">
        <is>
          <t>No wash</t>
        </is>
      </c>
      <c r="F466" s="5" t="inlineStr">
        <is>
          <t>No wash</t>
        </is>
      </c>
      <c r="G466" s="4" t="inlineStr">
        <is>
          <t>One step</t>
        </is>
      </c>
      <c r="H466" s="4" t="inlineStr">
        <is>
          <t xml:space="preserve">Pyrolysis </t>
        </is>
      </c>
      <c r="I466" s="4" t="inlineStr">
        <is>
          <t>No</t>
        </is>
      </c>
      <c r="J466" s="4" t="n">
        <v>180</v>
      </c>
      <c r="K466" s="4" t="n">
        <v>2</v>
      </c>
      <c r="L466" s="4" t="n">
        <v>1300</v>
      </c>
      <c r="M466" s="4" t="inlineStr">
        <is>
          <t>No</t>
        </is>
      </c>
      <c r="N466" s="4" t="inlineStr">
        <is>
          <t>No</t>
        </is>
      </c>
      <c r="O466" s="4" t="inlineStr">
        <is>
          <t>No</t>
        </is>
      </c>
      <c r="P466" s="4" t="inlineStr">
        <is>
          <t>No</t>
        </is>
      </c>
      <c r="Q466" s="4" t="inlineStr">
        <is>
          <t>No</t>
        </is>
      </c>
      <c r="R466" s="4" t="n">
        <v>1.72</v>
      </c>
      <c r="S466" s="4" t="n">
        <v>0.382</v>
      </c>
      <c r="T466" s="23">
        <f>1/1.45</f>
        <v/>
      </c>
      <c r="U466" s="4" t="n">
        <v>14.46</v>
      </c>
      <c r="V466" s="4" t="n">
        <v>1.04</v>
      </c>
      <c r="W466" s="4" t="n">
        <v>0.003</v>
      </c>
      <c r="X466" s="4" t="n">
        <v>78.59999999999999</v>
      </c>
      <c r="Y466" s="29" t="inlineStr">
        <is>
          <t>[117]</t>
        </is>
      </c>
    </row>
    <row r="467" ht="15" customHeight="1">
      <c r="A467" s="5" t="inlineStr">
        <is>
          <t>Alkali Lignin</t>
        </is>
      </c>
      <c r="B467" s="5" t="inlineStr">
        <is>
          <t>H2O2, 6%</t>
        </is>
      </c>
      <c r="C467" s="5" t="n"/>
      <c r="D467" s="5" t="n"/>
      <c r="E467" s="5" t="n"/>
      <c r="F467" s="5" t="n"/>
      <c r="G467" s="4" t="inlineStr">
        <is>
          <t>One step</t>
        </is>
      </c>
      <c r="H467" s="4" t="inlineStr">
        <is>
          <t xml:space="preserve">Pyrolysis </t>
        </is>
      </c>
      <c r="I467" s="4" t="inlineStr">
        <is>
          <t>No</t>
        </is>
      </c>
      <c r="J467" s="4" t="n">
        <v>180</v>
      </c>
      <c r="K467" s="4" t="n">
        <v>2</v>
      </c>
      <c r="L467" s="4" t="n">
        <v>1300</v>
      </c>
      <c r="M467" s="4" t="inlineStr">
        <is>
          <t>No</t>
        </is>
      </c>
      <c r="N467" s="4" t="inlineStr">
        <is>
          <t>No</t>
        </is>
      </c>
      <c r="O467" s="4" t="inlineStr">
        <is>
          <t>No</t>
        </is>
      </c>
      <c r="P467" s="4" t="inlineStr">
        <is>
          <t>No</t>
        </is>
      </c>
      <c r="Q467" s="4" t="inlineStr">
        <is>
          <t>No</t>
        </is>
      </c>
      <c r="R467" s="4" t="n">
        <v>2.51</v>
      </c>
      <c r="S467" s="4" t="n">
        <v>0.389</v>
      </c>
      <c r="T467" s="23">
        <f>1/1.68</f>
        <v/>
      </c>
      <c r="U467" s="4" t="n">
        <v>12.65</v>
      </c>
      <c r="V467" s="4" t="n">
        <v>1.13</v>
      </c>
      <c r="W467" s="4" t="n">
        <v>0.004</v>
      </c>
      <c r="X467" s="4" t="n">
        <v>77.65000000000001</v>
      </c>
      <c r="Y467" s="29" t="inlineStr">
        <is>
          <t>[117]</t>
        </is>
      </c>
    </row>
    <row r="468" ht="15" customHeight="1">
      <c r="A468" s="5" t="inlineStr">
        <is>
          <t>BHC</t>
        </is>
      </c>
      <c r="B468" s="5" t="inlineStr">
        <is>
          <t>NaOH at 90C</t>
        </is>
      </c>
      <c r="C468" s="5" t="inlineStr">
        <is>
          <t>Alkali wash</t>
        </is>
      </c>
      <c r="D468" s="5" t="inlineStr">
        <is>
          <t>Mild</t>
        </is>
      </c>
      <c r="E468" s="5" t="inlineStr">
        <is>
          <t>No wash</t>
        </is>
      </c>
      <c r="F468" s="5" t="inlineStr">
        <is>
          <t>No wash</t>
        </is>
      </c>
      <c r="G468" s="4" t="inlineStr">
        <is>
          <t>One step</t>
        </is>
      </c>
      <c r="H468" s="4" t="inlineStr">
        <is>
          <t xml:space="preserve">Pyrolysis </t>
        </is>
      </c>
      <c r="I468" s="4" t="inlineStr">
        <is>
          <t>No</t>
        </is>
      </c>
      <c r="J468" s="4" t="n">
        <v>360</v>
      </c>
      <c r="K468" s="4" t="n">
        <v>5</v>
      </c>
      <c r="L468" s="4" t="n">
        <v>1300</v>
      </c>
      <c r="M468" s="4" t="inlineStr">
        <is>
          <t>No</t>
        </is>
      </c>
      <c r="N468" s="4" t="inlineStr">
        <is>
          <t>No</t>
        </is>
      </c>
      <c r="O468" s="4" t="inlineStr">
        <is>
          <t>No</t>
        </is>
      </c>
      <c r="P468" s="4" t="inlineStr">
        <is>
          <t>No</t>
        </is>
      </c>
      <c r="Q468" s="4" t="inlineStr">
        <is>
          <t>No</t>
        </is>
      </c>
      <c r="R468" s="4" t="n">
        <v>3.59</v>
      </c>
      <c r="S468" s="4" t="n">
        <v>0.395</v>
      </c>
      <c r="T468" s="23">
        <f>1/1.95</f>
        <v/>
      </c>
      <c r="U468" s="4" t="n"/>
      <c r="V468" s="4" t="n"/>
      <c r="W468" s="4" t="n">
        <v>0.011</v>
      </c>
      <c r="X468" s="4" t="n">
        <v>86.09999999999999</v>
      </c>
      <c r="Y468" s="4" t="inlineStr">
        <is>
          <t>[118]</t>
        </is>
      </c>
    </row>
    <row r="469" ht="15" customHeight="1">
      <c r="A469" s="5" t="inlineStr">
        <is>
          <t>Bamboo powder</t>
        </is>
      </c>
      <c r="B469" s="5" t="inlineStr">
        <is>
          <t>2M HCl</t>
        </is>
      </c>
      <c r="C469" s="5" t="inlineStr">
        <is>
          <t>Acid wash</t>
        </is>
      </c>
      <c r="D469" s="5" t="inlineStr">
        <is>
          <t>Mild</t>
        </is>
      </c>
      <c r="E469" s="5" t="inlineStr">
        <is>
          <t>No wash</t>
        </is>
      </c>
      <c r="F469" s="5" t="inlineStr">
        <is>
          <t>No wash</t>
        </is>
      </c>
      <c r="G469" s="4" t="inlineStr">
        <is>
          <t>Two step</t>
        </is>
      </c>
      <c r="H469" s="4" t="inlineStr">
        <is>
          <t xml:space="preserve">Pyrolysis </t>
        </is>
      </c>
      <c r="I469" s="4" t="inlineStr">
        <is>
          <t>No</t>
        </is>
      </c>
      <c r="J469" s="4" t="n">
        <v>300</v>
      </c>
      <c r="K469" s="4" t="n">
        <v>4</v>
      </c>
      <c r="L469" s="4" t="n">
        <v>400</v>
      </c>
      <c r="M469" s="4" t="inlineStr">
        <is>
          <t xml:space="preserve">Pyrolysis </t>
        </is>
      </c>
      <c r="N469" s="4" t="inlineStr">
        <is>
          <t>No</t>
        </is>
      </c>
      <c r="O469" s="4" t="n">
        <v>120</v>
      </c>
      <c r="P469" s="4" t="n">
        <v>5</v>
      </c>
      <c r="Q469" s="4" t="n">
        <v>1000</v>
      </c>
      <c r="R469" s="4" t="n">
        <v>61.14</v>
      </c>
      <c r="S469" s="4" t="n">
        <v>0.397</v>
      </c>
      <c r="T469" s="23">
        <f>1/2.56</f>
        <v/>
      </c>
      <c r="U469" s="4" t="n"/>
      <c r="V469" s="4" t="n"/>
      <c r="W469" s="4" t="n">
        <v>0.062</v>
      </c>
      <c r="X469" s="4" t="n"/>
      <c r="Y469" s="4" t="inlineStr">
        <is>
          <t>[119]</t>
        </is>
      </c>
    </row>
    <row r="470" ht="15" customHeight="1">
      <c r="A470" s="5" t="inlineStr">
        <is>
          <t>Bamboo powder</t>
        </is>
      </c>
      <c r="B470" s="5" t="inlineStr">
        <is>
          <t>2M HCl</t>
        </is>
      </c>
      <c r="C470" s="5" t="inlineStr">
        <is>
          <t>Acid wash</t>
        </is>
      </c>
      <c r="D470" s="5" t="inlineStr">
        <is>
          <t>Mild</t>
        </is>
      </c>
      <c r="E470" s="5" t="inlineStr">
        <is>
          <t>No wash</t>
        </is>
      </c>
      <c r="F470" s="5" t="inlineStr">
        <is>
          <t>No wash</t>
        </is>
      </c>
      <c r="G470" s="4" t="inlineStr">
        <is>
          <t>Two step</t>
        </is>
      </c>
      <c r="H470" s="4" t="inlineStr">
        <is>
          <t xml:space="preserve">Pyrolysis </t>
        </is>
      </c>
      <c r="I470" s="4" t="inlineStr">
        <is>
          <t>No</t>
        </is>
      </c>
      <c r="J470" s="4" t="n">
        <v>300</v>
      </c>
      <c r="K470" s="4" t="n">
        <v>4</v>
      </c>
      <c r="L470" s="4" t="n">
        <v>400</v>
      </c>
      <c r="M470" s="4" t="inlineStr">
        <is>
          <t xml:space="preserve">Pyrolysis </t>
        </is>
      </c>
      <c r="N470" s="4" t="inlineStr">
        <is>
          <t>No</t>
        </is>
      </c>
      <c r="O470" s="4" t="n">
        <v>120</v>
      </c>
      <c r="P470" s="4" t="n">
        <v>5</v>
      </c>
      <c r="Q470" s="4" t="n">
        <v>1200</v>
      </c>
      <c r="R470" s="4" t="n">
        <v>35.02</v>
      </c>
      <c r="S470" s="4" t="n">
        <v>0.387</v>
      </c>
      <c r="T470" s="23">
        <f>1/2.01</f>
        <v/>
      </c>
      <c r="U470" s="4" t="n"/>
      <c r="V470" s="4" t="n"/>
      <c r="W470" s="4" t="n">
        <v>0.029</v>
      </c>
      <c r="X470" s="4" t="n"/>
      <c r="Y470" s="4" t="inlineStr">
        <is>
          <t>[119]</t>
        </is>
      </c>
    </row>
    <row r="471" ht="15" customHeight="1">
      <c r="A471" s="5" t="inlineStr">
        <is>
          <t>Bamboo powder</t>
        </is>
      </c>
      <c r="B471" s="5" t="inlineStr">
        <is>
          <t>2M HCl</t>
        </is>
      </c>
      <c r="C471" s="5" t="inlineStr">
        <is>
          <t>Acid wash</t>
        </is>
      </c>
      <c r="D471" s="5" t="inlineStr">
        <is>
          <t>Mild</t>
        </is>
      </c>
      <c r="E471" s="5" t="inlineStr">
        <is>
          <t>No wash</t>
        </is>
      </c>
      <c r="F471" s="5" t="inlineStr">
        <is>
          <t>No wash</t>
        </is>
      </c>
      <c r="G471" s="4" t="inlineStr">
        <is>
          <t>Two step</t>
        </is>
      </c>
      <c r="H471" s="4" t="inlineStr">
        <is>
          <t xml:space="preserve">Pyrolysis </t>
        </is>
      </c>
      <c r="I471" s="4" t="inlineStr">
        <is>
          <t>No</t>
        </is>
      </c>
      <c r="J471" s="4" t="n">
        <v>300</v>
      </c>
      <c r="K471" s="4" t="n">
        <v>4</v>
      </c>
      <c r="L471" s="4" t="n">
        <v>400</v>
      </c>
      <c r="M471" s="4" t="inlineStr">
        <is>
          <t xml:space="preserve">Pyrolysis </t>
        </is>
      </c>
      <c r="N471" s="4" t="inlineStr">
        <is>
          <t>No</t>
        </is>
      </c>
      <c r="O471" s="4" t="n">
        <v>120</v>
      </c>
      <c r="P471" s="4" t="n">
        <v>5</v>
      </c>
      <c r="Q471" s="4" t="n">
        <v>1400</v>
      </c>
      <c r="R471" s="4" t="n">
        <v>10.78</v>
      </c>
      <c r="S471" s="4" t="n">
        <v>0.382</v>
      </c>
      <c r="T471" s="23">
        <f>1/1.7</f>
        <v/>
      </c>
      <c r="U471" s="4" t="n"/>
      <c r="V471" s="4" t="n"/>
      <c r="W471" s="4" t="n">
        <v>0.02</v>
      </c>
      <c r="X471" s="4" t="n"/>
      <c r="Y471" s="4" t="inlineStr">
        <is>
          <t>[119]</t>
        </is>
      </c>
    </row>
    <row r="472" ht="15" customHeight="1">
      <c r="A472" s="5" t="inlineStr">
        <is>
          <t>Bamboo powder</t>
        </is>
      </c>
      <c r="B472" s="5" t="inlineStr">
        <is>
          <t>2M HCl</t>
        </is>
      </c>
      <c r="C472" s="5" t="inlineStr">
        <is>
          <t>Acid wash</t>
        </is>
      </c>
      <c r="D472" s="5" t="inlineStr">
        <is>
          <t>Mild</t>
        </is>
      </c>
      <c r="E472" s="5" t="inlineStr">
        <is>
          <t>No wash</t>
        </is>
      </c>
      <c r="F472" s="5" t="inlineStr">
        <is>
          <t>No wash</t>
        </is>
      </c>
      <c r="G472" s="4" t="inlineStr">
        <is>
          <t>Two step</t>
        </is>
      </c>
      <c r="H472" s="4" t="inlineStr">
        <is>
          <t xml:space="preserve">Pyrolysis </t>
        </is>
      </c>
      <c r="I472" s="4" t="inlineStr">
        <is>
          <t>No</t>
        </is>
      </c>
      <c r="J472" s="4" t="n">
        <v>300</v>
      </c>
      <c r="K472" s="4" t="n">
        <v>4</v>
      </c>
      <c r="L472" s="4" t="n">
        <v>400</v>
      </c>
      <c r="M472" s="4" t="inlineStr">
        <is>
          <t xml:space="preserve">Pyrolysis </t>
        </is>
      </c>
      <c r="N472" s="4" t="inlineStr">
        <is>
          <t>No</t>
        </is>
      </c>
      <c r="O472" s="4" t="n">
        <v>120</v>
      </c>
      <c r="P472" s="4" t="n">
        <v>5</v>
      </c>
      <c r="Q472" s="4" t="n">
        <v>1600</v>
      </c>
      <c r="R472" s="4" t="n">
        <v>10.48</v>
      </c>
      <c r="S472" s="4" t="n">
        <v>0.378</v>
      </c>
      <c r="T472" s="23">
        <f>1/1.51</f>
        <v/>
      </c>
      <c r="U472" s="4" t="n"/>
      <c r="V472" s="4" t="n"/>
      <c r="W472" s="4" t="n">
        <v>0.011</v>
      </c>
      <c r="X472" s="4" t="n"/>
      <c r="Y472" s="4" t="inlineStr">
        <is>
          <t>[119]</t>
        </is>
      </c>
    </row>
    <row r="473" ht="15" customHeight="1">
      <c r="A473" s="4" t="inlineStr">
        <is>
          <t>Sucrose</t>
        </is>
      </c>
      <c r="B473" s="5" t="inlineStr">
        <is>
          <t>No</t>
        </is>
      </c>
      <c r="C473" s="5" t="inlineStr">
        <is>
          <t>No wash</t>
        </is>
      </c>
      <c r="D473" s="5" t="inlineStr">
        <is>
          <t>No wash</t>
        </is>
      </c>
      <c r="E473" s="5" t="inlineStr">
        <is>
          <t>No wash</t>
        </is>
      </c>
      <c r="F473" s="5" t="inlineStr">
        <is>
          <t>No wash</t>
        </is>
      </c>
      <c r="G473" s="4" t="inlineStr">
        <is>
          <t>One step</t>
        </is>
      </c>
      <c r="H473" s="4" t="inlineStr">
        <is>
          <t xml:space="preserve">Pyrolysis </t>
        </is>
      </c>
      <c r="I473" s="4" t="inlineStr">
        <is>
          <t>No</t>
        </is>
      </c>
      <c r="J473" s="4" t="n">
        <v>480</v>
      </c>
      <c r="K473" s="4" t="n"/>
      <c r="L473" s="4" t="n">
        <v>1300</v>
      </c>
      <c r="M473" s="4" t="inlineStr">
        <is>
          <t>No</t>
        </is>
      </c>
      <c r="N473" s="4" t="inlineStr">
        <is>
          <t>No</t>
        </is>
      </c>
      <c r="O473" s="4" t="inlineStr">
        <is>
          <t>No</t>
        </is>
      </c>
      <c r="P473" s="4" t="inlineStr">
        <is>
          <t>No</t>
        </is>
      </c>
      <c r="Q473" s="4" t="inlineStr">
        <is>
          <t>No</t>
        </is>
      </c>
      <c r="R473" s="4" t="n">
        <v>164.6</v>
      </c>
      <c r="S473" s="4" t="n">
        <v>0.384</v>
      </c>
      <c r="T473" s="23">
        <f>1/1.69</f>
        <v/>
      </c>
      <c r="U473" s="4" t="n">
        <v>1.8</v>
      </c>
      <c r="V473" s="4" t="n">
        <v>0.77</v>
      </c>
      <c r="W473" s="4" t="n">
        <v>0.082</v>
      </c>
      <c r="X473" s="4" t="n">
        <v>94.42</v>
      </c>
      <c r="Y473" s="29" t="inlineStr">
        <is>
          <t>[120]</t>
        </is>
      </c>
    </row>
    <row r="474" ht="15" customHeight="1">
      <c r="A474" s="4" t="inlineStr">
        <is>
          <t>Sucrose</t>
        </is>
      </c>
      <c r="B474" s="5" t="inlineStr">
        <is>
          <t>No</t>
        </is>
      </c>
      <c r="C474" s="5" t="inlineStr">
        <is>
          <t>No wash</t>
        </is>
      </c>
      <c r="D474" s="5" t="inlineStr">
        <is>
          <t>No wash</t>
        </is>
      </c>
      <c r="E474" s="5" t="inlineStr">
        <is>
          <t>No wash</t>
        </is>
      </c>
      <c r="F474" s="5" t="inlineStr">
        <is>
          <t>No wash</t>
        </is>
      </c>
      <c r="G474" s="4" t="inlineStr">
        <is>
          <t>Two step</t>
        </is>
      </c>
      <c r="H474" s="4" t="inlineStr">
        <is>
          <t>HTC</t>
        </is>
      </c>
      <c r="I474" s="4" t="inlineStr">
        <is>
          <t>No</t>
        </is>
      </c>
      <c r="J474" s="4" t="n">
        <v>480</v>
      </c>
      <c r="K474" s="4" t="n">
        <v>5</v>
      </c>
      <c r="L474" s="4" t="n">
        <v>450</v>
      </c>
      <c r="M474" s="4" t="inlineStr">
        <is>
          <t xml:space="preserve">Pyrolysis </t>
        </is>
      </c>
      <c r="N474" s="4" t="inlineStr">
        <is>
          <t>No</t>
        </is>
      </c>
      <c r="O474" s="4" t="n">
        <v>480</v>
      </c>
      <c r="P474" s="4" t="n"/>
      <c r="Q474" s="4" t="n">
        <v>1300</v>
      </c>
      <c r="R474" s="4" t="n">
        <v>16.5</v>
      </c>
      <c r="S474" s="4" t="n">
        <v>0.394</v>
      </c>
      <c r="T474" s="23">
        <f>1/2.2</f>
        <v/>
      </c>
      <c r="U474" s="4" t="n">
        <v>1.63</v>
      </c>
      <c r="V474" s="4" t="n">
        <v>0.63</v>
      </c>
      <c r="W474" s="4" t="n">
        <v>0.012</v>
      </c>
      <c r="X474" s="4" t="n">
        <v>93.8</v>
      </c>
      <c r="Y474" s="29" t="inlineStr">
        <is>
          <t>[120]</t>
        </is>
      </c>
    </row>
    <row r="475" ht="15" customHeight="1">
      <c r="A475" s="4" t="inlineStr">
        <is>
          <t>Sucrose</t>
        </is>
      </c>
      <c r="B475" s="5" t="inlineStr">
        <is>
          <t>No</t>
        </is>
      </c>
      <c r="C475" s="5" t="inlineStr">
        <is>
          <t>No wash</t>
        </is>
      </c>
      <c r="D475" s="5" t="inlineStr">
        <is>
          <t>No wash</t>
        </is>
      </c>
      <c r="E475" s="5" t="inlineStr">
        <is>
          <t>No wash</t>
        </is>
      </c>
      <c r="F475" s="5" t="inlineStr">
        <is>
          <t>No wash</t>
        </is>
      </c>
      <c r="G475" s="4" t="inlineStr">
        <is>
          <t>Two step</t>
        </is>
      </c>
      <c r="H475" s="4" t="inlineStr">
        <is>
          <t>HTC</t>
        </is>
      </c>
      <c r="I475" s="4" t="inlineStr">
        <is>
          <t>No</t>
        </is>
      </c>
      <c r="J475" s="4" t="n">
        <v>480</v>
      </c>
      <c r="K475" s="4" t="n">
        <v>3</v>
      </c>
      <c r="L475" s="4" t="n">
        <v>450</v>
      </c>
      <c r="M475" s="4" t="inlineStr">
        <is>
          <t xml:space="preserve">Pyrolysis </t>
        </is>
      </c>
      <c r="N475" s="4" t="inlineStr">
        <is>
          <t>No</t>
        </is>
      </c>
      <c r="O475" s="4" t="n">
        <v>480</v>
      </c>
      <c r="P475" s="4" t="n"/>
      <c r="Q475" s="4" t="n">
        <v>1300</v>
      </c>
      <c r="R475" s="4" t="n">
        <v>20.6</v>
      </c>
      <c r="S475" s="4" t="n">
        <v>0.395</v>
      </c>
      <c r="T475" s="23">
        <f>1/2.03</f>
        <v/>
      </c>
      <c r="U475" s="4" t="n">
        <v>1.55</v>
      </c>
      <c r="V475" s="4" t="n">
        <v>0.57</v>
      </c>
      <c r="W475" s="4" t="n">
        <v>0.014</v>
      </c>
      <c r="X475" s="4" t="n">
        <v>92.91</v>
      </c>
      <c r="Y475" s="29" t="inlineStr">
        <is>
          <t>[120]</t>
        </is>
      </c>
    </row>
    <row r="476" ht="15" customHeight="1">
      <c r="A476" s="4" t="inlineStr">
        <is>
          <t>Sourdaw husk</t>
        </is>
      </c>
      <c r="B476" s="5" t="inlineStr">
        <is>
          <t>Citric acid (4:1)</t>
        </is>
      </c>
      <c r="C476" s="5" t="inlineStr">
        <is>
          <t>Acid wash</t>
        </is>
      </c>
      <c r="D476" s="5" t="inlineStr">
        <is>
          <t>Mild</t>
        </is>
      </c>
      <c r="E476" s="5" t="inlineStr">
        <is>
          <t>No wash</t>
        </is>
      </c>
      <c r="F476" s="5" t="inlineStr">
        <is>
          <t>No wash</t>
        </is>
      </c>
      <c r="G476" s="4" t="inlineStr">
        <is>
          <t>Two step</t>
        </is>
      </c>
      <c r="H476" s="4" t="inlineStr">
        <is>
          <t xml:space="preserve">Pyrolysis </t>
        </is>
      </c>
      <c r="I476" s="4" t="inlineStr">
        <is>
          <t>No</t>
        </is>
      </c>
      <c r="J476" s="4" t="n">
        <v>180</v>
      </c>
      <c r="K476" s="4" t="n">
        <v>2</v>
      </c>
      <c r="L476" s="4" t="n">
        <v>600</v>
      </c>
      <c r="M476" s="4" t="inlineStr">
        <is>
          <t xml:space="preserve">Pyrolysis </t>
        </is>
      </c>
      <c r="N476" s="4" t="inlineStr">
        <is>
          <t>HCl</t>
        </is>
      </c>
      <c r="O476" s="4" t="n">
        <v>180</v>
      </c>
      <c r="P476" s="4" t="n">
        <v>2</v>
      </c>
      <c r="Q476" s="4" t="n">
        <v>1500</v>
      </c>
      <c r="R476" s="4" t="n">
        <v>13.285</v>
      </c>
      <c r="S476" s="4" t="n">
        <v>0.375</v>
      </c>
      <c r="T476" s="23">
        <f>1/1.61</f>
        <v/>
      </c>
      <c r="U476" s="4" t="n">
        <v>3.076</v>
      </c>
      <c r="V476" s="4" t="n">
        <v>1.074</v>
      </c>
      <c r="W476" s="4" t="n"/>
      <c r="X476" s="4" t="n">
        <v>97.93000000000001</v>
      </c>
      <c r="Y476" s="29" t="inlineStr">
        <is>
          <t>[121]</t>
        </is>
      </c>
    </row>
    <row r="477" ht="15" customHeight="1">
      <c r="A477" s="4" t="inlineStr">
        <is>
          <t>Sorghum husk</t>
        </is>
      </c>
      <c r="B477" s="5" t="inlineStr">
        <is>
          <t>No</t>
        </is>
      </c>
      <c r="C477" s="5" t="inlineStr">
        <is>
          <t>No wash</t>
        </is>
      </c>
      <c r="D477" s="5" t="inlineStr">
        <is>
          <t>No wash</t>
        </is>
      </c>
      <c r="E477" s="5" t="inlineStr">
        <is>
          <t>No wash</t>
        </is>
      </c>
      <c r="F477" s="5" t="inlineStr">
        <is>
          <t>No wash</t>
        </is>
      </c>
      <c r="G477" s="4" t="inlineStr">
        <is>
          <t>Two step</t>
        </is>
      </c>
      <c r="H477" s="4" t="inlineStr">
        <is>
          <t>HTC</t>
        </is>
      </c>
      <c r="I477" s="4" t="inlineStr">
        <is>
          <t>HNO3</t>
        </is>
      </c>
      <c r="J477" s="4" t="n">
        <v>480</v>
      </c>
      <c r="K477" s="4" t="n"/>
      <c r="L477" s="4" t="n">
        <v>180</v>
      </c>
      <c r="M477" s="4" t="inlineStr">
        <is>
          <t xml:space="preserve">Pyrolysis </t>
        </is>
      </c>
      <c r="N477" s="4" t="inlineStr">
        <is>
          <t>No</t>
        </is>
      </c>
      <c r="O477" s="4" t="n">
        <v>180</v>
      </c>
      <c r="P477" s="4" t="n">
        <v>5</v>
      </c>
      <c r="Q477" s="4" t="n">
        <v>1200</v>
      </c>
      <c r="R477" s="4" t="n">
        <v>96.43000000000001</v>
      </c>
      <c r="S477" s="4" t="n">
        <v>0.375</v>
      </c>
      <c r="T477" s="23" t="n">
        <v>0.9</v>
      </c>
      <c r="U477" s="4" t="n"/>
      <c r="V477" s="4" t="n"/>
      <c r="W477" s="4" t="n">
        <v>0.037</v>
      </c>
      <c r="X477" s="4" t="n">
        <v>81.67</v>
      </c>
      <c r="Y477" s="29" t="inlineStr">
        <is>
          <t>[122]</t>
        </is>
      </c>
    </row>
    <row r="478" ht="15" customHeight="1">
      <c r="A478" s="4" t="inlineStr">
        <is>
          <t>Sugar cane basggase</t>
        </is>
      </c>
      <c r="B478" s="5" t="inlineStr">
        <is>
          <t>Water wash</t>
        </is>
      </c>
      <c r="C478" s="5" t="inlineStr">
        <is>
          <t>No wash</t>
        </is>
      </c>
      <c r="D478" s="5" t="inlineStr">
        <is>
          <t>No wash</t>
        </is>
      </c>
      <c r="E478" s="5" t="inlineStr">
        <is>
          <t>No wash</t>
        </is>
      </c>
      <c r="F478" s="5" t="inlineStr">
        <is>
          <t>No wash</t>
        </is>
      </c>
      <c r="G478" s="4" t="inlineStr">
        <is>
          <t>Two step</t>
        </is>
      </c>
      <c r="H478" s="4" t="inlineStr">
        <is>
          <t xml:space="preserve">Pyrolysis </t>
        </is>
      </c>
      <c r="I478" s="4" t="inlineStr">
        <is>
          <t>No</t>
        </is>
      </c>
      <c r="J478" s="4" t="n">
        <v>240</v>
      </c>
      <c r="K478" s="4" t="n">
        <v>2.5</v>
      </c>
      <c r="L478" s="4" t="n">
        <v>360</v>
      </c>
      <c r="M478" s="4" t="inlineStr">
        <is>
          <t xml:space="preserve">Pyrolysis </t>
        </is>
      </c>
      <c r="N478" s="4" t="inlineStr">
        <is>
          <t>No</t>
        </is>
      </c>
      <c r="O478" s="4" t="n">
        <v>120</v>
      </c>
      <c r="P478" s="4" t="n"/>
      <c r="Q478" s="4" t="n">
        <v>1300</v>
      </c>
      <c r="R478" s="4" t="n">
        <v>10.61</v>
      </c>
      <c r="S478" s="4" t="n">
        <v>0.387</v>
      </c>
      <c r="T478" s="23">
        <f>1/1.33</f>
        <v/>
      </c>
      <c r="U478" s="4" t="n"/>
      <c r="V478" s="4" t="n"/>
      <c r="W478" s="4" t="n"/>
      <c r="X478" s="4" t="n">
        <v>90.64</v>
      </c>
      <c r="Y478" s="29" t="inlineStr">
        <is>
          <t>[123]</t>
        </is>
      </c>
    </row>
    <row r="479" ht="15" customHeight="1">
      <c r="A479" s="4" t="inlineStr">
        <is>
          <t>Straw</t>
        </is>
      </c>
      <c r="B479" s="5" t="inlineStr">
        <is>
          <t>Water wash</t>
        </is>
      </c>
      <c r="C479" s="5" t="inlineStr">
        <is>
          <t>No wash</t>
        </is>
      </c>
      <c r="D479" s="5" t="inlineStr">
        <is>
          <t>No wash</t>
        </is>
      </c>
      <c r="E479" s="5" t="inlineStr">
        <is>
          <t>No wash</t>
        </is>
      </c>
      <c r="F479" s="5" t="inlineStr">
        <is>
          <t>No wash</t>
        </is>
      </c>
      <c r="G479" s="4" t="inlineStr">
        <is>
          <t>Two step</t>
        </is>
      </c>
      <c r="H479" s="4" t="inlineStr">
        <is>
          <t xml:space="preserve">Pyrolysis </t>
        </is>
      </c>
      <c r="I479" s="4" t="inlineStr">
        <is>
          <t>No</t>
        </is>
      </c>
      <c r="J479" s="4" t="n">
        <v>240</v>
      </c>
      <c r="K479" s="4" t="n">
        <v>2.5</v>
      </c>
      <c r="L479" s="4" t="n">
        <v>360</v>
      </c>
      <c r="M479" s="4" t="inlineStr">
        <is>
          <t xml:space="preserve">Pyrolysis </t>
        </is>
      </c>
      <c r="N479" s="4" t="inlineStr">
        <is>
          <t>No</t>
        </is>
      </c>
      <c r="O479" s="4" t="n">
        <v>120</v>
      </c>
      <c r="P479" s="4" t="n"/>
      <c r="Q479" s="4" t="n">
        <v>1300</v>
      </c>
      <c r="R479" s="4" t="n">
        <v>16.37</v>
      </c>
      <c r="S479" s="4" t="n">
        <v>0.373</v>
      </c>
      <c r="T479" s="23">
        <f>1/1.45</f>
        <v/>
      </c>
      <c r="U479" s="4" t="n"/>
      <c r="V479" s="4" t="n"/>
      <c r="W479" s="4" t="n"/>
      <c r="X479" s="4" t="n">
        <v>91.67</v>
      </c>
      <c r="Y479" s="29" t="inlineStr">
        <is>
          <t>[123]</t>
        </is>
      </c>
    </row>
    <row r="480" ht="15" customHeight="1">
      <c r="A480" s="4" t="inlineStr">
        <is>
          <t>Rice husk</t>
        </is>
      </c>
      <c r="B480" s="5" t="inlineStr">
        <is>
          <t>Water wash</t>
        </is>
      </c>
      <c r="C480" s="5" t="inlineStr">
        <is>
          <t>No wash</t>
        </is>
      </c>
      <c r="D480" s="5" t="inlineStr">
        <is>
          <t>No wash</t>
        </is>
      </c>
      <c r="E480" s="5" t="inlineStr">
        <is>
          <t>No wash</t>
        </is>
      </c>
      <c r="F480" s="5" t="inlineStr">
        <is>
          <t>No wash</t>
        </is>
      </c>
      <c r="G480" s="4" t="inlineStr">
        <is>
          <t>Two step</t>
        </is>
      </c>
      <c r="H480" s="4" t="inlineStr">
        <is>
          <t xml:space="preserve">Pyrolysis </t>
        </is>
      </c>
      <c r="I480" s="4" t="inlineStr">
        <is>
          <t>No</t>
        </is>
      </c>
      <c r="J480" s="4" t="n">
        <v>240</v>
      </c>
      <c r="K480" s="4" t="n">
        <v>2.5</v>
      </c>
      <c r="L480" s="4" t="n">
        <v>360</v>
      </c>
      <c r="M480" s="4" t="inlineStr">
        <is>
          <t xml:space="preserve">Pyrolysis </t>
        </is>
      </c>
      <c r="N480" s="4" t="inlineStr">
        <is>
          <t>No</t>
        </is>
      </c>
      <c r="O480" s="4" t="n">
        <v>120</v>
      </c>
      <c r="P480" s="4" t="n"/>
      <c r="Q480" s="4" t="n">
        <v>1300</v>
      </c>
      <c r="R480" s="4" t="n">
        <v>17.96</v>
      </c>
      <c r="S480" s="4" t="n">
        <v>0.381</v>
      </c>
      <c r="T480" s="23">
        <f>1/1.52</f>
        <v/>
      </c>
      <c r="U480" s="4" t="n"/>
      <c r="V480" s="4" t="n"/>
      <c r="W480" s="4" t="n"/>
      <c r="X480" s="4" t="n">
        <v>89.95999999999999</v>
      </c>
      <c r="Y480" s="29" t="inlineStr">
        <is>
          <t>[123]</t>
        </is>
      </c>
    </row>
    <row r="481" ht="15" customHeight="1">
      <c r="A481" s="4" t="inlineStr">
        <is>
          <t>Bamboo wood powder</t>
        </is>
      </c>
      <c r="B481" s="5" t="inlineStr">
        <is>
          <t>Water wash</t>
        </is>
      </c>
      <c r="C481" s="5" t="inlineStr">
        <is>
          <t>No wash</t>
        </is>
      </c>
      <c r="D481" s="5" t="inlineStr">
        <is>
          <t>No wash</t>
        </is>
      </c>
      <c r="E481" s="5" t="inlineStr">
        <is>
          <t>No wash</t>
        </is>
      </c>
      <c r="F481" s="5" t="inlineStr">
        <is>
          <t>No wash</t>
        </is>
      </c>
      <c r="G481" s="4" t="inlineStr">
        <is>
          <t>Two step</t>
        </is>
      </c>
      <c r="H481" s="4" t="inlineStr">
        <is>
          <t xml:space="preserve">Pyrolysis </t>
        </is>
      </c>
      <c r="I481" s="4" t="inlineStr">
        <is>
          <t>No</t>
        </is>
      </c>
      <c r="J481" s="4" t="n">
        <v>240</v>
      </c>
      <c r="K481" s="4" t="n">
        <v>2.5</v>
      </c>
      <c r="L481" s="4" t="n">
        <v>360</v>
      </c>
      <c r="M481" s="4" t="inlineStr">
        <is>
          <t xml:space="preserve">Pyrolysis </t>
        </is>
      </c>
      <c r="N481" s="4" t="inlineStr">
        <is>
          <t>No</t>
        </is>
      </c>
      <c r="O481" s="4" t="n">
        <v>120</v>
      </c>
      <c r="P481" s="4" t="n"/>
      <c r="Q481" s="4" t="n">
        <v>1300</v>
      </c>
      <c r="R481" s="4" t="n">
        <v>13.62</v>
      </c>
      <c r="S481" s="4" t="n">
        <v>0.385</v>
      </c>
      <c r="T481" s="23">
        <f>1/1.18</f>
        <v/>
      </c>
      <c r="U481" s="4" t="n"/>
      <c r="V481" s="4" t="n"/>
      <c r="W481" s="4" t="n"/>
      <c r="X481" s="4" t="n">
        <v>89.81</v>
      </c>
      <c r="Y481" s="29" t="inlineStr">
        <is>
          <t>[123]</t>
        </is>
      </c>
    </row>
    <row r="482" ht="15" customHeight="1">
      <c r="A482" s="4" t="inlineStr">
        <is>
          <t>Coconut shells</t>
        </is>
      </c>
      <c r="B482" s="5" t="inlineStr">
        <is>
          <t>No</t>
        </is>
      </c>
      <c r="C482" s="5" t="inlineStr">
        <is>
          <t>No wash</t>
        </is>
      </c>
      <c r="D482" s="5" t="inlineStr">
        <is>
          <t>No wash</t>
        </is>
      </c>
      <c r="E482" s="5" t="inlineStr">
        <is>
          <t>No wash</t>
        </is>
      </c>
      <c r="F482" s="5" t="inlineStr">
        <is>
          <t>No wash</t>
        </is>
      </c>
      <c r="G482" s="4" t="inlineStr">
        <is>
          <t>Two step</t>
        </is>
      </c>
      <c r="H482" s="4" t="inlineStr">
        <is>
          <t xml:space="preserve">Pyrolysis </t>
        </is>
      </c>
      <c r="I482" s="4" t="inlineStr">
        <is>
          <t>No</t>
        </is>
      </c>
      <c r="J482" s="4" t="n">
        <v>120</v>
      </c>
      <c r="K482" s="4" t="n"/>
      <c r="L482" s="4" t="n">
        <v>1300</v>
      </c>
      <c r="M482" s="4" t="inlineStr">
        <is>
          <t xml:space="preserve">Pyrolysis </t>
        </is>
      </c>
      <c r="N482" s="4" t="inlineStr">
        <is>
          <t>Urea</t>
        </is>
      </c>
      <c r="O482" s="4" t="n">
        <v>120</v>
      </c>
      <c r="P482" s="4" t="n">
        <v>5</v>
      </c>
      <c r="Q482" s="4" t="n">
        <v>300</v>
      </c>
      <c r="R482" s="4" t="n">
        <v>24.52</v>
      </c>
      <c r="S482" s="4" t="n">
        <v>0.39</v>
      </c>
      <c r="T482" s="23">
        <f>1/1.27</f>
        <v/>
      </c>
      <c r="U482" s="4" t="n"/>
      <c r="V482" s="4" t="n"/>
      <c r="W482" s="4" t="n">
        <v>0.04</v>
      </c>
      <c r="X482" s="4" t="n">
        <v>82.78</v>
      </c>
      <c r="Y482" s="29" t="inlineStr">
        <is>
          <t>[124]</t>
        </is>
      </c>
    </row>
    <row r="483" ht="15" customHeight="1">
      <c r="A483" s="4" t="inlineStr">
        <is>
          <t>Coconut shells</t>
        </is>
      </c>
      <c r="B483" s="5" t="inlineStr">
        <is>
          <t>No</t>
        </is>
      </c>
      <c r="C483" s="5" t="inlineStr">
        <is>
          <t>No wash</t>
        </is>
      </c>
      <c r="D483" s="5" t="inlineStr">
        <is>
          <t>No wash</t>
        </is>
      </c>
      <c r="E483" s="5" t="inlineStr">
        <is>
          <t>No wash</t>
        </is>
      </c>
      <c r="F483" s="5" t="inlineStr">
        <is>
          <t>No wash</t>
        </is>
      </c>
      <c r="G483" s="4" t="inlineStr">
        <is>
          <t>Two step</t>
        </is>
      </c>
      <c r="H483" s="4" t="inlineStr">
        <is>
          <t xml:space="preserve">Pyrolysis </t>
        </is>
      </c>
      <c r="I483" s="4" t="inlineStr">
        <is>
          <t>No</t>
        </is>
      </c>
      <c r="J483" s="4" t="n">
        <v>120</v>
      </c>
      <c r="K483" s="4" t="n"/>
      <c r="L483" s="4" t="n">
        <v>1300</v>
      </c>
      <c r="M483" s="4" t="inlineStr">
        <is>
          <t xml:space="preserve">Pyrolysis </t>
        </is>
      </c>
      <c r="N483" s="4" t="inlineStr">
        <is>
          <t>Urea</t>
        </is>
      </c>
      <c r="O483" s="4" t="n">
        <v>120</v>
      </c>
      <c r="P483" s="4" t="n">
        <v>5</v>
      </c>
      <c r="Q483" s="4" t="n">
        <v>300</v>
      </c>
      <c r="R483" s="4" t="n">
        <v>8.09</v>
      </c>
      <c r="S483" s="4" t="n">
        <v>0.38</v>
      </c>
      <c r="T483" s="23">
        <f>1/1.12</f>
        <v/>
      </c>
      <c r="U483" s="4" t="n"/>
      <c r="V483" s="4" t="n"/>
      <c r="W483" s="4" t="n">
        <v>0.01</v>
      </c>
      <c r="X483" s="4" t="n">
        <v>93.98</v>
      </c>
      <c r="Y483" s="29" t="inlineStr">
        <is>
          <t>[124]</t>
        </is>
      </c>
    </row>
    <row r="484" ht="15" customHeight="1">
      <c r="A484" s="4" t="inlineStr">
        <is>
          <t>Camella seeds</t>
        </is>
      </c>
      <c r="B484" s="5" t="inlineStr">
        <is>
          <t>No</t>
        </is>
      </c>
      <c r="C484" s="5" t="inlineStr">
        <is>
          <t>No wash</t>
        </is>
      </c>
      <c r="D484" s="5" t="inlineStr">
        <is>
          <t>No wash</t>
        </is>
      </c>
      <c r="E484" s="5" t="inlineStr">
        <is>
          <t>No wash</t>
        </is>
      </c>
      <c r="F484" s="5" t="inlineStr">
        <is>
          <t>No wash</t>
        </is>
      </c>
      <c r="G484" s="4" t="inlineStr">
        <is>
          <t>Two step</t>
        </is>
      </c>
      <c r="H484" s="4" t="inlineStr">
        <is>
          <t xml:space="preserve">Pyrolysis </t>
        </is>
      </c>
      <c r="I484" s="4" t="inlineStr">
        <is>
          <t>No</t>
        </is>
      </c>
      <c r="J484" s="4" t="n">
        <v>120</v>
      </c>
      <c r="K484" s="4" t="n"/>
      <c r="L484" s="4" t="n">
        <v>600</v>
      </c>
      <c r="M484" s="4" t="inlineStr">
        <is>
          <t xml:space="preserve">Pyrolysis </t>
        </is>
      </c>
      <c r="N484" s="4" t="inlineStr">
        <is>
          <t>HCl</t>
        </is>
      </c>
      <c r="O484" s="4" t="n">
        <v>120</v>
      </c>
      <c r="P484" s="4" t="n"/>
      <c r="Q484" s="4" t="n">
        <v>1300</v>
      </c>
      <c r="R484" s="4" t="n">
        <v>23.1</v>
      </c>
      <c r="S484" s="4" t="n">
        <v>0.377</v>
      </c>
      <c r="T484" s="23">
        <f>1/1.8</f>
        <v/>
      </c>
      <c r="U484" s="4" t="n"/>
      <c r="V484" s="4" t="n"/>
      <c r="W484" s="4" t="n">
        <v>0.045</v>
      </c>
      <c r="X484" s="4" t="n">
        <v>91.22</v>
      </c>
      <c r="Y484" s="4" t="inlineStr">
        <is>
          <t>[125]</t>
        </is>
      </c>
    </row>
    <row r="485" ht="15" customHeight="1">
      <c r="A485" s="4" t="inlineStr">
        <is>
          <t>Reed straw</t>
        </is>
      </c>
      <c r="B485" s="5" t="inlineStr">
        <is>
          <t>5M NaOH and 1.5M HCl</t>
        </is>
      </c>
      <c r="C485" s="5" t="inlineStr">
        <is>
          <t>Alkali wash</t>
        </is>
      </c>
      <c r="D485" s="5" t="inlineStr">
        <is>
          <t>Mild</t>
        </is>
      </c>
      <c r="E485" s="5" t="inlineStr">
        <is>
          <t>No wash</t>
        </is>
      </c>
      <c r="F485" s="5" t="inlineStr">
        <is>
          <t>No wash</t>
        </is>
      </c>
      <c r="G485" s="4" t="inlineStr">
        <is>
          <t>Two step</t>
        </is>
      </c>
      <c r="H485" s="4" t="inlineStr">
        <is>
          <t xml:space="preserve">Pyrolysis </t>
        </is>
      </c>
      <c r="I485" s="4" t="inlineStr">
        <is>
          <t>No</t>
        </is>
      </c>
      <c r="J485" s="4" t="n">
        <v>180</v>
      </c>
      <c r="K485" s="4" t="n">
        <v>10</v>
      </c>
      <c r="L485" s="4" t="n">
        <v>400</v>
      </c>
      <c r="M485" s="4" t="inlineStr">
        <is>
          <t xml:space="preserve">Pyrolysis </t>
        </is>
      </c>
      <c r="N485" s="4" t="n"/>
      <c r="O485" s="4" t="n">
        <v>120</v>
      </c>
      <c r="P485" s="4" t="n">
        <v>5</v>
      </c>
      <c r="Q485" s="4" t="n">
        <v>1400</v>
      </c>
      <c r="R485" s="4" t="n">
        <v>10.66</v>
      </c>
      <c r="S485" s="4" t="n">
        <v>0.37</v>
      </c>
      <c r="T485" s="23">
        <f>1/2.57</f>
        <v/>
      </c>
      <c r="U485" s="4" t="n">
        <v>3.652</v>
      </c>
      <c r="V485" s="4" t="n">
        <v>0.959</v>
      </c>
      <c r="W485" s="4" t="n">
        <v>0.031</v>
      </c>
      <c r="X485" s="4" t="n">
        <v>94.51000000000001</v>
      </c>
      <c r="Y485" s="4" t="inlineStr">
        <is>
          <t>[126]</t>
        </is>
      </c>
    </row>
    <row r="486" ht="15" customHeight="1">
      <c r="A486" s="4" t="inlineStr">
        <is>
          <t>Reed straw</t>
        </is>
      </c>
      <c r="B486" s="5" t="inlineStr">
        <is>
          <t>5M NaOH and 1.5M HCl</t>
        </is>
      </c>
      <c r="C486" s="5" t="inlineStr">
        <is>
          <t>Alkali wash</t>
        </is>
      </c>
      <c r="D486" s="5" t="inlineStr">
        <is>
          <t>Mild</t>
        </is>
      </c>
      <c r="E486" s="5" t="inlineStr">
        <is>
          <t>No wash</t>
        </is>
      </c>
      <c r="F486" s="5" t="inlineStr">
        <is>
          <t>No wash</t>
        </is>
      </c>
      <c r="G486" s="4" t="inlineStr">
        <is>
          <t>Two step</t>
        </is>
      </c>
      <c r="H486" s="4" t="inlineStr">
        <is>
          <t xml:space="preserve">Pyrolysis </t>
        </is>
      </c>
      <c r="I486" s="4" t="inlineStr">
        <is>
          <t>No</t>
        </is>
      </c>
      <c r="J486" s="4" t="n">
        <v>180</v>
      </c>
      <c r="K486" s="4" t="n">
        <v>10</v>
      </c>
      <c r="L486" s="4" t="n">
        <v>400</v>
      </c>
      <c r="M486" s="4" t="inlineStr">
        <is>
          <t xml:space="preserve">Pyrolysis </t>
        </is>
      </c>
      <c r="N486" s="4" t="n"/>
      <c r="O486" s="4" t="n">
        <v>120</v>
      </c>
      <c r="P486" s="4" t="n">
        <v>5</v>
      </c>
      <c r="Q486" s="4" t="n">
        <v>1400</v>
      </c>
      <c r="R486" s="4" t="n">
        <v>3.47</v>
      </c>
      <c r="S486" s="4" t="n">
        <v>0.379</v>
      </c>
      <c r="T486" s="23">
        <f>1/2.79</f>
        <v/>
      </c>
      <c r="U486" s="4" t="n">
        <v>3.883</v>
      </c>
      <c r="V486" s="4" t="n">
        <v>1.127</v>
      </c>
      <c r="W486" s="4" t="n">
        <v>0.012</v>
      </c>
      <c r="X486" s="4" t="n">
        <v>93.72</v>
      </c>
      <c r="Y486" s="4" t="inlineStr">
        <is>
          <t>[126]</t>
        </is>
      </c>
    </row>
    <row r="487" ht="15" customHeight="1">
      <c r="A487" s="4" t="inlineStr">
        <is>
          <t>Reed straw</t>
        </is>
      </c>
      <c r="B487" s="5" t="inlineStr">
        <is>
          <t>5M NaOH and 1.5M HCl</t>
        </is>
      </c>
      <c r="C487" s="5" t="inlineStr">
        <is>
          <t>Alkali wash</t>
        </is>
      </c>
      <c r="D487" s="5" t="inlineStr">
        <is>
          <t>Mild</t>
        </is>
      </c>
      <c r="E487" s="5" t="inlineStr">
        <is>
          <t>No wash</t>
        </is>
      </c>
      <c r="F487" s="5" t="inlineStr">
        <is>
          <t>No wash</t>
        </is>
      </c>
      <c r="G487" s="4" t="inlineStr">
        <is>
          <t>Two step</t>
        </is>
      </c>
      <c r="H487" s="4" t="inlineStr">
        <is>
          <t xml:space="preserve">Pyrolysis </t>
        </is>
      </c>
      <c r="I487" s="4" t="inlineStr">
        <is>
          <t>No</t>
        </is>
      </c>
      <c r="J487" s="4" t="n">
        <v>180</v>
      </c>
      <c r="K487" s="4" t="n">
        <v>10</v>
      </c>
      <c r="L487" s="4" t="n">
        <v>400</v>
      </c>
      <c r="M487" s="4" t="inlineStr">
        <is>
          <t xml:space="preserve">Pyrolysis </t>
        </is>
      </c>
      <c r="N487" s="4" t="n"/>
      <c r="O487" s="4" t="n">
        <v>120</v>
      </c>
      <c r="P487" s="4" t="n">
        <v>5</v>
      </c>
      <c r="Q487" s="4" t="n">
        <v>1400</v>
      </c>
      <c r="R487" s="4" t="n">
        <v>4.53</v>
      </c>
      <c r="S487" s="4" t="n">
        <v>0.375</v>
      </c>
      <c r="T487" s="23">
        <f>1/2.72</f>
        <v/>
      </c>
      <c r="U487" s="4" t="n">
        <v>3.472</v>
      </c>
      <c r="V487" s="4" t="n">
        <v>1.058</v>
      </c>
      <c r="W487" s="4" t="n">
        <v>0.015</v>
      </c>
      <c r="X487" s="4" t="n">
        <v>95.45999999999999</v>
      </c>
      <c r="Y487" s="4" t="inlineStr">
        <is>
          <t>[126]</t>
        </is>
      </c>
    </row>
    <row r="488" ht="15" customHeight="1">
      <c r="A488" s="4" t="inlineStr">
        <is>
          <t>Reed straw</t>
        </is>
      </c>
      <c r="B488" s="5" t="inlineStr">
        <is>
          <t>5M NaOH and 1.5M HCl</t>
        </is>
      </c>
      <c r="C488" s="5" t="inlineStr">
        <is>
          <t>Alkali wash</t>
        </is>
      </c>
      <c r="D488" s="5" t="inlineStr">
        <is>
          <t>Mild</t>
        </is>
      </c>
      <c r="E488" s="5" t="inlineStr">
        <is>
          <t>No wash</t>
        </is>
      </c>
      <c r="F488" s="5" t="inlineStr">
        <is>
          <t>No wash</t>
        </is>
      </c>
      <c r="G488" s="4" t="inlineStr">
        <is>
          <t>Two step</t>
        </is>
      </c>
      <c r="H488" s="4" t="inlineStr">
        <is>
          <t xml:space="preserve">Pyrolysis </t>
        </is>
      </c>
      <c r="I488" s="4" t="inlineStr">
        <is>
          <t>No</t>
        </is>
      </c>
      <c r="J488" s="4" t="n">
        <v>180</v>
      </c>
      <c r="K488" s="4" t="n">
        <v>10</v>
      </c>
      <c r="L488" s="4" t="n">
        <v>400</v>
      </c>
      <c r="M488" s="4" t="inlineStr">
        <is>
          <t xml:space="preserve">Pyrolysis </t>
        </is>
      </c>
      <c r="N488" s="4" t="n"/>
      <c r="O488" s="4" t="n">
        <v>120</v>
      </c>
      <c r="P488" s="4" t="n">
        <v>5</v>
      </c>
      <c r="Q488" s="4" t="n">
        <v>1400</v>
      </c>
      <c r="R488" s="4" t="n">
        <v>11.78</v>
      </c>
      <c r="S488" s="4" t="n">
        <v>0.37</v>
      </c>
      <c r="T488" s="23">
        <f>1/2.62</f>
        <v/>
      </c>
      <c r="U488" s="4" t="n">
        <v>3.299</v>
      </c>
      <c r="V488" s="4" t="n">
        <v>1.059</v>
      </c>
      <c r="W488" s="4" t="n">
        <v>0.033</v>
      </c>
      <c r="X488" s="4" t="n">
        <v>93.48999999999999</v>
      </c>
      <c r="Y488" s="4" t="inlineStr">
        <is>
          <t>[126]</t>
        </is>
      </c>
    </row>
    <row r="489" ht="15" customHeight="1">
      <c r="A489" s="4" t="inlineStr">
        <is>
          <t>Reed straw</t>
        </is>
      </c>
      <c r="B489" s="5" t="inlineStr">
        <is>
          <t>5M NaOH and 1.5M HCl</t>
        </is>
      </c>
      <c r="C489" s="5" t="inlineStr">
        <is>
          <t>Alkali wash</t>
        </is>
      </c>
      <c r="D489" s="5" t="inlineStr">
        <is>
          <t>Mild</t>
        </is>
      </c>
      <c r="E489" s="5" t="inlineStr">
        <is>
          <t>No wash</t>
        </is>
      </c>
      <c r="F489" s="5" t="inlineStr">
        <is>
          <t>No wash</t>
        </is>
      </c>
      <c r="G489" s="4" t="inlineStr">
        <is>
          <t>Two step</t>
        </is>
      </c>
      <c r="H489" s="4" t="inlineStr">
        <is>
          <t xml:space="preserve">Pyrolysis </t>
        </is>
      </c>
      <c r="I489" s="4" t="inlineStr">
        <is>
          <t>No</t>
        </is>
      </c>
      <c r="J489" s="4" t="n">
        <v>180</v>
      </c>
      <c r="K489" s="4" t="n">
        <v>10</v>
      </c>
      <c r="L489" s="4" t="n">
        <v>400</v>
      </c>
      <c r="M489" s="4" t="inlineStr">
        <is>
          <t xml:space="preserve">Pyrolysis </t>
        </is>
      </c>
      <c r="N489" s="4" t="n"/>
      <c r="O489" s="4" t="n">
        <v>120</v>
      </c>
      <c r="P489" s="4" t="n">
        <v>5</v>
      </c>
      <c r="Q489" s="4" t="n">
        <v>1400</v>
      </c>
      <c r="R489" s="4" t="n">
        <v>10.57</v>
      </c>
      <c r="S489" s="4" t="n">
        <v>0.369</v>
      </c>
      <c r="T489" s="23">
        <f>1/2.57</f>
        <v/>
      </c>
      <c r="U489" s="4" t="n">
        <v>3.519</v>
      </c>
      <c r="V489" s="4" t="n">
        <v>1.016</v>
      </c>
      <c r="W489" s="4" t="n">
        <v>0.031</v>
      </c>
      <c r="X489" s="4" t="n">
        <v>93.53</v>
      </c>
      <c r="Y489" s="4" t="inlineStr">
        <is>
          <t>[126]</t>
        </is>
      </c>
    </row>
    <row r="490" ht="15" customHeight="1">
      <c r="A490" s="4" t="inlineStr">
        <is>
          <t>Melamine</t>
        </is>
      </c>
      <c r="B490" s="5" t="inlineStr">
        <is>
          <t>No</t>
        </is>
      </c>
      <c r="C490" s="5" t="inlineStr">
        <is>
          <t>No wash</t>
        </is>
      </c>
      <c r="D490" s="5" t="inlineStr">
        <is>
          <t>No wash</t>
        </is>
      </c>
      <c r="E490" s="5" t="inlineStr">
        <is>
          <t>No wash</t>
        </is>
      </c>
      <c r="F490" s="5" t="inlineStr">
        <is>
          <t>No wash</t>
        </is>
      </c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>
        <v>567.3</v>
      </c>
      <c r="S490" s="4" t="n">
        <v>0.38</v>
      </c>
      <c r="T490" s="23">
        <f>1/1.67</f>
        <v/>
      </c>
      <c r="U490" s="4" t="n"/>
      <c r="V490" s="4" t="n">
        <v>0.27</v>
      </c>
      <c r="W490" s="4" t="n"/>
      <c r="X490" s="4" t="n">
        <v>73.23999999999999</v>
      </c>
      <c r="Y490" s="4" t="inlineStr">
        <is>
          <t>[127]</t>
        </is>
      </c>
    </row>
    <row r="491" ht="15" customHeight="1">
      <c r="A491" s="4" t="inlineStr">
        <is>
          <t>Italian Beared</t>
        </is>
      </c>
      <c r="B491" s="5" t="inlineStr">
        <is>
          <t>1M HCl</t>
        </is>
      </c>
      <c r="C491" s="5" t="inlineStr">
        <is>
          <t>Acid wash</t>
        </is>
      </c>
      <c r="D491" s="5" t="inlineStr">
        <is>
          <t>Mild</t>
        </is>
      </c>
      <c r="E491" s="5" t="inlineStr">
        <is>
          <t>No wash</t>
        </is>
      </c>
      <c r="F491" s="5" t="inlineStr">
        <is>
          <t>No wash</t>
        </is>
      </c>
      <c r="G491" s="4" t="inlineStr">
        <is>
          <t>Two step</t>
        </is>
      </c>
      <c r="H491" s="4" t="inlineStr">
        <is>
          <t>Pyrolysis</t>
        </is>
      </c>
      <c r="I491" s="4" t="inlineStr">
        <is>
          <t>No</t>
        </is>
      </c>
      <c r="J491" s="4" t="n">
        <v>120</v>
      </c>
      <c r="K491" s="4" t="n">
        <v>2</v>
      </c>
      <c r="L491" s="4" t="n">
        <v>300</v>
      </c>
      <c r="M491" s="4" t="inlineStr">
        <is>
          <t>Pyrolysis</t>
        </is>
      </c>
      <c r="N491" s="4" t="inlineStr">
        <is>
          <t>No</t>
        </is>
      </c>
      <c r="O491" s="4" t="n">
        <v>120</v>
      </c>
      <c r="P491" s="4" t="n">
        <v>2</v>
      </c>
      <c r="Q491" s="4" t="n">
        <v>1300</v>
      </c>
      <c r="R491" s="4" t="n">
        <v>24.6</v>
      </c>
      <c r="S491" s="4" t="n">
        <v>0.39</v>
      </c>
      <c r="T491" s="23">
        <f>1/1.79</f>
        <v/>
      </c>
      <c r="U491" s="4" t="n">
        <v>1.55</v>
      </c>
      <c r="V491" s="4" t="n">
        <v>0.43</v>
      </c>
      <c r="W491" s="4" t="n"/>
      <c r="X491" s="4" t="n">
        <v>87</v>
      </c>
      <c r="Y491" s="29" t="inlineStr">
        <is>
          <t>[128]</t>
        </is>
      </c>
    </row>
    <row r="492" ht="15" customHeight="1">
      <c r="A492" s="4" t="inlineStr">
        <is>
          <t>Vine Shoots</t>
        </is>
      </c>
      <c r="B492" s="5" t="inlineStr">
        <is>
          <t>Carbon 2M HCl</t>
        </is>
      </c>
      <c r="C492" s="5" t="inlineStr">
        <is>
          <t>No wash</t>
        </is>
      </c>
      <c r="D492" s="5" t="inlineStr">
        <is>
          <t>No wash</t>
        </is>
      </c>
      <c r="E492" s="5" t="inlineStr">
        <is>
          <t>Acid wash</t>
        </is>
      </c>
      <c r="F492" s="5" t="inlineStr">
        <is>
          <t>Mild</t>
        </is>
      </c>
      <c r="G492" s="4" t="inlineStr">
        <is>
          <t>Two step</t>
        </is>
      </c>
      <c r="H492" s="4" t="inlineStr">
        <is>
          <t>HTC</t>
        </is>
      </c>
      <c r="I492" s="4" t="inlineStr">
        <is>
          <t>No</t>
        </is>
      </c>
      <c r="J492" s="4" t="n">
        <v>720</v>
      </c>
      <c r="K492" s="4" t="n">
        <v>5</v>
      </c>
      <c r="L492" s="4" t="n">
        <v>180</v>
      </c>
      <c r="M492" s="4" t="inlineStr">
        <is>
          <t>Pyrolysis</t>
        </is>
      </c>
      <c r="N492" s="4" t="inlineStr">
        <is>
          <t>No</t>
        </is>
      </c>
      <c r="O492" s="4" t="n">
        <v>120</v>
      </c>
      <c r="P492" s="4" t="n">
        <v>5</v>
      </c>
      <c r="Q492" s="4" t="n">
        <v>800</v>
      </c>
      <c r="R492" s="4" t="n">
        <v>82</v>
      </c>
      <c r="S492" s="4" t="n">
        <v>0.385</v>
      </c>
      <c r="T492" s="23">
        <f>1/8.053</f>
        <v/>
      </c>
      <c r="U492" s="4" t="n">
        <v>2.875</v>
      </c>
      <c r="V492" s="4" t="n">
        <v>0.887</v>
      </c>
      <c r="W492" s="4">
        <f>0.122+0.08+0.025</f>
        <v/>
      </c>
      <c r="X492" s="4" t="n">
        <v>93.5</v>
      </c>
      <c r="Y492" s="29" t="inlineStr">
        <is>
          <t>[129]</t>
        </is>
      </c>
    </row>
    <row r="493" ht="15" customHeight="1">
      <c r="A493" s="4" t="inlineStr">
        <is>
          <t>Vine Shoots</t>
        </is>
      </c>
      <c r="B493" s="5" t="inlineStr">
        <is>
          <t>Carbon 2M HCl</t>
        </is>
      </c>
      <c r="C493" s="5" t="inlineStr">
        <is>
          <t>No wash</t>
        </is>
      </c>
      <c r="D493" s="5" t="inlineStr">
        <is>
          <t>No wash</t>
        </is>
      </c>
      <c r="E493" s="5" t="inlineStr">
        <is>
          <t>Acid wash</t>
        </is>
      </c>
      <c r="F493" s="5" t="inlineStr">
        <is>
          <t>Mild</t>
        </is>
      </c>
      <c r="G493" s="4" t="inlineStr">
        <is>
          <t>Two step</t>
        </is>
      </c>
      <c r="H493" s="4" t="inlineStr">
        <is>
          <t>HTC</t>
        </is>
      </c>
      <c r="I493" s="4" t="inlineStr">
        <is>
          <t>No</t>
        </is>
      </c>
      <c r="J493" s="4" t="n">
        <v>720</v>
      </c>
      <c r="K493" s="4" t="n">
        <v>5</v>
      </c>
      <c r="L493" s="4" t="n">
        <v>180</v>
      </c>
      <c r="M493" s="4" t="inlineStr">
        <is>
          <t>Pyrolysis</t>
        </is>
      </c>
      <c r="N493" s="4" t="inlineStr">
        <is>
          <t>No</t>
        </is>
      </c>
      <c r="O493" s="4" t="n">
        <v>120</v>
      </c>
      <c r="P493" s="4" t="n">
        <v>5</v>
      </c>
      <c r="Q493" s="4" t="n">
        <v>1000</v>
      </c>
      <c r="R493" s="4" t="n">
        <v>17</v>
      </c>
      <c r="S493" s="4" t="n">
        <v>0.381</v>
      </c>
      <c r="T493" s="23">
        <f>1/5.689</f>
        <v/>
      </c>
      <c r="U493" s="4" t="n">
        <v>3.822</v>
      </c>
      <c r="V493" s="4" t="n">
        <v>0.874</v>
      </c>
      <c r="W493" s="4">
        <f>0.127+0.062+0.03</f>
        <v/>
      </c>
      <c r="X493" s="4" t="n">
        <v>94.62</v>
      </c>
      <c r="Y493" s="29" t="inlineStr">
        <is>
          <t>[129]</t>
        </is>
      </c>
    </row>
    <row r="494" ht="15" customHeight="1">
      <c r="A494" s="4" t="inlineStr">
        <is>
          <t>Vine Shoots</t>
        </is>
      </c>
      <c r="B494" s="5" t="inlineStr">
        <is>
          <t>Carbon 2M HCl</t>
        </is>
      </c>
      <c r="C494" s="5" t="inlineStr">
        <is>
          <t>No wash</t>
        </is>
      </c>
      <c r="D494" s="5" t="inlineStr">
        <is>
          <t>No wash</t>
        </is>
      </c>
      <c r="E494" s="5" t="inlineStr">
        <is>
          <t>Acid wash</t>
        </is>
      </c>
      <c r="F494" s="5" t="inlineStr">
        <is>
          <t>Mild</t>
        </is>
      </c>
      <c r="G494" s="4" t="inlineStr">
        <is>
          <t>Two step</t>
        </is>
      </c>
      <c r="H494" s="4" t="inlineStr">
        <is>
          <t>HTC</t>
        </is>
      </c>
      <c r="I494" s="4" t="inlineStr">
        <is>
          <t>No</t>
        </is>
      </c>
      <c r="J494" s="4" t="n">
        <v>720</v>
      </c>
      <c r="K494" s="4" t="n">
        <v>5</v>
      </c>
      <c r="L494" s="4" t="n">
        <v>180</v>
      </c>
      <c r="M494" s="4" t="inlineStr">
        <is>
          <t>Pyrolysis</t>
        </is>
      </c>
      <c r="N494" s="4" t="inlineStr">
        <is>
          <t>No</t>
        </is>
      </c>
      <c r="O494" s="4" t="n">
        <v>120</v>
      </c>
      <c r="P494" s="4" t="n">
        <v>5</v>
      </c>
      <c r="Q494" s="4" t="n">
        <v>1200</v>
      </c>
      <c r="R494" s="4" t="n">
        <v>17</v>
      </c>
      <c r="S494" s="4" t="n">
        <v>0.379</v>
      </c>
      <c r="T494" s="23">
        <f>1/4.35</f>
        <v/>
      </c>
      <c r="U494" s="4" t="n">
        <v>4.303</v>
      </c>
      <c r="V494" s="4" t="n">
        <v>0.913</v>
      </c>
      <c r="W494" s="4">
        <f>0.05+0.014+0.032</f>
        <v/>
      </c>
      <c r="X494" s="4" t="n">
        <v>94.02</v>
      </c>
      <c r="Y494" s="29" t="inlineStr">
        <is>
          <t>[129]</t>
        </is>
      </c>
    </row>
    <row r="495" ht="15" customHeight="1">
      <c r="A495" s="4" t="inlineStr">
        <is>
          <t>Vine Shoots</t>
        </is>
      </c>
      <c r="B495" s="5" t="inlineStr">
        <is>
          <t>Carbon 2M HCl</t>
        </is>
      </c>
      <c r="C495" s="5" t="inlineStr">
        <is>
          <t>No wash</t>
        </is>
      </c>
      <c r="D495" s="5" t="inlineStr">
        <is>
          <t>No wash</t>
        </is>
      </c>
      <c r="E495" s="5" t="inlineStr">
        <is>
          <t>Acid wash</t>
        </is>
      </c>
      <c r="F495" s="5" t="inlineStr">
        <is>
          <t>Mild</t>
        </is>
      </c>
      <c r="G495" s="4" t="inlineStr">
        <is>
          <t>Two step</t>
        </is>
      </c>
      <c r="H495" s="4" t="inlineStr">
        <is>
          <t>HTC</t>
        </is>
      </c>
      <c r="I495" s="4" t="inlineStr">
        <is>
          <t>No</t>
        </is>
      </c>
      <c r="J495" s="4" t="n">
        <v>720</v>
      </c>
      <c r="K495" s="4" t="n">
        <v>5</v>
      </c>
      <c r="L495" s="4" t="n">
        <v>180</v>
      </c>
      <c r="M495" s="4" t="inlineStr">
        <is>
          <t>Pyrolysis</t>
        </is>
      </c>
      <c r="N495" s="4" t="inlineStr">
        <is>
          <t>No</t>
        </is>
      </c>
      <c r="O495" s="4" t="n"/>
      <c r="P495" s="4" t="n"/>
      <c r="Q495" s="4" t="n"/>
      <c r="R495" s="4" t="n">
        <v>125</v>
      </c>
      <c r="S495" s="4" t="n">
        <v>0.381</v>
      </c>
      <c r="T495" s="23">
        <f>1/5.232</f>
        <v/>
      </c>
      <c r="U495" s="4" t="n">
        <v>3.653</v>
      </c>
      <c r="V495" s="4" t="n">
        <v>0.955</v>
      </c>
      <c r="W495" s="4">
        <f>0.132+0.094+0.152</f>
        <v/>
      </c>
      <c r="X495" s="4" t="n">
        <v>94.42</v>
      </c>
      <c r="Y495" s="29" t="inlineStr">
        <is>
          <t>[129]</t>
        </is>
      </c>
    </row>
    <row r="496" ht="15" customHeight="1">
      <c r="A496" s="4" t="inlineStr">
        <is>
          <t>Balsa wood</t>
        </is>
      </c>
      <c r="B496" s="5" t="inlineStr">
        <is>
          <t>No</t>
        </is>
      </c>
      <c r="C496" s="5" t="inlineStr">
        <is>
          <t>No wash</t>
        </is>
      </c>
      <c r="D496" s="5" t="inlineStr">
        <is>
          <t>No wash</t>
        </is>
      </c>
      <c r="E496" s="5" t="inlineStr">
        <is>
          <t>No wash</t>
        </is>
      </c>
      <c r="F496" s="5" t="inlineStr">
        <is>
          <t>No wash</t>
        </is>
      </c>
      <c r="G496" s="4" t="inlineStr">
        <is>
          <t>One step</t>
        </is>
      </c>
      <c r="H496" s="4" t="inlineStr">
        <is>
          <t>Pyrolysis</t>
        </is>
      </c>
      <c r="I496" s="4" t="inlineStr">
        <is>
          <t>No</t>
        </is>
      </c>
      <c r="J496" s="4" t="n">
        <v>120</v>
      </c>
      <c r="K496" s="4" t="n">
        <v>5</v>
      </c>
      <c r="L496" s="4" t="n">
        <v>1200</v>
      </c>
      <c r="M496" s="4" t="inlineStr">
        <is>
          <t>No</t>
        </is>
      </c>
      <c r="N496" s="4" t="inlineStr">
        <is>
          <t>No</t>
        </is>
      </c>
      <c r="O496" s="4" t="inlineStr">
        <is>
          <t>No</t>
        </is>
      </c>
      <c r="P496" s="4" t="inlineStr">
        <is>
          <t>No</t>
        </is>
      </c>
      <c r="Q496" s="4" t="inlineStr">
        <is>
          <t>No</t>
        </is>
      </c>
      <c r="R496" s="4" t="n">
        <v>8.199999999999999</v>
      </c>
      <c r="S496" s="4" t="n">
        <v>0.381</v>
      </c>
      <c r="T496" s="23">
        <f>1/1.23</f>
        <v/>
      </c>
      <c r="U496" s="4" t="n"/>
      <c r="V496" s="4" t="n"/>
      <c r="W496" s="4" t="n">
        <v>0.002</v>
      </c>
      <c r="X496" s="4" t="n">
        <v>94.58</v>
      </c>
      <c r="Y496" s="29" t="inlineStr">
        <is>
          <t>[130]</t>
        </is>
      </c>
    </row>
    <row r="497" ht="15" customHeight="1">
      <c r="A497" s="4" t="inlineStr">
        <is>
          <t>Balsa wood</t>
        </is>
      </c>
      <c r="B497" s="5" t="inlineStr">
        <is>
          <t>No</t>
        </is>
      </c>
      <c r="C497" s="5" t="inlineStr">
        <is>
          <t>No wash</t>
        </is>
      </c>
      <c r="D497" s="5" t="inlineStr">
        <is>
          <t>No wash</t>
        </is>
      </c>
      <c r="E497" s="5" t="inlineStr">
        <is>
          <t>No wash</t>
        </is>
      </c>
      <c r="F497" s="5" t="inlineStr">
        <is>
          <t>No wash</t>
        </is>
      </c>
      <c r="G497" s="4" t="inlineStr">
        <is>
          <t>One step</t>
        </is>
      </c>
      <c r="H497" s="4" t="inlineStr">
        <is>
          <t>Pyrolysis</t>
        </is>
      </c>
      <c r="I497" s="4" t="inlineStr">
        <is>
          <t>No</t>
        </is>
      </c>
      <c r="J497" s="4" t="n">
        <v>120</v>
      </c>
      <c r="K497" s="4" t="n">
        <v>5</v>
      </c>
      <c r="L497" s="4" t="n">
        <v>1400</v>
      </c>
      <c r="M497" s="4" t="inlineStr">
        <is>
          <t>No</t>
        </is>
      </c>
      <c r="N497" s="4" t="inlineStr">
        <is>
          <t>No</t>
        </is>
      </c>
      <c r="O497" s="4" t="inlineStr">
        <is>
          <t>No</t>
        </is>
      </c>
      <c r="P497" s="4" t="inlineStr">
        <is>
          <t>No</t>
        </is>
      </c>
      <c r="Q497" s="4" t="inlineStr">
        <is>
          <t>No</t>
        </is>
      </c>
      <c r="R497" s="4" t="n">
        <v>7.97</v>
      </c>
      <c r="S497" s="4" t="n">
        <v>0.38</v>
      </c>
      <c r="T497" s="23">
        <f>1/1.15</f>
        <v/>
      </c>
      <c r="U497" s="4" t="n"/>
      <c r="V497" s="4" t="n"/>
      <c r="W497" s="4" t="n">
        <v>0.037</v>
      </c>
      <c r="X497" s="4" t="n">
        <v>95.19</v>
      </c>
      <c r="Y497" s="29" t="inlineStr">
        <is>
          <t>[130]</t>
        </is>
      </c>
    </row>
    <row r="498" ht="15" customHeight="1">
      <c r="A498" s="4" t="inlineStr">
        <is>
          <t>Balsa wood</t>
        </is>
      </c>
      <c r="B498" s="5" t="inlineStr">
        <is>
          <t>No</t>
        </is>
      </c>
      <c r="C498" s="5" t="inlineStr">
        <is>
          <t>No wash</t>
        </is>
      </c>
      <c r="D498" s="5" t="inlineStr">
        <is>
          <t>No wash</t>
        </is>
      </c>
      <c r="E498" s="5" t="inlineStr">
        <is>
          <t>No wash</t>
        </is>
      </c>
      <c r="F498" s="5" t="inlineStr">
        <is>
          <t>No wash</t>
        </is>
      </c>
      <c r="G498" s="4" t="inlineStr">
        <is>
          <t>One step</t>
        </is>
      </c>
      <c r="H498" s="4" t="inlineStr">
        <is>
          <t>Pyrolysis</t>
        </is>
      </c>
      <c r="I498" s="4" t="inlineStr">
        <is>
          <t>No</t>
        </is>
      </c>
      <c r="J498" s="4" t="n">
        <v>120</v>
      </c>
      <c r="K498" s="4" t="n">
        <v>5</v>
      </c>
      <c r="L498" s="4" t="n">
        <v>1600</v>
      </c>
      <c r="M498" s="4" t="inlineStr">
        <is>
          <t>No</t>
        </is>
      </c>
      <c r="N498" s="4" t="inlineStr">
        <is>
          <t>No</t>
        </is>
      </c>
      <c r="O498" s="4" t="inlineStr">
        <is>
          <t>No</t>
        </is>
      </c>
      <c r="P498" s="4" t="inlineStr">
        <is>
          <t>No</t>
        </is>
      </c>
      <c r="Q498" s="4" t="inlineStr">
        <is>
          <t>No</t>
        </is>
      </c>
      <c r="R498" s="4" t="n">
        <v>8.35</v>
      </c>
      <c r="S498" s="4" t="n">
        <v>0.375</v>
      </c>
      <c r="T498" s="23">
        <f>1/1.11</f>
        <v/>
      </c>
      <c r="U498" s="4" t="n"/>
      <c r="V498" s="4" t="n"/>
      <c r="W498" s="4" t="n">
        <v>0.001</v>
      </c>
      <c r="X498" s="4" t="n">
        <v>95.64</v>
      </c>
      <c r="Y498" s="29" t="inlineStr">
        <is>
          <t>[130]</t>
        </is>
      </c>
    </row>
    <row r="499" ht="15" customHeight="1">
      <c r="A499" s="4" t="inlineStr">
        <is>
          <t>Almond shell</t>
        </is>
      </c>
      <c r="B499" s="5" t="inlineStr">
        <is>
          <t>HF and HCl</t>
        </is>
      </c>
      <c r="C499" s="5" t="inlineStr">
        <is>
          <t>Acid wash</t>
        </is>
      </c>
      <c r="D499" s="5" t="inlineStr">
        <is>
          <t>Mild</t>
        </is>
      </c>
      <c r="E499" s="5" t="inlineStr">
        <is>
          <t>No wash</t>
        </is>
      </c>
      <c r="F499" s="5" t="inlineStr">
        <is>
          <t>No wash</t>
        </is>
      </c>
      <c r="G499" s="4" t="inlineStr">
        <is>
          <t>Two step</t>
        </is>
      </c>
      <c r="H499" s="4" t="inlineStr">
        <is>
          <t>Pyrolysis</t>
        </is>
      </c>
      <c r="I499" s="4" t="inlineStr">
        <is>
          <t>No</t>
        </is>
      </c>
      <c r="J499" s="4" t="n">
        <v>120</v>
      </c>
      <c r="K499" s="4" t="n">
        <v>5</v>
      </c>
      <c r="L499" s="4" t="n">
        <v>600</v>
      </c>
      <c r="M499" s="4" t="inlineStr">
        <is>
          <t>Pyrolysis</t>
        </is>
      </c>
      <c r="N499" s="4" t="inlineStr">
        <is>
          <t>No</t>
        </is>
      </c>
      <c r="O499" s="4" t="n">
        <v>180</v>
      </c>
      <c r="P499" s="4" t="n">
        <v>5</v>
      </c>
      <c r="Q499" s="4" t="n">
        <v>1300</v>
      </c>
      <c r="R499" s="4" t="n">
        <v>62.29</v>
      </c>
      <c r="S499" s="4" t="n">
        <v>0.393</v>
      </c>
      <c r="T499" s="23">
        <f>1/1.93</f>
        <v/>
      </c>
      <c r="U499" s="4" t="n">
        <v>2.49</v>
      </c>
      <c r="V499" s="4" t="n">
        <v>1.54</v>
      </c>
      <c r="W499" s="4" t="n">
        <v>0.037</v>
      </c>
      <c r="X499" s="4" t="n">
        <v>92.97</v>
      </c>
      <c r="Y499" s="29" t="inlineStr">
        <is>
          <t>[131]</t>
        </is>
      </c>
    </row>
    <row r="500" ht="15" customHeight="1">
      <c r="A500" s="4" t="inlineStr">
        <is>
          <t>Almond shell</t>
        </is>
      </c>
      <c r="B500" s="5" t="inlineStr">
        <is>
          <t>HF and HCl</t>
        </is>
      </c>
      <c r="C500" s="5" t="inlineStr">
        <is>
          <t>Acid wash</t>
        </is>
      </c>
      <c r="D500" s="5" t="inlineStr">
        <is>
          <t>Mild</t>
        </is>
      </c>
      <c r="E500" s="5" t="inlineStr">
        <is>
          <t>No wash</t>
        </is>
      </c>
      <c r="F500" s="5" t="inlineStr">
        <is>
          <t>No wash</t>
        </is>
      </c>
      <c r="G500" s="4" t="inlineStr">
        <is>
          <t>Two step</t>
        </is>
      </c>
      <c r="H500" s="4" t="inlineStr">
        <is>
          <t>Pyrolysis</t>
        </is>
      </c>
      <c r="I500" s="4" t="inlineStr">
        <is>
          <t>No</t>
        </is>
      </c>
      <c r="J500" s="4" t="n">
        <v>120</v>
      </c>
      <c r="K500" s="4" t="n">
        <v>5</v>
      </c>
      <c r="L500" s="4" t="n">
        <v>600</v>
      </c>
      <c r="M500" s="4" t="inlineStr">
        <is>
          <t>Pyrolysis</t>
        </is>
      </c>
      <c r="N500" s="4" t="inlineStr">
        <is>
          <t>No</t>
        </is>
      </c>
      <c r="O500" s="4" t="n">
        <v>180</v>
      </c>
      <c r="P500" s="4" t="n">
        <v>5</v>
      </c>
      <c r="Q500" s="4" t="n">
        <v>1300</v>
      </c>
      <c r="R500" s="4" t="n">
        <v>48.17</v>
      </c>
      <c r="S500" s="4" t="n">
        <v>0.388</v>
      </c>
      <c r="T500" s="23">
        <f>1/1.87</f>
        <v/>
      </c>
      <c r="U500" s="4" t="n">
        <v>3.1</v>
      </c>
      <c r="V500" s="4" t="n">
        <v>1.75</v>
      </c>
      <c r="W500" s="4" t="n">
        <v>0.027</v>
      </c>
      <c r="X500" s="4" t="n">
        <v>93.29000000000001</v>
      </c>
      <c r="Y500" s="29" t="inlineStr">
        <is>
          <t>[131]</t>
        </is>
      </c>
    </row>
    <row r="501" ht="15" customHeight="1">
      <c r="A501" s="4" t="inlineStr">
        <is>
          <t>Almond shell</t>
        </is>
      </c>
      <c r="B501" s="5" t="inlineStr">
        <is>
          <t>HF and HCl</t>
        </is>
      </c>
      <c r="C501" s="5" t="inlineStr">
        <is>
          <t>Acid wash</t>
        </is>
      </c>
      <c r="D501" s="5" t="inlineStr">
        <is>
          <t>Mild</t>
        </is>
      </c>
      <c r="E501" s="5" t="inlineStr">
        <is>
          <t>No wash</t>
        </is>
      </c>
      <c r="F501" s="5" t="inlineStr">
        <is>
          <t>No wash</t>
        </is>
      </c>
      <c r="G501" s="4" t="inlineStr">
        <is>
          <t>Two step</t>
        </is>
      </c>
      <c r="H501" s="4" t="inlineStr">
        <is>
          <t>Pyrolysis</t>
        </is>
      </c>
      <c r="I501" s="4" t="inlineStr">
        <is>
          <t>No</t>
        </is>
      </c>
      <c r="J501" s="4" t="n">
        <v>120</v>
      </c>
      <c r="K501" s="4" t="n">
        <v>5</v>
      </c>
      <c r="L501" s="4" t="n">
        <v>600</v>
      </c>
      <c r="M501" s="4" t="inlineStr">
        <is>
          <t>Pyrolysis</t>
        </is>
      </c>
      <c r="N501" s="4" t="inlineStr">
        <is>
          <t>No</t>
        </is>
      </c>
      <c r="O501" s="4" t="n">
        <v>180</v>
      </c>
      <c r="P501" s="4" t="n">
        <v>5</v>
      </c>
      <c r="Q501" s="4" t="n">
        <v>1300</v>
      </c>
      <c r="R501" s="4" t="n">
        <v>0.54</v>
      </c>
      <c r="S501" s="4" t="n">
        <v>0.389</v>
      </c>
      <c r="T501" s="23">
        <f>1/1.76</f>
        <v/>
      </c>
      <c r="U501" s="4" t="n">
        <v>3.02</v>
      </c>
      <c r="V501" s="4" t="n">
        <v>1.66</v>
      </c>
      <c r="W501" s="4" t="n">
        <v>0.0023</v>
      </c>
      <c r="X501" s="4" t="n">
        <v>93.06999999999999</v>
      </c>
      <c r="Y501" s="29" t="inlineStr">
        <is>
          <t>[131]</t>
        </is>
      </c>
    </row>
    <row r="502" ht="15" customHeight="1">
      <c r="A502" s="4" t="inlineStr">
        <is>
          <t>Almond shell</t>
        </is>
      </c>
      <c r="B502" s="5" t="inlineStr">
        <is>
          <t>HF and HCl</t>
        </is>
      </c>
      <c r="C502" s="5" t="inlineStr">
        <is>
          <t>Acid wash</t>
        </is>
      </c>
      <c r="D502" s="5" t="inlineStr">
        <is>
          <t>Mild</t>
        </is>
      </c>
      <c r="E502" s="5" t="inlineStr">
        <is>
          <t>No wash</t>
        </is>
      </c>
      <c r="F502" s="5" t="inlineStr">
        <is>
          <t>No wash</t>
        </is>
      </c>
      <c r="G502" s="4" t="inlineStr">
        <is>
          <t>Two step</t>
        </is>
      </c>
      <c r="H502" s="4" t="inlineStr">
        <is>
          <t>Pyrolysis</t>
        </is>
      </c>
      <c r="I502" s="4" t="inlineStr">
        <is>
          <t>No</t>
        </is>
      </c>
      <c r="J502" s="4" t="n">
        <v>120</v>
      </c>
      <c r="K502" s="4" t="n">
        <v>5</v>
      </c>
      <c r="L502" s="4" t="n">
        <v>600</v>
      </c>
      <c r="M502" s="4" t="inlineStr">
        <is>
          <t>Pyrolysis</t>
        </is>
      </c>
      <c r="N502" s="4" t="inlineStr">
        <is>
          <t>No</t>
        </is>
      </c>
      <c r="O502" s="4" t="n">
        <v>180</v>
      </c>
      <c r="P502" s="4" t="n">
        <v>5</v>
      </c>
      <c r="Q502" s="4" t="n">
        <v>1300</v>
      </c>
      <c r="R502" s="4" t="n">
        <v>1.66</v>
      </c>
      <c r="S502" s="4" t="n">
        <v>0.391</v>
      </c>
      <c r="T502" s="23">
        <f>1/1.94</f>
        <v/>
      </c>
      <c r="U502" s="4" t="n">
        <v>3.04</v>
      </c>
      <c r="V502" s="4" t="n">
        <v>1.63</v>
      </c>
      <c r="W502" s="4" t="n">
        <v>0.0055</v>
      </c>
      <c r="X502" s="4" t="n">
        <v>92.98</v>
      </c>
      <c r="Y502" s="29" t="inlineStr">
        <is>
          <t>[131]</t>
        </is>
      </c>
    </row>
    <row r="503" ht="15" customHeight="1">
      <c r="A503" s="4" t="inlineStr">
        <is>
          <t>Swtich grass</t>
        </is>
      </c>
      <c r="B503" s="5" t="inlineStr">
        <is>
          <t>No</t>
        </is>
      </c>
      <c r="C503" s="5" t="inlineStr">
        <is>
          <t>No wash</t>
        </is>
      </c>
      <c r="D503" s="5" t="inlineStr">
        <is>
          <t>No wash</t>
        </is>
      </c>
      <c r="E503" s="5" t="inlineStr">
        <is>
          <t>No wash</t>
        </is>
      </c>
      <c r="F503" s="5" t="inlineStr">
        <is>
          <t>No wash</t>
        </is>
      </c>
      <c r="G503" s="4" t="inlineStr">
        <is>
          <t>Two step</t>
        </is>
      </c>
      <c r="H503" s="4" t="inlineStr">
        <is>
          <t>HTC</t>
        </is>
      </c>
      <c r="I503" s="4" t="inlineStr">
        <is>
          <t>No</t>
        </is>
      </c>
      <c r="J503" s="4" t="n">
        <v>720</v>
      </c>
      <c r="K503" s="4" t="n"/>
      <c r="L503" s="4" t="n">
        <v>160</v>
      </c>
      <c r="M503" s="4" t="inlineStr">
        <is>
          <t>Pyrolysis</t>
        </is>
      </c>
      <c r="N503" s="4" t="inlineStr">
        <is>
          <t>No</t>
        </is>
      </c>
      <c r="O503" s="4" t="n">
        <v>120</v>
      </c>
      <c r="P503" s="4" t="n"/>
      <c r="Q503" s="4" t="n">
        <v>1600</v>
      </c>
      <c r="R503" s="4" t="n">
        <v>13.28</v>
      </c>
      <c r="S503" s="4" t="n">
        <v>0.346</v>
      </c>
      <c r="T503" s="23">
        <f>1/1.6</f>
        <v/>
      </c>
      <c r="U503" s="4" t="n"/>
      <c r="V503" s="4" t="n"/>
      <c r="W503" s="4" t="n"/>
      <c r="X503" s="4" t="n">
        <v>98.73</v>
      </c>
      <c r="Y503" s="29" t="inlineStr">
        <is>
          <t>[132]</t>
        </is>
      </c>
    </row>
    <row r="504" ht="15" customHeight="1">
      <c r="A504" s="4" t="inlineStr">
        <is>
          <t>Swtich grass</t>
        </is>
      </c>
      <c r="B504" s="5" t="inlineStr">
        <is>
          <t>No</t>
        </is>
      </c>
      <c r="C504" s="5" t="inlineStr">
        <is>
          <t>No wash</t>
        </is>
      </c>
      <c r="D504" s="5" t="inlineStr">
        <is>
          <t>No wash</t>
        </is>
      </c>
      <c r="E504" s="5" t="inlineStr">
        <is>
          <t>No wash</t>
        </is>
      </c>
      <c r="F504" s="5" t="inlineStr">
        <is>
          <t>No wash</t>
        </is>
      </c>
      <c r="G504" s="4" t="inlineStr">
        <is>
          <t>Two step</t>
        </is>
      </c>
      <c r="H504" s="4" t="inlineStr">
        <is>
          <t>HTC</t>
        </is>
      </c>
      <c r="I504" s="4" t="inlineStr">
        <is>
          <t>No</t>
        </is>
      </c>
      <c r="J504" s="4" t="n">
        <v>720</v>
      </c>
      <c r="K504" s="4" t="n"/>
      <c r="L504" s="4" t="n">
        <v>190</v>
      </c>
      <c r="M504" s="4" t="inlineStr">
        <is>
          <t>Pyrolysis</t>
        </is>
      </c>
      <c r="N504" s="4" t="inlineStr">
        <is>
          <t>No</t>
        </is>
      </c>
      <c r="O504" s="4" t="n">
        <v>120</v>
      </c>
      <c r="P504" s="4" t="n"/>
      <c r="Q504" s="4" t="n">
        <v>1600</v>
      </c>
      <c r="R504" s="4" t="n">
        <v>15.95</v>
      </c>
      <c r="S504" s="4" t="n">
        <v>0.346</v>
      </c>
      <c r="T504" s="23">
        <f>1/1.71</f>
        <v/>
      </c>
      <c r="U504" s="4" t="n"/>
      <c r="V504" s="4" t="n"/>
      <c r="W504" s="4" t="n"/>
      <c r="X504" s="4" t="n">
        <v>98.45</v>
      </c>
      <c r="Y504" s="29" t="inlineStr">
        <is>
          <t>[132]</t>
        </is>
      </c>
    </row>
    <row r="505" ht="15" customHeight="1">
      <c r="A505" s="4" t="inlineStr">
        <is>
          <t>Swtich grass</t>
        </is>
      </c>
      <c r="B505" s="5" t="inlineStr">
        <is>
          <t>No</t>
        </is>
      </c>
      <c r="C505" s="5" t="inlineStr">
        <is>
          <t>No wash</t>
        </is>
      </c>
      <c r="D505" s="5" t="inlineStr">
        <is>
          <t>No wash</t>
        </is>
      </c>
      <c r="E505" s="5" t="inlineStr">
        <is>
          <t>No wash</t>
        </is>
      </c>
      <c r="F505" s="5" t="inlineStr">
        <is>
          <t>No wash</t>
        </is>
      </c>
      <c r="G505" s="4" t="inlineStr">
        <is>
          <t>Two step</t>
        </is>
      </c>
      <c r="H505" s="4" t="inlineStr">
        <is>
          <t>HTC</t>
        </is>
      </c>
      <c r="I505" s="4" t="inlineStr">
        <is>
          <t>No</t>
        </is>
      </c>
      <c r="J505" s="4" t="n">
        <v>720</v>
      </c>
      <c r="K505" s="4" t="n"/>
      <c r="L505" s="4" t="n">
        <v>220</v>
      </c>
      <c r="M505" s="4" t="inlineStr">
        <is>
          <t>Pyrolysis</t>
        </is>
      </c>
      <c r="N505" s="4" t="inlineStr">
        <is>
          <t>No</t>
        </is>
      </c>
      <c r="O505" s="4" t="n">
        <v>120</v>
      </c>
      <c r="P505" s="4" t="n"/>
      <c r="Q505" s="4" t="n">
        <v>1600</v>
      </c>
      <c r="R505" s="4" t="n">
        <v>19.96</v>
      </c>
      <c r="S505" s="4" t="n">
        <v>0.346</v>
      </c>
      <c r="T505" s="23">
        <f>1/1.73</f>
        <v/>
      </c>
      <c r="U505" s="4" t="n"/>
      <c r="V505" s="4" t="n"/>
      <c r="W505" s="4" t="n"/>
      <c r="X505" s="4" t="n">
        <v>98.13</v>
      </c>
      <c r="Y505" s="29" t="inlineStr">
        <is>
          <t>[132]</t>
        </is>
      </c>
    </row>
    <row r="506" ht="15" customHeight="1">
      <c r="A506" s="4" t="inlineStr">
        <is>
          <t>Swtich grass</t>
        </is>
      </c>
      <c r="B506" s="5" t="inlineStr">
        <is>
          <t>No</t>
        </is>
      </c>
      <c r="C506" s="5" t="inlineStr">
        <is>
          <t>No wash</t>
        </is>
      </c>
      <c r="D506" s="5" t="inlineStr">
        <is>
          <t>No wash</t>
        </is>
      </c>
      <c r="E506" s="5" t="inlineStr">
        <is>
          <t>No wash</t>
        </is>
      </c>
      <c r="F506" s="5" t="inlineStr">
        <is>
          <t>No wash</t>
        </is>
      </c>
      <c r="G506" s="4" t="inlineStr">
        <is>
          <t>One step</t>
        </is>
      </c>
      <c r="H506" s="4" t="inlineStr">
        <is>
          <t>Pyrolysis</t>
        </is>
      </c>
      <c r="I506" s="4" t="inlineStr">
        <is>
          <t>No</t>
        </is>
      </c>
      <c r="J506" s="4" t="n">
        <v>120</v>
      </c>
      <c r="K506" s="4" t="n"/>
      <c r="L506" s="4" t="n">
        <v>1600</v>
      </c>
      <c r="M506" s="4" t="inlineStr">
        <is>
          <t>No</t>
        </is>
      </c>
      <c r="N506" s="4" t="inlineStr">
        <is>
          <t>No</t>
        </is>
      </c>
      <c r="O506" s="4" t="inlineStr">
        <is>
          <t>No</t>
        </is>
      </c>
      <c r="P506" s="4" t="inlineStr">
        <is>
          <t>No</t>
        </is>
      </c>
      <c r="Q506" s="4" t="inlineStr">
        <is>
          <t>No</t>
        </is>
      </c>
      <c r="R506" s="4" t="n">
        <v>67.37</v>
      </c>
      <c r="S506" s="4" t="n">
        <v>0.345</v>
      </c>
      <c r="T506" s="23">
        <f>1/1.47</f>
        <v/>
      </c>
      <c r="U506" s="4" t="n"/>
      <c r="V506" s="4" t="n"/>
      <c r="W506" s="4" t="n"/>
      <c r="X506" s="4" t="n">
        <v>82.13</v>
      </c>
      <c r="Y506" s="29" t="inlineStr">
        <is>
          <t>[132]</t>
        </is>
      </c>
    </row>
    <row r="507" ht="15" customHeight="1">
      <c r="A507" s="4" t="inlineStr">
        <is>
          <t>Gourd shell</t>
        </is>
      </c>
      <c r="B507" s="5" t="inlineStr">
        <is>
          <t xml:space="preserve"> Carbon 0.3 H2SO4</t>
        </is>
      </c>
      <c r="C507" s="5" t="inlineStr">
        <is>
          <t>No wash</t>
        </is>
      </c>
      <c r="D507" s="5" t="inlineStr">
        <is>
          <t>No wash</t>
        </is>
      </c>
      <c r="E507" s="5" t="inlineStr">
        <is>
          <t>Acid wash</t>
        </is>
      </c>
      <c r="F507" s="5" t="inlineStr">
        <is>
          <t>Mild</t>
        </is>
      </c>
      <c r="G507" s="4" t="inlineStr">
        <is>
          <t>Two step</t>
        </is>
      </c>
      <c r="H507" s="4" t="inlineStr">
        <is>
          <t>Pyrolysis</t>
        </is>
      </c>
      <c r="I507" s="4" t="inlineStr">
        <is>
          <t>No</t>
        </is>
      </c>
      <c r="J507" s="4" t="n">
        <v>1</v>
      </c>
      <c r="K507" s="4" t="n">
        <v>10</v>
      </c>
      <c r="L507" s="4" t="n">
        <v>1000</v>
      </c>
      <c r="M507" s="4" t="inlineStr">
        <is>
          <t>Pyrolysis</t>
        </is>
      </c>
      <c r="N507" s="4" t="inlineStr">
        <is>
          <t>No</t>
        </is>
      </c>
      <c r="O507" s="4" t="n">
        <v>180</v>
      </c>
      <c r="P507" s="4" t="n">
        <v>5</v>
      </c>
      <c r="Q507" s="4" t="n">
        <v>1200</v>
      </c>
      <c r="R507" s="4" t="n">
        <v>5.69</v>
      </c>
      <c r="S507" s="4" t="n">
        <v>0.389</v>
      </c>
      <c r="T507" s="23">
        <f>1/1.9</f>
        <v/>
      </c>
      <c r="U507" s="4" t="n"/>
      <c r="V507" s="4" t="n"/>
      <c r="W507" s="4" t="n">
        <v>0.015</v>
      </c>
      <c r="X507" s="4" t="n">
        <v>93.59999999999999</v>
      </c>
      <c r="Y507" s="29" t="inlineStr">
        <is>
          <t>[133]</t>
        </is>
      </c>
    </row>
    <row r="508" ht="15" customHeight="1">
      <c r="A508" s="4" t="inlineStr">
        <is>
          <t>Gourd shell</t>
        </is>
      </c>
      <c r="B508" s="5" t="inlineStr">
        <is>
          <t xml:space="preserve"> Carbon 0.3 H2SO5</t>
        </is>
      </c>
      <c r="C508" s="5" t="inlineStr">
        <is>
          <t>No wash</t>
        </is>
      </c>
      <c r="D508" s="5" t="inlineStr">
        <is>
          <t>No wash</t>
        </is>
      </c>
      <c r="E508" s="5" t="inlineStr">
        <is>
          <t>Acid wash</t>
        </is>
      </c>
      <c r="F508" s="5" t="inlineStr">
        <is>
          <t>Mild</t>
        </is>
      </c>
      <c r="G508" s="4" t="inlineStr">
        <is>
          <t>Two step</t>
        </is>
      </c>
      <c r="H508" s="4" t="inlineStr">
        <is>
          <t>Pyrolysis</t>
        </is>
      </c>
      <c r="I508" s="4" t="inlineStr">
        <is>
          <t>No</t>
        </is>
      </c>
      <c r="J508" s="4" t="n">
        <v>1</v>
      </c>
      <c r="K508" s="4" t="n">
        <v>10</v>
      </c>
      <c r="L508" s="4" t="n">
        <v>1000</v>
      </c>
      <c r="M508" s="4" t="inlineStr">
        <is>
          <t>Pyrolysis</t>
        </is>
      </c>
      <c r="N508" s="4" t="inlineStr">
        <is>
          <t>No</t>
        </is>
      </c>
      <c r="O508" s="4" t="n">
        <v>180</v>
      </c>
      <c r="P508" s="4" t="n">
        <v>5</v>
      </c>
      <c r="Q508" s="4" t="n">
        <v>1400</v>
      </c>
      <c r="R508" s="4" t="n">
        <v>9.960000000000001</v>
      </c>
      <c r="S508" s="4" t="n">
        <v>0.376</v>
      </c>
      <c r="T508" s="23">
        <f>1/1.8</f>
        <v/>
      </c>
      <c r="U508" s="4" t="n"/>
      <c r="V508" s="4" t="n"/>
      <c r="W508" s="4" t="n">
        <v>0.018</v>
      </c>
      <c r="X508" s="4" t="n">
        <v>91.2</v>
      </c>
      <c r="Y508" s="29" t="inlineStr">
        <is>
          <t>[133]</t>
        </is>
      </c>
    </row>
    <row r="509" ht="15" customHeight="1">
      <c r="A509" s="4" t="inlineStr">
        <is>
          <t>Gourd shell</t>
        </is>
      </c>
      <c r="B509" s="5" t="inlineStr">
        <is>
          <t xml:space="preserve"> Carbon 0.3 H2SO6</t>
        </is>
      </c>
      <c r="C509" s="5" t="inlineStr">
        <is>
          <t>No wash</t>
        </is>
      </c>
      <c r="D509" s="5" t="inlineStr">
        <is>
          <t>No wash</t>
        </is>
      </c>
      <c r="E509" s="5" t="inlineStr">
        <is>
          <t>Acid wash</t>
        </is>
      </c>
      <c r="F509" s="5" t="inlineStr">
        <is>
          <t>Mild</t>
        </is>
      </c>
      <c r="G509" s="4" t="inlineStr">
        <is>
          <t>Two step</t>
        </is>
      </c>
      <c r="H509" s="4" t="inlineStr">
        <is>
          <t>Pyrolysis</t>
        </is>
      </c>
      <c r="I509" s="4" t="inlineStr">
        <is>
          <t>No</t>
        </is>
      </c>
      <c r="J509" s="4" t="n">
        <v>1</v>
      </c>
      <c r="K509" s="4" t="n">
        <v>10</v>
      </c>
      <c r="L509" s="4" t="n">
        <v>1000</v>
      </c>
      <c r="M509" s="4" t="inlineStr">
        <is>
          <t>Pyrolysis</t>
        </is>
      </c>
      <c r="N509" s="4" t="inlineStr">
        <is>
          <t>No</t>
        </is>
      </c>
      <c r="O509" s="4" t="n">
        <v>180</v>
      </c>
      <c r="P509" s="4" t="n">
        <v>5</v>
      </c>
      <c r="Q509" s="4" t="n">
        <v>1600</v>
      </c>
      <c r="R509" s="4" t="n">
        <v>36.71</v>
      </c>
      <c r="S509" s="4" t="n">
        <v>0.363</v>
      </c>
      <c r="T509" s="23">
        <f>1/1.74</f>
        <v/>
      </c>
      <c r="U509" s="4" t="n"/>
      <c r="V509" s="4" t="n"/>
      <c r="W509" s="4" t="n">
        <v>0.043</v>
      </c>
      <c r="X509" s="4" t="n">
        <v>86.90000000000001</v>
      </c>
      <c r="Y509" s="29" t="inlineStr">
        <is>
          <t>[133]</t>
        </is>
      </c>
    </row>
    <row r="510" ht="15" customHeight="1">
      <c r="A510" s="4" t="inlineStr">
        <is>
          <t>Corncob</t>
        </is>
      </c>
      <c r="B510" s="5" t="inlineStr">
        <is>
          <t>Carbon 3M HCl</t>
        </is>
      </c>
      <c r="C510" s="5" t="inlineStr">
        <is>
          <t>No wash</t>
        </is>
      </c>
      <c r="D510" s="5" t="inlineStr">
        <is>
          <t>No wash</t>
        </is>
      </c>
      <c r="E510" s="5" t="inlineStr">
        <is>
          <t>Acid wash</t>
        </is>
      </c>
      <c r="F510" s="5" t="inlineStr">
        <is>
          <t>Mild</t>
        </is>
      </c>
      <c r="G510" s="4" t="inlineStr">
        <is>
          <t>Two step</t>
        </is>
      </c>
      <c r="H510" s="4" t="inlineStr">
        <is>
          <t>Pyrolysis</t>
        </is>
      </c>
      <c r="I510" s="4" t="inlineStr">
        <is>
          <t>No</t>
        </is>
      </c>
      <c r="J510" s="4" t="n">
        <v>120</v>
      </c>
      <c r="K510" s="4" t="n">
        <v>3</v>
      </c>
      <c r="L510" s="4" t="n">
        <v>500</v>
      </c>
      <c r="M510" s="4" t="inlineStr">
        <is>
          <t>Pyrolysis</t>
        </is>
      </c>
      <c r="N510" s="4" t="inlineStr">
        <is>
          <t>No</t>
        </is>
      </c>
      <c r="O510" s="4" t="n">
        <v>120</v>
      </c>
      <c r="P510" s="4" t="n">
        <v>5</v>
      </c>
      <c r="Q510" s="4" t="n">
        <v>1000</v>
      </c>
      <c r="R510" s="4" t="n">
        <v>393.8</v>
      </c>
      <c r="S510" s="4" t="n">
        <v>0.403</v>
      </c>
      <c r="T510" s="23">
        <f>1/2.11</f>
        <v/>
      </c>
      <c r="U510" s="4" t="n"/>
      <c r="V510" s="4" t="n"/>
      <c r="W510" s="4" t="n"/>
      <c r="X510" s="4" t="n">
        <v>92.37</v>
      </c>
      <c r="Y510" s="29" t="inlineStr">
        <is>
          <t>[134]</t>
        </is>
      </c>
    </row>
    <row r="511" ht="15" customHeight="1">
      <c r="A511" s="4" t="inlineStr">
        <is>
          <t>Corncob</t>
        </is>
      </c>
      <c r="B511" s="5" t="inlineStr">
        <is>
          <t>Carbon 3M HCl</t>
        </is>
      </c>
      <c r="C511" s="5" t="inlineStr">
        <is>
          <t>No wash</t>
        </is>
      </c>
      <c r="D511" s="5" t="inlineStr">
        <is>
          <t>No wash</t>
        </is>
      </c>
      <c r="E511" s="5" t="inlineStr">
        <is>
          <t>Acid wash</t>
        </is>
      </c>
      <c r="F511" s="5" t="inlineStr">
        <is>
          <t>Mild</t>
        </is>
      </c>
      <c r="G511" s="4" t="inlineStr">
        <is>
          <t>Two step</t>
        </is>
      </c>
      <c r="H511" s="4" t="inlineStr">
        <is>
          <t>Pyrolysis</t>
        </is>
      </c>
      <c r="I511" s="4" t="inlineStr">
        <is>
          <t>No</t>
        </is>
      </c>
      <c r="J511" s="4" t="n">
        <v>120</v>
      </c>
      <c r="K511" s="4" t="n">
        <v>3</v>
      </c>
      <c r="L511" s="4" t="n">
        <v>500</v>
      </c>
      <c r="M511" s="4" t="inlineStr">
        <is>
          <t>Pyrolysis</t>
        </is>
      </c>
      <c r="N511" s="4" t="inlineStr">
        <is>
          <t>No</t>
        </is>
      </c>
      <c r="O511" s="4" t="n">
        <v>120</v>
      </c>
      <c r="P511" s="4" t="n">
        <v>5</v>
      </c>
      <c r="Q511" s="4" t="n">
        <v>1200</v>
      </c>
      <c r="R511" s="4" t="n">
        <v>7.13</v>
      </c>
      <c r="S511" s="4" t="n">
        <v>0.396</v>
      </c>
      <c r="T511" s="23">
        <f>1/1.99</f>
        <v/>
      </c>
      <c r="U511" s="4" t="n"/>
      <c r="V511" s="4" t="n"/>
      <c r="W511" s="4" t="n">
        <v>0.021</v>
      </c>
      <c r="X511" s="4" t="n">
        <v>93.94</v>
      </c>
      <c r="Y511" s="29" t="inlineStr">
        <is>
          <t>[134]</t>
        </is>
      </c>
    </row>
    <row r="512" ht="15" customHeight="1">
      <c r="A512" s="4" t="inlineStr">
        <is>
          <t>Corncob</t>
        </is>
      </c>
      <c r="B512" s="5" t="inlineStr">
        <is>
          <t>Carbon 3M HCl</t>
        </is>
      </c>
      <c r="C512" s="5" t="inlineStr">
        <is>
          <t>No wash</t>
        </is>
      </c>
      <c r="D512" s="5" t="inlineStr">
        <is>
          <t>No wash</t>
        </is>
      </c>
      <c r="E512" s="5" t="inlineStr">
        <is>
          <t>Acid wash</t>
        </is>
      </c>
      <c r="F512" s="5" t="inlineStr">
        <is>
          <t>Mild</t>
        </is>
      </c>
      <c r="G512" s="4" t="inlineStr">
        <is>
          <t>Two step</t>
        </is>
      </c>
      <c r="H512" s="4" t="inlineStr">
        <is>
          <t>Pyrolysis</t>
        </is>
      </c>
      <c r="I512" s="4" t="inlineStr">
        <is>
          <t>No</t>
        </is>
      </c>
      <c r="J512" s="4" t="n">
        <v>120</v>
      </c>
      <c r="K512" s="4" t="n">
        <v>3</v>
      </c>
      <c r="L512" s="4" t="n">
        <v>500</v>
      </c>
      <c r="M512" s="4" t="inlineStr">
        <is>
          <t>Pyrolysis</t>
        </is>
      </c>
      <c r="N512" s="4" t="inlineStr">
        <is>
          <t>No</t>
        </is>
      </c>
      <c r="O512" s="4" t="n">
        <v>120</v>
      </c>
      <c r="P512" s="4" t="n">
        <v>5</v>
      </c>
      <c r="Q512" s="4" t="n">
        <v>1400</v>
      </c>
      <c r="R512" s="4" t="n">
        <v>6.05</v>
      </c>
      <c r="S512" s="4" t="n">
        <v>0.388</v>
      </c>
      <c r="T512" s="23">
        <f>1/1.77</f>
        <v/>
      </c>
      <c r="U512" s="4" t="n"/>
      <c r="V512" s="4" t="n"/>
      <c r="W512" s="4" t="n">
        <v>0.017</v>
      </c>
      <c r="X512" s="4" t="n">
        <v>95.45</v>
      </c>
      <c r="Y512" s="29" t="inlineStr">
        <is>
          <t>[134]</t>
        </is>
      </c>
    </row>
    <row r="513" ht="15" customHeight="1">
      <c r="A513" s="4" t="inlineStr">
        <is>
          <t>Corncob</t>
        </is>
      </c>
      <c r="B513" s="5" t="inlineStr">
        <is>
          <t>Carbon 3M HCl</t>
        </is>
      </c>
      <c r="C513" s="5" t="inlineStr">
        <is>
          <t>No wash</t>
        </is>
      </c>
      <c r="D513" s="5" t="inlineStr">
        <is>
          <t>No wash</t>
        </is>
      </c>
      <c r="E513" s="5" t="inlineStr">
        <is>
          <t>Acid wash</t>
        </is>
      </c>
      <c r="F513" s="5" t="inlineStr">
        <is>
          <t>Mild</t>
        </is>
      </c>
      <c r="G513" s="4" t="inlineStr">
        <is>
          <t>Two step</t>
        </is>
      </c>
      <c r="H513" s="4" t="inlineStr">
        <is>
          <t>Pyrolysis</t>
        </is>
      </c>
      <c r="I513" s="4" t="inlineStr">
        <is>
          <t>No</t>
        </is>
      </c>
      <c r="J513" s="4" t="n">
        <v>120</v>
      </c>
      <c r="K513" s="4" t="n">
        <v>3</v>
      </c>
      <c r="L513" s="4" t="n">
        <v>500</v>
      </c>
      <c r="M513" s="4" t="inlineStr">
        <is>
          <t>Pyrolysis</t>
        </is>
      </c>
      <c r="N513" s="4" t="inlineStr">
        <is>
          <t>No</t>
        </is>
      </c>
      <c r="O513" s="4" t="n">
        <v>120</v>
      </c>
      <c r="P513" s="4" t="n">
        <v>5</v>
      </c>
      <c r="Q513" s="4" t="n">
        <v>1600</v>
      </c>
      <c r="R513" s="4" t="n">
        <v>17.75</v>
      </c>
      <c r="S513" s="4" t="n">
        <v>0.441</v>
      </c>
      <c r="T513" s="23">
        <f>1/1.75</f>
        <v/>
      </c>
      <c r="U513" s="4" t="n"/>
      <c r="V513" s="4" t="n"/>
      <c r="W513" s="4" t="n">
        <v>0.049</v>
      </c>
      <c r="X513" s="4" t="n">
        <v>94.89</v>
      </c>
      <c r="Y513" s="29" t="inlineStr">
        <is>
          <t>[134]</t>
        </is>
      </c>
    </row>
    <row r="514" ht="15" customHeight="1">
      <c r="A514" s="4" t="inlineStr">
        <is>
          <t>Ganerma Lucium</t>
        </is>
      </c>
      <c r="B514" s="5" t="inlineStr">
        <is>
          <t>No</t>
        </is>
      </c>
      <c r="C514" s="5" t="inlineStr">
        <is>
          <t>No wash</t>
        </is>
      </c>
      <c r="D514" s="5" t="inlineStr">
        <is>
          <t>No wash</t>
        </is>
      </c>
      <c r="E514" s="5" t="inlineStr">
        <is>
          <t>No wash</t>
        </is>
      </c>
      <c r="F514" s="5" t="inlineStr">
        <is>
          <t>No wash</t>
        </is>
      </c>
      <c r="G514" s="4" t="inlineStr">
        <is>
          <t>One step</t>
        </is>
      </c>
      <c r="H514" s="4" t="inlineStr">
        <is>
          <t>Pyrolysis</t>
        </is>
      </c>
      <c r="I514" s="4" t="inlineStr">
        <is>
          <t>No</t>
        </is>
      </c>
      <c r="J514" s="4" t="n">
        <v>60</v>
      </c>
      <c r="K514" s="4" t="n">
        <v>5</v>
      </c>
      <c r="L514" s="4" t="n">
        <v>900</v>
      </c>
      <c r="M514" s="4" t="inlineStr">
        <is>
          <t>No</t>
        </is>
      </c>
      <c r="N514" s="4" t="inlineStr">
        <is>
          <t>No</t>
        </is>
      </c>
      <c r="O514" s="4" t="inlineStr">
        <is>
          <t>No</t>
        </is>
      </c>
      <c r="P514" s="4" t="inlineStr">
        <is>
          <t>No</t>
        </is>
      </c>
      <c r="Q514" s="4" t="inlineStr">
        <is>
          <t>No</t>
        </is>
      </c>
      <c r="R514" s="4" t="n">
        <v>329.9</v>
      </c>
      <c r="S514" s="4" t="n">
        <v>0.368</v>
      </c>
      <c r="T514" s="23">
        <f>1/1.21</f>
        <v/>
      </c>
      <c r="U514" s="4" t="n"/>
      <c r="V514" s="4" t="n"/>
      <c r="W514" s="4" t="n"/>
      <c r="X514" s="4" t="n">
        <v>88.52</v>
      </c>
      <c r="Y514" s="29" t="inlineStr">
        <is>
          <t>[135]</t>
        </is>
      </c>
    </row>
    <row r="515" ht="15" customHeight="1">
      <c r="A515" s="4" t="inlineStr">
        <is>
          <t>Ganerma Lucium</t>
        </is>
      </c>
      <c r="B515" s="5" t="inlineStr">
        <is>
          <t>No</t>
        </is>
      </c>
      <c r="C515" s="5" t="inlineStr">
        <is>
          <t>No wash</t>
        </is>
      </c>
      <c r="D515" s="5" t="inlineStr">
        <is>
          <t>No wash</t>
        </is>
      </c>
      <c r="E515" s="5" t="inlineStr">
        <is>
          <t>No wash</t>
        </is>
      </c>
      <c r="F515" s="5" t="inlineStr">
        <is>
          <t>No wash</t>
        </is>
      </c>
      <c r="G515" s="4" t="inlineStr">
        <is>
          <t>One step</t>
        </is>
      </c>
      <c r="H515" s="4" t="inlineStr">
        <is>
          <t>Pyrolysis</t>
        </is>
      </c>
      <c r="I515" s="4" t="inlineStr">
        <is>
          <t>No</t>
        </is>
      </c>
      <c r="J515" s="4" t="n">
        <v>60</v>
      </c>
      <c r="K515" s="4" t="n">
        <v>5</v>
      </c>
      <c r="L515" s="4" t="n">
        <v>1100</v>
      </c>
      <c r="M515" s="4" t="inlineStr">
        <is>
          <t>No</t>
        </is>
      </c>
      <c r="N515" s="4" t="inlineStr">
        <is>
          <t>No</t>
        </is>
      </c>
      <c r="O515" s="4" t="inlineStr">
        <is>
          <t>No</t>
        </is>
      </c>
      <c r="P515" s="4" t="inlineStr">
        <is>
          <t>No</t>
        </is>
      </c>
      <c r="Q515" s="4" t="inlineStr">
        <is>
          <t>No</t>
        </is>
      </c>
      <c r="R515" s="4" t="n">
        <v>20.3</v>
      </c>
      <c r="S515" s="4" t="n">
        <v>0.379</v>
      </c>
      <c r="T515" s="23">
        <f>1/1.46</f>
        <v/>
      </c>
      <c r="U515" s="4" t="n"/>
      <c r="V515" s="4" t="n"/>
      <c r="W515" s="4" t="n"/>
      <c r="X515" s="4" t="n">
        <v>91.58</v>
      </c>
      <c r="Y515" s="29" t="inlineStr">
        <is>
          <t>[135]</t>
        </is>
      </c>
    </row>
    <row r="516" ht="15" customHeight="1">
      <c r="A516" s="4" t="inlineStr">
        <is>
          <t>Ganerma Lucium</t>
        </is>
      </c>
      <c r="B516" s="5" t="inlineStr">
        <is>
          <t>No</t>
        </is>
      </c>
      <c r="C516" s="5" t="inlineStr">
        <is>
          <t>No wash</t>
        </is>
      </c>
      <c r="D516" s="5" t="inlineStr">
        <is>
          <t>No wash</t>
        </is>
      </c>
      <c r="E516" s="5" t="inlineStr">
        <is>
          <t>No wash</t>
        </is>
      </c>
      <c r="F516" s="5" t="inlineStr">
        <is>
          <t>No wash</t>
        </is>
      </c>
      <c r="G516" s="4" t="inlineStr">
        <is>
          <t>One step</t>
        </is>
      </c>
      <c r="H516" s="4" t="inlineStr">
        <is>
          <t>Pyrolysis</t>
        </is>
      </c>
      <c r="I516" s="4" t="inlineStr">
        <is>
          <t>No</t>
        </is>
      </c>
      <c r="J516" s="4" t="n">
        <v>60</v>
      </c>
      <c r="K516" s="4" t="n">
        <v>5</v>
      </c>
      <c r="L516" s="4" t="n">
        <v>1300</v>
      </c>
      <c r="M516" s="4" t="inlineStr">
        <is>
          <t>No</t>
        </is>
      </c>
      <c r="N516" s="4" t="inlineStr">
        <is>
          <t>No</t>
        </is>
      </c>
      <c r="O516" s="4" t="inlineStr">
        <is>
          <t>No</t>
        </is>
      </c>
      <c r="P516" s="4" t="inlineStr">
        <is>
          <t>No</t>
        </is>
      </c>
      <c r="Q516" s="4" t="inlineStr">
        <is>
          <t>No</t>
        </is>
      </c>
      <c r="R516" s="4" t="n">
        <v>17.9</v>
      </c>
      <c r="S516" s="4" t="n">
        <v>0.375</v>
      </c>
      <c r="T516" s="23">
        <f>1/1.69</f>
        <v/>
      </c>
      <c r="U516" s="4" t="n"/>
      <c r="V516" s="4" t="n"/>
      <c r="W516" s="4" t="n"/>
      <c r="X516" s="4" t="n">
        <v>93.48</v>
      </c>
      <c r="Y516" s="29" t="inlineStr">
        <is>
          <t>[135]</t>
        </is>
      </c>
    </row>
    <row r="517" ht="15" customHeight="1">
      <c r="A517" s="4" t="inlineStr">
        <is>
          <t>Ganerma Lucium</t>
        </is>
      </c>
      <c r="B517" s="5" t="inlineStr">
        <is>
          <t>No</t>
        </is>
      </c>
      <c r="C517" s="5" t="inlineStr">
        <is>
          <t>No wash</t>
        </is>
      </c>
      <c r="D517" s="5" t="inlineStr">
        <is>
          <t>No wash</t>
        </is>
      </c>
      <c r="E517" s="5" t="inlineStr">
        <is>
          <t>No wash</t>
        </is>
      </c>
      <c r="F517" s="5" t="inlineStr">
        <is>
          <t>No wash</t>
        </is>
      </c>
      <c r="G517" s="4" t="inlineStr">
        <is>
          <t>One step</t>
        </is>
      </c>
      <c r="H517" s="4" t="inlineStr">
        <is>
          <t>Pyrolysis</t>
        </is>
      </c>
      <c r="I517" s="4" t="inlineStr">
        <is>
          <t>No</t>
        </is>
      </c>
      <c r="J517" s="4" t="n">
        <v>60</v>
      </c>
      <c r="K517" s="4" t="n">
        <v>5</v>
      </c>
      <c r="L517" s="4" t="n">
        <v>1400</v>
      </c>
      <c r="M517" s="4" t="inlineStr">
        <is>
          <t>No</t>
        </is>
      </c>
      <c r="N517" s="4" t="inlineStr">
        <is>
          <t>No</t>
        </is>
      </c>
      <c r="O517" s="4" t="inlineStr">
        <is>
          <t>No</t>
        </is>
      </c>
      <c r="P517" s="4" t="inlineStr">
        <is>
          <t>No</t>
        </is>
      </c>
      <c r="Q517" s="4" t="inlineStr">
        <is>
          <t>No</t>
        </is>
      </c>
      <c r="R517" s="4" t="n">
        <v>14.7</v>
      </c>
      <c r="S517" s="4" t="n">
        <v>0.371</v>
      </c>
      <c r="T517" s="23">
        <f>1/1.8</f>
        <v/>
      </c>
      <c r="U517" s="4" t="n"/>
      <c r="V517" s="4" t="n"/>
      <c r="W517" s="4" t="n"/>
      <c r="X517" s="4" t="n">
        <v>93.90000000000001</v>
      </c>
      <c r="Y517" s="29" t="inlineStr">
        <is>
          <t>[135]</t>
        </is>
      </c>
    </row>
    <row r="518" ht="15" customHeight="1">
      <c r="A518" s="4" t="inlineStr">
        <is>
          <t>Ganerma Lucium</t>
        </is>
      </c>
      <c r="B518" s="5" t="inlineStr">
        <is>
          <t>No</t>
        </is>
      </c>
      <c r="C518" s="5" t="inlineStr">
        <is>
          <t>No wash</t>
        </is>
      </c>
      <c r="D518" s="5" t="inlineStr">
        <is>
          <t>No wash</t>
        </is>
      </c>
      <c r="E518" s="5" t="inlineStr">
        <is>
          <t>No wash</t>
        </is>
      </c>
      <c r="F518" s="5" t="inlineStr">
        <is>
          <t>No wash</t>
        </is>
      </c>
      <c r="G518" s="4" t="inlineStr">
        <is>
          <t>One step</t>
        </is>
      </c>
      <c r="H518" s="4" t="inlineStr">
        <is>
          <t>Pyrolysis</t>
        </is>
      </c>
      <c r="I518" s="4" t="inlineStr">
        <is>
          <t>No</t>
        </is>
      </c>
      <c r="J518" s="4" t="n">
        <v>60</v>
      </c>
      <c r="K518" s="4" t="n">
        <v>5</v>
      </c>
      <c r="L518" s="4" t="n">
        <v>1500</v>
      </c>
      <c r="M518" s="4" t="inlineStr">
        <is>
          <t>No</t>
        </is>
      </c>
      <c r="N518" s="4" t="inlineStr">
        <is>
          <t>No</t>
        </is>
      </c>
      <c r="O518" s="4" t="inlineStr">
        <is>
          <t>No</t>
        </is>
      </c>
      <c r="P518" s="4" t="inlineStr">
        <is>
          <t>No</t>
        </is>
      </c>
      <c r="Q518" s="4" t="inlineStr">
        <is>
          <t>No</t>
        </is>
      </c>
      <c r="R518" s="4" t="n">
        <v>12.7</v>
      </c>
      <c r="S518" s="4" t="n">
        <v>0.365</v>
      </c>
      <c r="T518" s="23">
        <f>1/1.84</f>
        <v/>
      </c>
      <c r="U518" s="4" t="n"/>
      <c r="V518" s="4" t="n"/>
      <c r="W518" s="4" t="n"/>
      <c r="X518" s="4" t="n">
        <v>94.55</v>
      </c>
      <c r="Y518" s="29" t="inlineStr">
        <is>
          <t>[135]</t>
        </is>
      </c>
    </row>
    <row r="519" ht="15" customHeight="1">
      <c r="A519" s="4" t="inlineStr">
        <is>
          <t>Rice husk</t>
        </is>
      </c>
      <c r="B519" s="5" t="inlineStr">
        <is>
          <t>6M HCl +10% HF</t>
        </is>
      </c>
      <c r="C519" s="5" t="inlineStr">
        <is>
          <t>Acid wash</t>
        </is>
      </c>
      <c r="D519" s="5" t="inlineStr">
        <is>
          <t>Mild</t>
        </is>
      </c>
      <c r="E519" s="5" t="inlineStr">
        <is>
          <t>No wash</t>
        </is>
      </c>
      <c r="F519" s="5" t="inlineStr">
        <is>
          <t>No wash</t>
        </is>
      </c>
      <c r="G519" s="4" t="inlineStr">
        <is>
          <t>One step</t>
        </is>
      </c>
      <c r="H519" s="4" t="inlineStr">
        <is>
          <t>Pyrolysis</t>
        </is>
      </c>
      <c r="I519" s="4" t="inlineStr">
        <is>
          <t>No</t>
        </is>
      </c>
      <c r="J519" s="4" t="n">
        <v>120</v>
      </c>
      <c r="K519" s="4" t="n">
        <v>5</v>
      </c>
      <c r="L519" s="4" t="n">
        <v>1100</v>
      </c>
      <c r="M519" s="4" t="inlineStr">
        <is>
          <t>No</t>
        </is>
      </c>
      <c r="N519" s="4" t="inlineStr">
        <is>
          <t>No</t>
        </is>
      </c>
      <c r="O519" s="4" t="inlineStr">
        <is>
          <t>No</t>
        </is>
      </c>
      <c r="P519" s="4" t="inlineStr">
        <is>
          <t>No</t>
        </is>
      </c>
      <c r="Q519" s="4" t="inlineStr">
        <is>
          <t>No</t>
        </is>
      </c>
      <c r="R519" s="4" t="n">
        <v>2.68</v>
      </c>
      <c r="S519" s="4" t="n">
        <v>0.403</v>
      </c>
      <c r="T519" s="23" t="n">
        <v>0.66</v>
      </c>
      <c r="U519" s="4" t="n">
        <v>11</v>
      </c>
      <c r="V519" s="4" t="n">
        <v>1.16</v>
      </c>
      <c r="W519" s="4" t="n">
        <v>0.00335</v>
      </c>
      <c r="X519" s="4" t="n">
        <v>89.09999999999999</v>
      </c>
      <c r="Y519" s="29" t="inlineStr">
        <is>
          <t>[136]</t>
        </is>
      </c>
    </row>
    <row r="520" ht="15" customHeight="1">
      <c r="A520" s="4" t="inlineStr">
        <is>
          <t>Rice husk</t>
        </is>
      </c>
      <c r="B520" s="5" t="inlineStr">
        <is>
          <t>6M HCl +10% HF</t>
        </is>
      </c>
      <c r="C520" s="5" t="inlineStr">
        <is>
          <t>Acid wash</t>
        </is>
      </c>
      <c r="D520" s="5" t="inlineStr">
        <is>
          <t>Mild</t>
        </is>
      </c>
      <c r="E520" s="5" t="inlineStr">
        <is>
          <t>No wash</t>
        </is>
      </c>
      <c r="F520" s="5" t="inlineStr">
        <is>
          <t>No wash</t>
        </is>
      </c>
      <c r="G520" s="4" t="inlineStr">
        <is>
          <t>One step</t>
        </is>
      </c>
      <c r="H520" s="4" t="inlineStr">
        <is>
          <t>Pyrolysis</t>
        </is>
      </c>
      <c r="I520" s="4" t="inlineStr">
        <is>
          <t>No</t>
        </is>
      </c>
      <c r="J520" s="4" t="n">
        <v>120</v>
      </c>
      <c r="K520" s="4" t="n">
        <v>5</v>
      </c>
      <c r="L520" s="4" t="n">
        <v>1300</v>
      </c>
      <c r="M520" s="4" t="inlineStr">
        <is>
          <t>No</t>
        </is>
      </c>
      <c r="N520" s="4" t="inlineStr">
        <is>
          <t>No</t>
        </is>
      </c>
      <c r="O520" s="4" t="inlineStr">
        <is>
          <t>No</t>
        </is>
      </c>
      <c r="P520" s="4" t="inlineStr">
        <is>
          <t>No</t>
        </is>
      </c>
      <c r="Q520" s="4" t="inlineStr">
        <is>
          <t>No</t>
        </is>
      </c>
      <c r="R520" s="4" t="n">
        <v>0.27</v>
      </c>
      <c r="S520" s="4" t="n">
        <v>0.395</v>
      </c>
      <c r="T520" s="23" t="n">
        <v>0.72</v>
      </c>
      <c r="U520" s="4" t="n">
        <v>12</v>
      </c>
      <c r="V520" s="4" t="n">
        <v>1.23</v>
      </c>
      <c r="W520" s="4" t="n"/>
      <c r="X520" s="4" t="n">
        <v>90.61</v>
      </c>
      <c r="Y520" s="29" t="inlineStr">
        <is>
          <t>[136]</t>
        </is>
      </c>
    </row>
    <row r="521" ht="15" customHeight="1">
      <c r="A521" s="4" t="inlineStr">
        <is>
          <t>Rice husk</t>
        </is>
      </c>
      <c r="B521" s="5" t="inlineStr">
        <is>
          <t>6M HCl +10% HF</t>
        </is>
      </c>
      <c r="C521" s="5" t="inlineStr">
        <is>
          <t>Acid wash</t>
        </is>
      </c>
      <c r="D521" s="5" t="inlineStr">
        <is>
          <t>Mild</t>
        </is>
      </c>
      <c r="E521" s="5" t="inlineStr">
        <is>
          <t>No wash</t>
        </is>
      </c>
      <c r="F521" s="5" t="inlineStr">
        <is>
          <t>No wash</t>
        </is>
      </c>
      <c r="G521" s="4" t="inlineStr">
        <is>
          <t>One step</t>
        </is>
      </c>
      <c r="H521" s="4" t="inlineStr">
        <is>
          <t>Pyrolysis</t>
        </is>
      </c>
      <c r="I521" s="4" t="inlineStr">
        <is>
          <t>No</t>
        </is>
      </c>
      <c r="J521" s="4" t="n">
        <v>120</v>
      </c>
      <c r="K521" s="4" t="n">
        <v>5</v>
      </c>
      <c r="L521" s="4" t="n">
        <v>1500</v>
      </c>
      <c r="M521" s="4" t="inlineStr">
        <is>
          <t>No</t>
        </is>
      </c>
      <c r="N521" s="4" t="inlineStr">
        <is>
          <t>No</t>
        </is>
      </c>
      <c r="O521" s="4" t="inlineStr">
        <is>
          <t>No</t>
        </is>
      </c>
      <c r="P521" s="4" t="inlineStr">
        <is>
          <t>No</t>
        </is>
      </c>
      <c r="Q521" s="4" t="inlineStr">
        <is>
          <t>No</t>
        </is>
      </c>
      <c r="R521" s="4" t="n">
        <v>0.23</v>
      </c>
      <c r="S521" s="4" t="n">
        <v>0.384</v>
      </c>
      <c r="T521" s="23" t="n">
        <v>0.75</v>
      </c>
      <c r="U521" s="4" t="n">
        <v>12.5</v>
      </c>
      <c r="V521" s="4" t="n">
        <v>1.31</v>
      </c>
      <c r="W521" s="4" t="n"/>
      <c r="X521" s="4" t="n">
        <v>94.34</v>
      </c>
      <c r="Y521" s="29" t="inlineStr">
        <is>
          <t>[136]</t>
        </is>
      </c>
    </row>
    <row r="522" ht="15" customHeight="1">
      <c r="A522" s="4" t="inlineStr">
        <is>
          <t>Corncob</t>
        </is>
      </c>
      <c r="B522" s="5" t="inlineStr">
        <is>
          <t>2M HCl+5%HF</t>
        </is>
      </c>
      <c r="C522" s="5" t="inlineStr">
        <is>
          <t>Acid wash</t>
        </is>
      </c>
      <c r="D522" s="5" t="inlineStr">
        <is>
          <t>Mild</t>
        </is>
      </c>
      <c r="E522" s="5" t="inlineStr">
        <is>
          <t>No wash</t>
        </is>
      </c>
      <c r="F522" s="5" t="inlineStr">
        <is>
          <t>No wash</t>
        </is>
      </c>
      <c r="G522" s="4" t="inlineStr">
        <is>
          <t>Two step</t>
        </is>
      </c>
      <c r="H522" s="4" t="inlineStr">
        <is>
          <t>Pyrolysis</t>
        </is>
      </c>
      <c r="I522" s="4" t="inlineStr">
        <is>
          <t>No</t>
        </is>
      </c>
      <c r="J522" s="4" t="n">
        <v>120</v>
      </c>
      <c r="K522" s="4" t="n"/>
      <c r="L522" s="4" t="n">
        <v>600</v>
      </c>
      <c r="M522" s="4" t="inlineStr">
        <is>
          <t>Pyrolysis</t>
        </is>
      </c>
      <c r="N522" s="4" t="inlineStr">
        <is>
          <t>No</t>
        </is>
      </c>
      <c r="O522" s="4" t="n">
        <v>120</v>
      </c>
      <c r="P522" s="4" t="n"/>
      <c r="Q522" s="4" t="n">
        <v>1300</v>
      </c>
      <c r="R522" s="4" t="n">
        <v>1.7</v>
      </c>
      <c r="S522" s="4" t="n">
        <v>0.377</v>
      </c>
      <c r="T522" s="23">
        <f>1/1.7</f>
        <v/>
      </c>
      <c r="U522" s="4" t="n"/>
      <c r="V522" s="4" t="n"/>
      <c r="W522" s="4" t="n">
        <v>0.05776</v>
      </c>
      <c r="X522" s="4" t="n">
        <v>93.90000000000001</v>
      </c>
      <c r="Y522" s="44" t="inlineStr">
        <is>
          <t>[137]</t>
        </is>
      </c>
    </row>
    <row r="523" ht="15" customHeight="1">
      <c r="A523" s="4" t="inlineStr">
        <is>
          <t>Corncob</t>
        </is>
      </c>
      <c r="B523" s="5" t="inlineStr">
        <is>
          <t>Carbon   3M HCl</t>
        </is>
      </c>
      <c r="C523" s="5" t="inlineStr">
        <is>
          <t>No wash</t>
        </is>
      </c>
      <c r="D523" s="5" t="inlineStr">
        <is>
          <t>No wash</t>
        </is>
      </c>
      <c r="E523" s="5" t="inlineStr">
        <is>
          <t>Acid wash</t>
        </is>
      </c>
      <c r="F523" s="5" t="inlineStr">
        <is>
          <t>Mild</t>
        </is>
      </c>
      <c r="G523" s="4" t="inlineStr">
        <is>
          <t>Two step</t>
        </is>
      </c>
      <c r="H523" s="4" t="inlineStr">
        <is>
          <t>Pyrolysis</t>
        </is>
      </c>
      <c r="I523" s="4" t="inlineStr">
        <is>
          <t>No</t>
        </is>
      </c>
      <c r="J523" s="4" t="n">
        <v>120</v>
      </c>
      <c r="K523" s="4" t="n">
        <v>5</v>
      </c>
      <c r="L523" s="4" t="n">
        <v>500</v>
      </c>
      <c r="M523" s="4" t="inlineStr">
        <is>
          <t>Pyrolysis</t>
        </is>
      </c>
      <c r="N523" s="4" t="inlineStr">
        <is>
          <t>No</t>
        </is>
      </c>
      <c r="O523" s="4" t="n">
        <v>120</v>
      </c>
      <c r="P523" s="4" t="n">
        <v>5</v>
      </c>
      <c r="Q523" s="4" t="n">
        <v>1000</v>
      </c>
      <c r="R523" s="5" t="n">
        <v>7.25</v>
      </c>
      <c r="S523" s="5" t="n">
        <v>0.396</v>
      </c>
      <c r="T523" s="45">
        <f>1/2.4</f>
        <v/>
      </c>
      <c r="U523" s="5" t="n">
        <v>8.01</v>
      </c>
      <c r="V523" s="5" t="n"/>
      <c r="W523" s="5" t="n">
        <v>0.0083</v>
      </c>
      <c r="X523" s="44" t="n">
        <v>90.33</v>
      </c>
      <c r="Y523" s="44" t="inlineStr">
        <is>
          <t>[137]</t>
        </is>
      </c>
    </row>
    <row r="524" ht="15" customHeight="1">
      <c r="A524" s="4" t="inlineStr">
        <is>
          <t>Corncob</t>
        </is>
      </c>
      <c r="B524" s="5" t="inlineStr">
        <is>
          <t>Carbon   3M HCl</t>
        </is>
      </c>
      <c r="C524" s="5" t="inlineStr">
        <is>
          <t>No wash</t>
        </is>
      </c>
      <c r="D524" s="5" t="inlineStr">
        <is>
          <t>No wash</t>
        </is>
      </c>
      <c r="E524" s="5" t="inlineStr">
        <is>
          <t>Acid wash</t>
        </is>
      </c>
      <c r="F524" s="5" t="inlineStr">
        <is>
          <t>Mild</t>
        </is>
      </c>
      <c r="G524" s="4" t="inlineStr">
        <is>
          <t>Two step</t>
        </is>
      </c>
      <c r="H524" s="4" t="inlineStr">
        <is>
          <t>Pyrolysis</t>
        </is>
      </c>
      <c r="I524" s="4" t="inlineStr">
        <is>
          <t>No</t>
        </is>
      </c>
      <c r="J524" s="4" t="n">
        <v>120</v>
      </c>
      <c r="K524" s="4" t="n">
        <v>5</v>
      </c>
      <c r="L524" s="4" t="n">
        <v>500</v>
      </c>
      <c r="M524" s="4" t="inlineStr">
        <is>
          <t>Pyrolysis</t>
        </is>
      </c>
      <c r="N524" s="4" t="inlineStr">
        <is>
          <t>No</t>
        </is>
      </c>
      <c r="O524" s="4" t="n">
        <v>120</v>
      </c>
      <c r="P524" s="4" t="n">
        <v>5</v>
      </c>
      <c r="Q524" s="4" t="n">
        <v>1200</v>
      </c>
      <c r="R524" s="5" t="n">
        <v>7.64</v>
      </c>
      <c r="S524" s="5" t="n">
        <v>0.391</v>
      </c>
      <c r="T524" s="45">
        <f>1/2.01</f>
        <v/>
      </c>
      <c r="U524" s="5" t="n">
        <v>9.56</v>
      </c>
      <c r="V524" s="5" t="n"/>
      <c r="W524" s="5" t="n">
        <v>0.0077</v>
      </c>
      <c r="X524" s="44" t="n">
        <v>91.26000000000001</v>
      </c>
      <c r="Y524" s="44" t="inlineStr">
        <is>
          <t>[137]</t>
        </is>
      </c>
    </row>
    <row r="525" ht="15" customHeight="1">
      <c r="A525" s="4" t="inlineStr">
        <is>
          <t>Corncob</t>
        </is>
      </c>
      <c r="B525" s="5" t="inlineStr">
        <is>
          <t>Carbon   3M HCl</t>
        </is>
      </c>
      <c r="C525" s="5" t="inlineStr">
        <is>
          <t>No wash</t>
        </is>
      </c>
      <c r="D525" s="5" t="inlineStr">
        <is>
          <t>No wash</t>
        </is>
      </c>
      <c r="E525" s="5" t="inlineStr">
        <is>
          <t>Acid wash</t>
        </is>
      </c>
      <c r="F525" s="5" t="inlineStr">
        <is>
          <t>Mild</t>
        </is>
      </c>
      <c r="G525" s="4" t="inlineStr">
        <is>
          <t>Two step</t>
        </is>
      </c>
      <c r="H525" s="4" t="inlineStr">
        <is>
          <t>Pyrolysis</t>
        </is>
      </c>
      <c r="I525" s="4" t="inlineStr">
        <is>
          <t>No</t>
        </is>
      </c>
      <c r="J525" s="4" t="n">
        <v>120</v>
      </c>
      <c r="K525" s="4" t="n">
        <v>5</v>
      </c>
      <c r="L525" s="4" t="n">
        <v>500</v>
      </c>
      <c r="M525" s="4" t="inlineStr">
        <is>
          <t>Pyrolysis</t>
        </is>
      </c>
      <c r="N525" s="4" t="inlineStr">
        <is>
          <t>No</t>
        </is>
      </c>
      <c r="O525" s="4" t="n">
        <v>120</v>
      </c>
      <c r="P525" s="4" t="n">
        <v>5</v>
      </c>
      <c r="Q525" s="4" t="n">
        <v>1400</v>
      </c>
      <c r="R525" s="5" t="n">
        <v>7.81</v>
      </c>
      <c r="S525" s="5" t="n">
        <v>0.388</v>
      </c>
      <c r="T525" s="45">
        <f>1/1.62</f>
        <v/>
      </c>
      <c r="U525" s="5" t="n">
        <v>11.87</v>
      </c>
      <c r="V525" s="5" t="n"/>
      <c r="W525" s="5" t="n">
        <v>0.0153</v>
      </c>
      <c r="X525" s="44" t="n">
        <v>92.87</v>
      </c>
      <c r="Y525" s="44" t="inlineStr">
        <is>
          <t>[137]</t>
        </is>
      </c>
    </row>
    <row r="526" ht="15" customHeight="1">
      <c r="A526" s="4" t="inlineStr">
        <is>
          <t>Corncob</t>
        </is>
      </c>
      <c r="B526" s="5" t="inlineStr">
        <is>
          <t>Carbon   3M HCl</t>
        </is>
      </c>
      <c r="C526" s="5" t="inlineStr">
        <is>
          <t>No wash</t>
        </is>
      </c>
      <c r="D526" s="5" t="inlineStr">
        <is>
          <t>No wash</t>
        </is>
      </c>
      <c r="E526" s="5" t="inlineStr">
        <is>
          <t>Acid wash</t>
        </is>
      </c>
      <c r="F526" s="5" t="inlineStr">
        <is>
          <t>Mild</t>
        </is>
      </c>
      <c r="G526" s="4" t="inlineStr">
        <is>
          <t>Two step</t>
        </is>
      </c>
      <c r="H526" s="4" t="inlineStr">
        <is>
          <t>Pyrolysis</t>
        </is>
      </c>
      <c r="I526" s="4" t="inlineStr">
        <is>
          <t>No</t>
        </is>
      </c>
      <c r="J526" s="4" t="n">
        <v>120</v>
      </c>
      <c r="K526" s="4" t="n">
        <v>5</v>
      </c>
      <c r="L526" s="4" t="n">
        <v>500</v>
      </c>
      <c r="M526" s="4" t="inlineStr">
        <is>
          <t>Pyrolysis</t>
        </is>
      </c>
      <c r="N526" s="4" t="inlineStr">
        <is>
          <t>No</t>
        </is>
      </c>
      <c r="O526" s="4" t="n">
        <v>120</v>
      </c>
      <c r="P526" s="4" t="n">
        <v>5</v>
      </c>
      <c r="Q526" s="4" t="n">
        <v>1600</v>
      </c>
      <c r="R526" s="5" t="n">
        <v>9.630000000000001</v>
      </c>
      <c r="S526" s="5" t="n">
        <v>0.38</v>
      </c>
      <c r="T526" s="45">
        <f>1/1.52</f>
        <v/>
      </c>
      <c r="U526" s="5" t="n">
        <v>12.65</v>
      </c>
      <c r="V526" s="5" t="n"/>
      <c r="W526" s="5" t="n">
        <v>0.014</v>
      </c>
      <c r="X526" s="44" t="n">
        <v>94.5</v>
      </c>
      <c r="Y526" s="44" t="inlineStr">
        <is>
          <t>[137]</t>
        </is>
      </c>
    </row>
    <row r="527" ht="15" customHeight="1">
      <c r="A527" s="4" t="inlineStr">
        <is>
          <t>Glucose</t>
        </is>
      </c>
      <c r="B527" s="5" t="inlineStr">
        <is>
          <t>No</t>
        </is>
      </c>
      <c r="C527" s="5" t="inlineStr">
        <is>
          <t>No wash</t>
        </is>
      </c>
      <c r="D527" s="5" t="inlineStr">
        <is>
          <t>No wash</t>
        </is>
      </c>
      <c r="E527" s="5" t="inlineStr">
        <is>
          <t>No wash</t>
        </is>
      </c>
      <c r="F527" s="5" t="inlineStr">
        <is>
          <t>No wash</t>
        </is>
      </c>
      <c r="G527" s="4" t="inlineStr">
        <is>
          <t>Two step</t>
        </is>
      </c>
      <c r="H527" s="4" t="inlineStr">
        <is>
          <t>HTC</t>
        </is>
      </c>
      <c r="I527" s="4" t="inlineStr">
        <is>
          <t>No</t>
        </is>
      </c>
      <c r="J527" s="4" t="n">
        <v>120</v>
      </c>
      <c r="K527" s="4" t="n"/>
      <c r="L527" s="4" t="n">
        <v>200</v>
      </c>
      <c r="M527" s="4" t="inlineStr">
        <is>
          <t>Pyrolysis</t>
        </is>
      </c>
      <c r="N527" s="4" t="inlineStr">
        <is>
          <t>No</t>
        </is>
      </c>
      <c r="O527" s="4" t="n">
        <v>120</v>
      </c>
      <c r="P527" s="4" t="n">
        <v>5</v>
      </c>
      <c r="Q527" s="4" t="n">
        <v>1000</v>
      </c>
      <c r="R527" s="5" t="n">
        <v>338.8</v>
      </c>
      <c r="S527" s="5" t="n">
        <v>0.391</v>
      </c>
      <c r="T527" s="46" t="n">
        <v>1</v>
      </c>
      <c r="U527" s="5" t="n">
        <v>1.26</v>
      </c>
      <c r="V527" s="5" t="n"/>
      <c r="W527" s="5" t="n">
        <v>0.19</v>
      </c>
      <c r="X527" s="44" t="n">
        <v>84.7</v>
      </c>
      <c r="Y527" s="44" t="inlineStr">
        <is>
          <t>[138]</t>
        </is>
      </c>
    </row>
    <row r="528" ht="15" customHeight="1">
      <c r="A528" s="4" t="inlineStr">
        <is>
          <t>Glucose</t>
        </is>
      </c>
      <c r="B528" s="5" t="inlineStr">
        <is>
          <t>No</t>
        </is>
      </c>
      <c r="C528" s="5" t="inlineStr">
        <is>
          <t>No wash</t>
        </is>
      </c>
      <c r="D528" s="5" t="inlineStr">
        <is>
          <t>No wash</t>
        </is>
      </c>
      <c r="E528" s="5" t="inlineStr">
        <is>
          <t>No wash</t>
        </is>
      </c>
      <c r="F528" s="5" t="inlineStr">
        <is>
          <t>No wash</t>
        </is>
      </c>
      <c r="G528" s="4" t="inlineStr">
        <is>
          <t>One step</t>
        </is>
      </c>
      <c r="H528" s="4" t="inlineStr">
        <is>
          <t>Pyrolysis</t>
        </is>
      </c>
      <c r="I528" s="4" t="inlineStr">
        <is>
          <t>No</t>
        </is>
      </c>
      <c r="J528" s="4" t="n">
        <v>120</v>
      </c>
      <c r="K528" s="4" t="n">
        <v>5</v>
      </c>
      <c r="L528" s="4" t="n">
        <v>1000</v>
      </c>
      <c r="M528" s="4" t="inlineStr">
        <is>
          <t>No</t>
        </is>
      </c>
      <c r="N528" s="4" t="inlineStr">
        <is>
          <t>No</t>
        </is>
      </c>
      <c r="O528" s="4" t="inlineStr">
        <is>
          <t>No</t>
        </is>
      </c>
      <c r="P528" s="4" t="inlineStr">
        <is>
          <t>No</t>
        </is>
      </c>
      <c r="Q528" s="4" t="inlineStr">
        <is>
          <t>No</t>
        </is>
      </c>
      <c r="R528" s="5" t="n">
        <v>34.4</v>
      </c>
      <c r="S528" s="5" t="n">
        <v>0.385</v>
      </c>
      <c r="T528" s="46" t="n">
        <v>1.08</v>
      </c>
      <c r="U528" s="5" t="n">
        <v>1.31</v>
      </c>
      <c r="V528" s="5" t="n"/>
      <c r="W528" s="5" t="n">
        <v>0.024</v>
      </c>
      <c r="X528" s="44" t="n">
        <v>90.2</v>
      </c>
      <c r="Y528" s="44" t="inlineStr">
        <is>
          <t>[138]</t>
        </is>
      </c>
    </row>
    <row r="529" ht="15" customHeight="1">
      <c r="A529" s="4" t="inlineStr">
        <is>
          <t>Glucose</t>
        </is>
      </c>
      <c r="B529" s="5" t="inlineStr">
        <is>
          <t>No</t>
        </is>
      </c>
      <c r="C529" s="5" t="inlineStr">
        <is>
          <t>No wash</t>
        </is>
      </c>
      <c r="D529" s="5" t="inlineStr">
        <is>
          <t>No wash</t>
        </is>
      </c>
      <c r="E529" s="5" t="inlineStr">
        <is>
          <t>No wash</t>
        </is>
      </c>
      <c r="F529" s="5" t="inlineStr">
        <is>
          <t>No wash</t>
        </is>
      </c>
      <c r="G529" s="4" t="inlineStr">
        <is>
          <t>Two step</t>
        </is>
      </c>
      <c r="H529" s="4" t="inlineStr">
        <is>
          <t>HTC</t>
        </is>
      </c>
      <c r="I529" s="4" t="inlineStr">
        <is>
          <t>No</t>
        </is>
      </c>
      <c r="J529" s="4" t="n">
        <v>120</v>
      </c>
      <c r="K529" s="4" t="n"/>
      <c r="L529" s="4" t="n">
        <v>200</v>
      </c>
      <c r="M529" s="4" t="inlineStr">
        <is>
          <t>Pyrolysis</t>
        </is>
      </c>
      <c r="N529" s="4" t="inlineStr">
        <is>
          <t>No</t>
        </is>
      </c>
      <c r="O529" s="4" t="n">
        <v>120</v>
      </c>
      <c r="P529" s="4" t="n">
        <v>5</v>
      </c>
      <c r="Q529" s="4" t="n">
        <v>1300</v>
      </c>
      <c r="R529" s="5" t="n">
        <v>26.1</v>
      </c>
      <c r="S529" s="5" t="n">
        <v>0.377</v>
      </c>
      <c r="T529" s="46" t="n">
        <v>1.12</v>
      </c>
      <c r="U529" s="5" t="n">
        <v>1.34</v>
      </c>
      <c r="V529" s="5" t="n"/>
      <c r="W529" s="5" t="n">
        <v>0.019</v>
      </c>
      <c r="X529" s="44" t="n">
        <v>97</v>
      </c>
      <c r="Y529" s="44" t="inlineStr">
        <is>
          <t>[138]</t>
        </is>
      </c>
    </row>
    <row r="530" ht="15" customHeight="1">
      <c r="A530" s="4" t="inlineStr">
        <is>
          <t>Glucose</t>
        </is>
      </c>
      <c r="B530" s="5" t="inlineStr">
        <is>
          <t>No</t>
        </is>
      </c>
      <c r="C530" s="5" t="inlineStr">
        <is>
          <t>No wash</t>
        </is>
      </c>
      <c r="D530" s="5" t="inlineStr">
        <is>
          <t>No wash</t>
        </is>
      </c>
      <c r="E530" s="5" t="inlineStr">
        <is>
          <t>No wash</t>
        </is>
      </c>
      <c r="F530" s="5" t="inlineStr">
        <is>
          <t>No wash</t>
        </is>
      </c>
      <c r="G530" s="4" t="inlineStr">
        <is>
          <t>One step</t>
        </is>
      </c>
      <c r="H530" s="4" t="inlineStr">
        <is>
          <t>Pyrolysis</t>
        </is>
      </c>
      <c r="I530" s="4" t="inlineStr">
        <is>
          <t>No</t>
        </is>
      </c>
      <c r="J530" s="4" t="n">
        <v>120</v>
      </c>
      <c r="K530" s="4" t="n">
        <v>5</v>
      </c>
      <c r="L530" s="4" t="n">
        <v>1300</v>
      </c>
      <c r="M530" s="4" t="inlineStr">
        <is>
          <t>No</t>
        </is>
      </c>
      <c r="N530" s="4" t="inlineStr">
        <is>
          <t>No</t>
        </is>
      </c>
      <c r="O530" s="4" t="inlineStr">
        <is>
          <t>No</t>
        </is>
      </c>
      <c r="P530" s="4" t="inlineStr">
        <is>
          <t>No</t>
        </is>
      </c>
      <c r="Q530" s="4" t="inlineStr">
        <is>
          <t>No</t>
        </is>
      </c>
      <c r="R530" s="5" t="n">
        <v>85.09999999999999</v>
      </c>
      <c r="S530" s="5" t="n">
        <v>0.388</v>
      </c>
      <c r="T530" s="46" t="n">
        <v>1.05</v>
      </c>
      <c r="U530" s="5" t="n">
        <v>1.29</v>
      </c>
      <c r="V530" s="5" t="n"/>
      <c r="W530" s="5" t="n">
        <v>0.048</v>
      </c>
      <c r="X530" s="44" t="n">
        <v>90.2</v>
      </c>
      <c r="Y530" s="44" t="inlineStr">
        <is>
          <t>[138]</t>
        </is>
      </c>
    </row>
    <row r="531" ht="15" customHeight="1">
      <c r="A531" s="4" t="inlineStr">
        <is>
          <t>Glucose</t>
        </is>
      </c>
      <c r="B531" s="5" t="inlineStr">
        <is>
          <t>No</t>
        </is>
      </c>
      <c r="C531" s="5" t="inlineStr">
        <is>
          <t>No wash</t>
        </is>
      </c>
      <c r="D531" s="5" t="inlineStr">
        <is>
          <t>No wash</t>
        </is>
      </c>
      <c r="E531" s="5" t="inlineStr">
        <is>
          <t>No wash</t>
        </is>
      </c>
      <c r="F531" s="5" t="inlineStr">
        <is>
          <t>No wash</t>
        </is>
      </c>
      <c r="G531" s="4" t="inlineStr">
        <is>
          <t>Two step</t>
        </is>
      </c>
      <c r="H531" s="4" t="inlineStr">
        <is>
          <t>HTC</t>
        </is>
      </c>
      <c r="I531" s="4" t="inlineStr">
        <is>
          <t>No</t>
        </is>
      </c>
      <c r="J531" s="4" t="n">
        <v>120</v>
      </c>
      <c r="K531" s="4" t="n"/>
      <c r="L531" s="4" t="n">
        <v>200</v>
      </c>
      <c r="M531" s="4" t="inlineStr">
        <is>
          <t>Pyrolysis</t>
        </is>
      </c>
      <c r="N531" s="4" t="inlineStr">
        <is>
          <t>No</t>
        </is>
      </c>
      <c r="O531" s="4" t="n">
        <v>120</v>
      </c>
      <c r="P531" s="4" t="n">
        <v>5</v>
      </c>
      <c r="Q531" s="4" t="n">
        <v>1500</v>
      </c>
      <c r="R531" s="5" t="n">
        <v>28</v>
      </c>
      <c r="S531" s="5" t="n">
        <v>0.378</v>
      </c>
      <c r="T531" s="46" t="n">
        <v>1.12</v>
      </c>
      <c r="U531" s="5" t="n">
        <v>1.34</v>
      </c>
      <c r="V531" s="5" t="n"/>
      <c r="W531" s="5" t="n">
        <v>0.016</v>
      </c>
      <c r="X531" s="44" t="n">
        <v>93.2</v>
      </c>
      <c r="Y531" s="44" t="inlineStr">
        <is>
          <t>[138]</t>
        </is>
      </c>
    </row>
    <row r="532" ht="15" customHeight="1">
      <c r="A532" s="4" t="inlineStr">
        <is>
          <t>Glucose</t>
        </is>
      </c>
      <c r="B532" s="5" t="inlineStr">
        <is>
          <t>No</t>
        </is>
      </c>
      <c r="C532" s="5" t="inlineStr">
        <is>
          <t>No wash</t>
        </is>
      </c>
      <c r="D532" s="5" t="inlineStr">
        <is>
          <t>No wash</t>
        </is>
      </c>
      <c r="E532" s="5" t="inlineStr">
        <is>
          <t>No wash</t>
        </is>
      </c>
      <c r="F532" s="5" t="inlineStr">
        <is>
          <t>No wash</t>
        </is>
      </c>
      <c r="G532" s="4" t="inlineStr">
        <is>
          <t>One step</t>
        </is>
      </c>
      <c r="H532" s="4" t="inlineStr">
        <is>
          <t>Pyrolysis</t>
        </is>
      </c>
      <c r="I532" s="4" t="inlineStr">
        <is>
          <t>No</t>
        </is>
      </c>
      <c r="J532" s="4" t="n">
        <v>120</v>
      </c>
      <c r="K532" s="4" t="n">
        <v>5</v>
      </c>
      <c r="L532" s="4" t="n">
        <v>1500</v>
      </c>
      <c r="M532" s="4" t="inlineStr">
        <is>
          <t>No</t>
        </is>
      </c>
      <c r="N532" s="4" t="inlineStr">
        <is>
          <t>No</t>
        </is>
      </c>
      <c r="O532" s="4" t="inlineStr">
        <is>
          <t>No</t>
        </is>
      </c>
      <c r="P532" s="4" t="inlineStr">
        <is>
          <t>No</t>
        </is>
      </c>
      <c r="Q532" s="4" t="inlineStr">
        <is>
          <t>No</t>
        </is>
      </c>
      <c r="R532" s="5" t="n">
        <v>22.6</v>
      </c>
      <c r="S532" s="5" t="n">
        <v>0.357</v>
      </c>
      <c r="T532" s="46" t="n">
        <v>1.39</v>
      </c>
      <c r="U532" s="5" t="n">
        <v>1.49</v>
      </c>
      <c r="V532" s="5" t="n"/>
      <c r="W532" s="5" t="n">
        <v>0.014</v>
      </c>
      <c r="X532" s="44" t="n">
        <v>95.7</v>
      </c>
      <c r="Y532" s="44" t="inlineStr">
        <is>
          <t>[138]</t>
        </is>
      </c>
    </row>
    <row r="533" ht="15" customHeight="1">
      <c r="A533" s="4" t="inlineStr">
        <is>
          <t>Cork</t>
        </is>
      </c>
      <c r="B533" s="5" t="inlineStr">
        <is>
          <t>No</t>
        </is>
      </c>
      <c r="C533" s="5" t="inlineStr">
        <is>
          <t>No wash</t>
        </is>
      </c>
      <c r="D533" s="5" t="inlineStr">
        <is>
          <t>No wash</t>
        </is>
      </c>
      <c r="E533" s="5" t="inlineStr">
        <is>
          <t>No wash</t>
        </is>
      </c>
      <c r="F533" s="5" t="inlineStr">
        <is>
          <t>No wash</t>
        </is>
      </c>
      <c r="G533" s="4" t="inlineStr">
        <is>
          <t>One step</t>
        </is>
      </c>
      <c r="H533" s="4" t="inlineStr">
        <is>
          <t>Pyrolysis</t>
        </is>
      </c>
      <c r="I533" s="4" t="inlineStr">
        <is>
          <t>No</t>
        </is>
      </c>
      <c r="J533" s="4" t="n">
        <v>120</v>
      </c>
      <c r="K533" s="4" t="n">
        <v>2</v>
      </c>
      <c r="L533" s="4" t="n">
        <v>1500</v>
      </c>
      <c r="M533" s="4" t="inlineStr">
        <is>
          <t>No</t>
        </is>
      </c>
      <c r="N533" s="4" t="inlineStr">
        <is>
          <t>No</t>
        </is>
      </c>
      <c r="O533" s="4" t="inlineStr">
        <is>
          <t>No</t>
        </is>
      </c>
      <c r="P533" s="4" t="inlineStr">
        <is>
          <t>No</t>
        </is>
      </c>
      <c r="Q533" s="4" t="inlineStr">
        <is>
          <t>No</t>
        </is>
      </c>
      <c r="R533" s="5" t="n">
        <v>47</v>
      </c>
      <c r="S533" s="5" t="n">
        <v>0.3404</v>
      </c>
      <c r="T533" s="45" t="n">
        <v>1.15</v>
      </c>
      <c r="U533" s="5" t="n">
        <v>6.553</v>
      </c>
      <c r="V533" s="5" t="n">
        <v>4.866</v>
      </c>
      <c r="W533" s="5" t="n">
        <v>0.05579</v>
      </c>
      <c r="X533" s="47" t="n">
        <v>94.38</v>
      </c>
      <c r="Y533" s="44" t="inlineStr">
        <is>
          <t>[139]</t>
        </is>
      </c>
    </row>
    <row r="534" ht="15" customHeight="1">
      <c r="A534" s="4" t="inlineStr">
        <is>
          <t>Yellow sandle</t>
        </is>
      </c>
      <c r="B534" s="5" t="inlineStr">
        <is>
          <t>No</t>
        </is>
      </c>
      <c r="C534" s="5" t="inlineStr">
        <is>
          <t>No wash</t>
        </is>
      </c>
      <c r="D534" s="5" t="inlineStr">
        <is>
          <t>No wash</t>
        </is>
      </c>
      <c r="E534" s="5" t="inlineStr">
        <is>
          <t>No wash</t>
        </is>
      </c>
      <c r="F534" s="5" t="inlineStr">
        <is>
          <t>No wash</t>
        </is>
      </c>
      <c r="G534" s="4" t="inlineStr">
        <is>
          <t>One step</t>
        </is>
      </c>
      <c r="H534" s="4" t="inlineStr">
        <is>
          <t>Pyrolysis</t>
        </is>
      </c>
      <c r="I534" s="4" t="inlineStr">
        <is>
          <t>No</t>
        </is>
      </c>
      <c r="J534" s="4" t="n">
        <v>120</v>
      </c>
      <c r="K534" s="4" t="n">
        <v>2</v>
      </c>
      <c r="L534" s="4" t="n">
        <v>1500</v>
      </c>
      <c r="M534" s="4" t="inlineStr">
        <is>
          <t>No</t>
        </is>
      </c>
      <c r="N534" s="4" t="inlineStr">
        <is>
          <t>No</t>
        </is>
      </c>
      <c r="O534" s="4" t="inlineStr">
        <is>
          <t>No</t>
        </is>
      </c>
      <c r="P534" s="4" t="inlineStr">
        <is>
          <t>No</t>
        </is>
      </c>
      <c r="Q534" s="4" t="inlineStr">
        <is>
          <t>No</t>
        </is>
      </c>
      <c r="R534" s="5" t="n">
        <v>14.6</v>
      </c>
      <c r="S534" s="5" t="n">
        <v>0.3784</v>
      </c>
      <c r="T534" s="45" t="n">
        <v>1.17</v>
      </c>
      <c r="U534" s="5" t="n">
        <v>5.3</v>
      </c>
      <c r="V534" s="5" t="n">
        <v>1.346</v>
      </c>
      <c r="W534" s="5" t="n">
        <v>0.008160000000000001</v>
      </c>
      <c r="X534" s="47" t="n">
        <v>94.72</v>
      </c>
      <c r="Y534" s="44" t="inlineStr">
        <is>
          <t>[139]</t>
        </is>
      </c>
    </row>
    <row r="535" ht="15" customHeight="1">
      <c r="A535" s="4" t="inlineStr">
        <is>
          <t>Rosewood</t>
        </is>
      </c>
      <c r="B535" s="5" t="inlineStr">
        <is>
          <t>No</t>
        </is>
      </c>
      <c r="C535" s="5" t="inlineStr">
        <is>
          <t>No wash</t>
        </is>
      </c>
      <c r="D535" s="5" t="inlineStr">
        <is>
          <t>No wash</t>
        </is>
      </c>
      <c r="E535" s="5" t="inlineStr">
        <is>
          <t>No wash</t>
        </is>
      </c>
      <c r="F535" s="5" t="inlineStr">
        <is>
          <t>No wash</t>
        </is>
      </c>
      <c r="G535" s="4" t="inlineStr">
        <is>
          <t>One step</t>
        </is>
      </c>
      <c r="H535" s="4" t="inlineStr">
        <is>
          <t>Pyrolysis</t>
        </is>
      </c>
      <c r="I535" s="4" t="inlineStr">
        <is>
          <t>No</t>
        </is>
      </c>
      <c r="J535" s="4" t="n">
        <v>120</v>
      </c>
      <c r="K535" s="4" t="n">
        <v>2</v>
      </c>
      <c r="L535" s="4" t="n">
        <v>1500</v>
      </c>
      <c r="M535" s="4" t="inlineStr">
        <is>
          <t>No</t>
        </is>
      </c>
      <c r="N535" s="4" t="inlineStr">
        <is>
          <t>No</t>
        </is>
      </c>
      <c r="O535" s="4" t="inlineStr">
        <is>
          <t>No</t>
        </is>
      </c>
      <c r="P535" s="4" t="inlineStr">
        <is>
          <t>No</t>
        </is>
      </c>
      <c r="Q535" s="4" t="inlineStr">
        <is>
          <t>No</t>
        </is>
      </c>
      <c r="R535" s="5" t="n">
        <v>2.6</v>
      </c>
      <c r="S535" s="5" t="n">
        <v>0.3733</v>
      </c>
      <c r="T535" s="45" t="n">
        <v>1.295</v>
      </c>
      <c r="U535" s="5" t="n">
        <v>6.35</v>
      </c>
      <c r="V535" s="5" t="n">
        <v>1.347</v>
      </c>
      <c r="W535" s="5" t="n">
        <v>0.00326</v>
      </c>
      <c r="X535" s="47" t="n">
        <v>95.19</v>
      </c>
      <c r="Y535" s="44" t="inlineStr">
        <is>
          <t>[139]</t>
        </is>
      </c>
    </row>
    <row r="536" ht="15" customHeight="1">
      <c r="A536" s="11" t="inlineStr">
        <is>
          <t>D-glucose</t>
        </is>
      </c>
      <c r="B536" s="5" t="inlineStr">
        <is>
          <t>No</t>
        </is>
      </c>
      <c r="C536" s="5" t="inlineStr">
        <is>
          <t>No wash</t>
        </is>
      </c>
      <c r="D536" s="5" t="inlineStr">
        <is>
          <t>No wash</t>
        </is>
      </c>
      <c r="E536" s="5" t="inlineStr">
        <is>
          <t>No wash</t>
        </is>
      </c>
      <c r="F536" s="5" t="inlineStr">
        <is>
          <t>No wash</t>
        </is>
      </c>
      <c r="G536" s="29" t="inlineStr">
        <is>
          <t>Two step</t>
        </is>
      </c>
      <c r="H536" s="29" t="inlineStr">
        <is>
          <t>HTC</t>
        </is>
      </c>
      <c r="I536" s="29" t="inlineStr">
        <is>
          <t>No</t>
        </is>
      </c>
      <c r="J536" s="4" t="n">
        <v>720</v>
      </c>
      <c r="K536" s="4" t="n"/>
      <c r="L536" s="4" t="n">
        <v>230</v>
      </c>
      <c r="M536" s="29" t="inlineStr">
        <is>
          <t>Pyrolysis</t>
        </is>
      </c>
      <c r="N536" s="29" t="inlineStr">
        <is>
          <t>No</t>
        </is>
      </c>
      <c r="O536" s="4" t="n">
        <v>120</v>
      </c>
      <c r="P536" s="4" t="n"/>
      <c r="Q536" s="4" t="n">
        <v>1000</v>
      </c>
      <c r="R536" s="5" t="n">
        <v>382</v>
      </c>
      <c r="S536" s="5" t="n">
        <v>0.41</v>
      </c>
      <c r="T536" s="45" t="n">
        <v>0.88</v>
      </c>
      <c r="U536" s="5" t="n">
        <v>1.39</v>
      </c>
      <c r="V536" s="5" t="n">
        <v>1.21</v>
      </c>
      <c r="W536" s="5" t="n">
        <v>0.175</v>
      </c>
      <c r="X536" s="44" t="n">
        <v>94.09999999999999</v>
      </c>
      <c r="Y536" s="44" t="inlineStr">
        <is>
          <t>[140]</t>
        </is>
      </c>
    </row>
    <row r="537" ht="15" customHeight="1">
      <c r="A537" s="11" t="inlineStr">
        <is>
          <t>D-glucose</t>
        </is>
      </c>
      <c r="B537" s="5" t="inlineStr">
        <is>
          <t>No</t>
        </is>
      </c>
      <c r="C537" s="5" t="inlineStr">
        <is>
          <t>No wash</t>
        </is>
      </c>
      <c r="D537" s="5" t="inlineStr">
        <is>
          <t>No wash</t>
        </is>
      </c>
      <c r="E537" s="5" t="inlineStr">
        <is>
          <t>No wash</t>
        </is>
      </c>
      <c r="F537" s="5" t="inlineStr">
        <is>
          <t>No wash</t>
        </is>
      </c>
      <c r="G537" s="29" t="inlineStr">
        <is>
          <t>Two step</t>
        </is>
      </c>
      <c r="H537" s="29" t="inlineStr">
        <is>
          <t>HTC</t>
        </is>
      </c>
      <c r="I537" s="29" t="inlineStr">
        <is>
          <t>No</t>
        </is>
      </c>
      <c r="J537" s="4" t="n">
        <v>720</v>
      </c>
      <c r="K537" s="4" t="n"/>
      <c r="L537" s="4" t="n">
        <v>230</v>
      </c>
      <c r="M537" s="29" t="inlineStr">
        <is>
          <t>Pyrolysis</t>
        </is>
      </c>
      <c r="N537" s="29" t="inlineStr">
        <is>
          <t>No</t>
        </is>
      </c>
      <c r="O537" s="4" t="n">
        <v>120</v>
      </c>
      <c r="P537" s="4" t="n"/>
      <c r="Q537" s="4" t="n">
        <v>1300</v>
      </c>
      <c r="R537" s="5" t="n">
        <v>10</v>
      </c>
      <c r="S537" s="5" t="n">
        <v>0.393</v>
      </c>
      <c r="T537" s="45" t="n">
        <v>0.99</v>
      </c>
      <c r="U537" s="5" t="n">
        <v>1.48</v>
      </c>
      <c r="V537" s="5" t="n">
        <v>1.25</v>
      </c>
      <c r="W537" s="5" t="n">
        <v>0.031</v>
      </c>
      <c r="X537" s="44" t="n">
        <v>96</v>
      </c>
      <c r="Y537" s="44" t="inlineStr">
        <is>
          <t>[140]</t>
        </is>
      </c>
    </row>
    <row r="538" ht="15" customHeight="1">
      <c r="A538" s="11" t="inlineStr">
        <is>
          <t>D-glucose</t>
        </is>
      </c>
      <c r="B538" s="5" t="inlineStr">
        <is>
          <t>No</t>
        </is>
      </c>
      <c r="C538" s="5" t="inlineStr">
        <is>
          <t>No wash</t>
        </is>
      </c>
      <c r="D538" s="5" t="inlineStr">
        <is>
          <t>No wash</t>
        </is>
      </c>
      <c r="E538" s="5" t="inlineStr">
        <is>
          <t>No wash</t>
        </is>
      </c>
      <c r="F538" s="5" t="inlineStr">
        <is>
          <t>No wash</t>
        </is>
      </c>
      <c r="G538" s="29" t="inlineStr">
        <is>
          <t>Two step</t>
        </is>
      </c>
      <c r="H538" s="29" t="inlineStr">
        <is>
          <t>HTC</t>
        </is>
      </c>
      <c r="I538" s="29" t="inlineStr">
        <is>
          <t>No</t>
        </is>
      </c>
      <c r="J538" s="4" t="n">
        <v>720</v>
      </c>
      <c r="K538" s="4" t="n"/>
      <c r="L538" s="4" t="n">
        <v>230</v>
      </c>
      <c r="M538" s="29" t="inlineStr">
        <is>
          <t>Pyrolysis</t>
        </is>
      </c>
      <c r="N538" s="29" t="inlineStr">
        <is>
          <t>No</t>
        </is>
      </c>
      <c r="O538" s="4" t="n">
        <v>120</v>
      </c>
      <c r="P538" s="4" t="n"/>
      <c r="Q538" s="4" t="n">
        <v>1500</v>
      </c>
      <c r="R538" s="5" t="n">
        <v>11</v>
      </c>
      <c r="S538" s="5" t="n">
        <v>0.383</v>
      </c>
      <c r="T538" s="45" t="n">
        <v>1.1</v>
      </c>
      <c r="U538" s="5" t="n">
        <v>1.55</v>
      </c>
      <c r="V538" s="5" t="n">
        <v>1.32</v>
      </c>
      <c r="W538" s="5" t="n">
        <v>0.047</v>
      </c>
      <c r="X538" s="44" t="n">
        <v>96.7</v>
      </c>
      <c r="Y538" s="44" t="inlineStr">
        <is>
          <t>[140]</t>
        </is>
      </c>
    </row>
    <row r="539" ht="15" customHeight="1">
      <c r="A539" s="11" t="inlineStr">
        <is>
          <t>D-glucose</t>
        </is>
      </c>
      <c r="B539" s="5" t="inlineStr">
        <is>
          <t>No</t>
        </is>
      </c>
      <c r="C539" s="5" t="inlineStr">
        <is>
          <t>No wash</t>
        </is>
      </c>
      <c r="D539" s="5" t="inlineStr">
        <is>
          <t>No wash</t>
        </is>
      </c>
      <c r="E539" s="5" t="inlineStr">
        <is>
          <t>No wash</t>
        </is>
      </c>
      <c r="F539" s="5" t="inlineStr">
        <is>
          <t>No wash</t>
        </is>
      </c>
      <c r="G539" s="29" t="inlineStr">
        <is>
          <t>Two step</t>
        </is>
      </c>
      <c r="H539" s="29" t="inlineStr">
        <is>
          <t>HTC</t>
        </is>
      </c>
      <c r="I539" s="29" t="inlineStr">
        <is>
          <t>No</t>
        </is>
      </c>
      <c r="J539" s="4" t="n">
        <v>720</v>
      </c>
      <c r="K539" s="4" t="n"/>
      <c r="L539" s="4" t="n">
        <v>230</v>
      </c>
      <c r="M539" s="29" t="inlineStr">
        <is>
          <t>Pyrolysis</t>
        </is>
      </c>
      <c r="N539" s="29" t="inlineStr">
        <is>
          <t>No</t>
        </is>
      </c>
      <c r="O539" s="4" t="n">
        <v>120</v>
      </c>
      <c r="P539" s="4" t="n"/>
      <c r="Q539" s="4" t="n">
        <v>1700</v>
      </c>
      <c r="R539" s="5" t="n">
        <v>7</v>
      </c>
      <c r="S539" s="5" t="n">
        <v>0.363</v>
      </c>
      <c r="T539" s="45" t="n">
        <v>1.13</v>
      </c>
      <c r="U539" s="5" t="n">
        <v>2.17</v>
      </c>
      <c r="V539" s="5" t="n">
        <v>1.41</v>
      </c>
      <c r="W539" s="5" t="n">
        <v>0.023</v>
      </c>
      <c r="X539" s="44" t="n">
        <v>97.7</v>
      </c>
      <c r="Y539" s="44" t="inlineStr">
        <is>
          <t>[140]</t>
        </is>
      </c>
    </row>
    <row r="540" ht="15" customHeight="1">
      <c r="A540" s="11" t="inlineStr">
        <is>
          <t>D-glucose</t>
        </is>
      </c>
      <c r="B540" s="5" t="inlineStr">
        <is>
          <t>No</t>
        </is>
      </c>
      <c r="C540" s="5" t="inlineStr">
        <is>
          <t>No wash</t>
        </is>
      </c>
      <c r="D540" s="5" t="inlineStr">
        <is>
          <t>No wash</t>
        </is>
      </c>
      <c r="E540" s="5" t="inlineStr">
        <is>
          <t>No wash</t>
        </is>
      </c>
      <c r="F540" s="5" t="inlineStr">
        <is>
          <t>No wash</t>
        </is>
      </c>
      <c r="G540" s="29" t="inlineStr">
        <is>
          <t>Two step</t>
        </is>
      </c>
      <c r="H540" s="29" t="inlineStr">
        <is>
          <t>HTC</t>
        </is>
      </c>
      <c r="I540" s="29" t="inlineStr">
        <is>
          <t>No</t>
        </is>
      </c>
      <c r="J540" s="4" t="n">
        <v>720</v>
      </c>
      <c r="K540" s="4" t="n"/>
      <c r="L540" s="4" t="n">
        <v>230</v>
      </c>
      <c r="M540" s="29" t="inlineStr">
        <is>
          <t>Pyrolysis</t>
        </is>
      </c>
      <c r="N540" s="29" t="inlineStr">
        <is>
          <t>No</t>
        </is>
      </c>
      <c r="O540" s="4" t="n">
        <v>120</v>
      </c>
      <c r="P540" s="4" t="n"/>
      <c r="Q540" s="4" t="n">
        <v>1900</v>
      </c>
      <c r="R540" s="5" t="n">
        <v>7</v>
      </c>
      <c r="S540" s="5" t="n">
        <v>0.355</v>
      </c>
      <c r="T540" s="45" t="n">
        <v>1.18</v>
      </c>
      <c r="U540" s="5" t="n">
        <v>2.42</v>
      </c>
      <c r="V540" s="5" t="n">
        <v>1.75</v>
      </c>
      <c r="W540" s="5" t="n">
        <v>0.031</v>
      </c>
      <c r="X540" s="44" t="n">
        <v>98.7</v>
      </c>
      <c r="Y540" s="44" t="inlineStr">
        <is>
          <t>[140]</t>
        </is>
      </c>
    </row>
    <row r="541" ht="15" customHeight="1">
      <c r="A541" s="4" t="inlineStr">
        <is>
          <t>Corncob</t>
        </is>
      </c>
      <c r="B541" s="5" t="inlineStr">
        <is>
          <t>2M HCl+5%HF</t>
        </is>
      </c>
      <c r="C541" s="5" t="inlineStr">
        <is>
          <t>Acid wash</t>
        </is>
      </c>
      <c r="D541" s="5" t="inlineStr">
        <is>
          <t>Mild</t>
        </is>
      </c>
      <c r="E541" s="5" t="inlineStr">
        <is>
          <t>No wash</t>
        </is>
      </c>
      <c r="F541" s="5" t="inlineStr">
        <is>
          <t>No wash</t>
        </is>
      </c>
      <c r="G541" s="4" t="inlineStr">
        <is>
          <t>One step</t>
        </is>
      </c>
      <c r="H541" s="4" t="inlineStr">
        <is>
          <t>Pyrolysis</t>
        </is>
      </c>
      <c r="I541" s="4" t="inlineStr">
        <is>
          <t>No</t>
        </is>
      </c>
      <c r="J541" s="4" t="n">
        <v>120</v>
      </c>
      <c r="K541" s="4" t="n"/>
      <c r="L541" s="4" t="n">
        <v>1300</v>
      </c>
      <c r="M541" s="4" t="inlineStr">
        <is>
          <t>Pyrolysis</t>
        </is>
      </c>
      <c r="N541" s="4" t="inlineStr">
        <is>
          <t>No</t>
        </is>
      </c>
      <c r="O541" s="4" t="inlineStr">
        <is>
          <t>No</t>
        </is>
      </c>
      <c r="P541" s="4" t="inlineStr">
        <is>
          <t>No</t>
        </is>
      </c>
      <c r="Q541" s="4" t="inlineStr">
        <is>
          <t>No</t>
        </is>
      </c>
      <c r="R541" s="4" t="n">
        <v>26.9</v>
      </c>
      <c r="S541" s="4" t="n">
        <v>0.383</v>
      </c>
      <c r="T541" s="23">
        <f>1/1.87</f>
        <v/>
      </c>
      <c r="U541" s="4" t="n"/>
      <c r="V541" s="4" t="n"/>
      <c r="W541" s="4" t="n">
        <v>0.09055000000000001</v>
      </c>
      <c r="X541" s="4" t="n">
        <v>93.3</v>
      </c>
      <c r="Y541" s="44" t="inlineStr">
        <is>
          <t>[140]</t>
        </is>
      </c>
    </row>
    <row r="542" ht="15" customHeight="1">
      <c r="A542" s="4" t="inlineStr">
        <is>
          <t>Corncob</t>
        </is>
      </c>
      <c r="B542" s="5" t="inlineStr">
        <is>
          <t>2M HCl+5%HF</t>
        </is>
      </c>
      <c r="C542" s="5" t="inlineStr">
        <is>
          <t>Acid wash</t>
        </is>
      </c>
      <c r="D542" s="5" t="inlineStr">
        <is>
          <t>Mild</t>
        </is>
      </c>
      <c r="E542" s="5" t="inlineStr">
        <is>
          <t>No wash</t>
        </is>
      </c>
      <c r="F542" s="5" t="inlineStr">
        <is>
          <t>No wash</t>
        </is>
      </c>
      <c r="G542" s="4" t="inlineStr">
        <is>
          <t>Two step</t>
        </is>
      </c>
      <c r="H542" s="4" t="inlineStr">
        <is>
          <t>Pyrolysis</t>
        </is>
      </c>
      <c r="I542" s="4" t="inlineStr">
        <is>
          <t>No</t>
        </is>
      </c>
      <c r="J542" s="4" t="n">
        <v>120</v>
      </c>
      <c r="K542" s="4" t="n"/>
      <c r="L542" s="4" t="n">
        <v>400</v>
      </c>
      <c r="M542" s="4" t="inlineStr">
        <is>
          <t>Pyrolysis</t>
        </is>
      </c>
      <c r="N542" s="4" t="inlineStr">
        <is>
          <t>No</t>
        </is>
      </c>
      <c r="O542" s="4" t="n">
        <v>120</v>
      </c>
      <c r="P542" s="4" t="n"/>
      <c r="Q542" s="4" t="n">
        <v>1300</v>
      </c>
      <c r="R542" s="4" t="n">
        <v>14.9</v>
      </c>
      <c r="S542" s="4" t="n">
        <v>0.38</v>
      </c>
      <c r="T542" s="23">
        <f>1/1.74</f>
        <v/>
      </c>
      <c r="U542" s="4" t="n"/>
      <c r="V542" s="4" t="n"/>
      <c r="W542" s="4" t="n">
        <v>0.049</v>
      </c>
      <c r="X542" s="4" t="n">
        <v>93.8</v>
      </c>
      <c r="Y542" s="44" t="inlineStr">
        <is>
          <t>[140]</t>
        </is>
      </c>
    </row>
    <row r="543" ht="15" customHeight="1">
      <c r="A543" s="4" t="inlineStr">
        <is>
          <t>Corncob</t>
        </is>
      </c>
      <c r="B543" s="5" t="inlineStr">
        <is>
          <t>2M HCl+5%HF</t>
        </is>
      </c>
      <c r="C543" s="5" t="inlineStr">
        <is>
          <t>Acid wash</t>
        </is>
      </c>
      <c r="D543" s="5" t="inlineStr">
        <is>
          <t>Mild</t>
        </is>
      </c>
      <c r="E543" s="5" t="inlineStr">
        <is>
          <t>No wash</t>
        </is>
      </c>
      <c r="F543" s="5" t="inlineStr">
        <is>
          <t>No wash</t>
        </is>
      </c>
      <c r="G543" s="4" t="inlineStr">
        <is>
          <t>Two step</t>
        </is>
      </c>
      <c r="H543" s="4" t="inlineStr">
        <is>
          <t>Pyrolysis</t>
        </is>
      </c>
      <c r="I543" s="4" t="inlineStr">
        <is>
          <t>No</t>
        </is>
      </c>
      <c r="J543" s="4" t="n">
        <v>120</v>
      </c>
      <c r="K543" s="4" t="n"/>
      <c r="L543" s="4" t="n">
        <v>500</v>
      </c>
      <c r="M543" s="4" t="inlineStr">
        <is>
          <t>Pyrolysis</t>
        </is>
      </c>
      <c r="N543" s="4" t="inlineStr">
        <is>
          <t>No</t>
        </is>
      </c>
      <c r="O543" s="4" t="n">
        <v>120</v>
      </c>
      <c r="P543" s="4" t="n"/>
      <c r="Q543" s="4" t="n">
        <v>1300</v>
      </c>
      <c r="R543" s="4" t="n">
        <v>11.7</v>
      </c>
      <c r="S543" s="4" t="n">
        <v>0.379</v>
      </c>
      <c r="T543" s="23">
        <f>1/1.65</f>
        <v/>
      </c>
      <c r="U543" s="4" t="n"/>
      <c r="V543" s="4" t="n"/>
      <c r="W543" s="4" t="n">
        <v>0.03614</v>
      </c>
      <c r="X543" s="4" t="n">
        <v>95.3</v>
      </c>
      <c r="Y543" s="44" t="inlineStr">
        <is>
          <t>[140]</t>
        </is>
      </c>
    </row>
    <row r="544" ht="15" customHeight="1">
      <c r="A544" s="4" t="n"/>
      <c r="B544" s="5" t="n"/>
      <c r="C544" s="5" t="n"/>
      <c r="D544" s="5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</row>
    <row r="545" ht="15" customHeight="1">
      <c r="A545" s="4" t="n"/>
      <c r="B545" s="5" t="n"/>
      <c r="C545" s="5" t="n"/>
      <c r="D545" s="5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</row>
    <row r="546" ht="15" customHeight="1">
      <c r="A546" s="4" t="n"/>
      <c r="B546" s="5" t="n"/>
      <c r="C546" s="5" t="n"/>
      <c r="D546" s="5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</row>
    <row r="547" ht="15" customHeight="1">
      <c r="A547" s="4" t="n"/>
      <c r="B547" s="5" t="n"/>
      <c r="C547" s="5" t="n"/>
      <c r="D547" s="5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</row>
    <row r="548" ht="15" customHeight="1">
      <c r="A548" s="4" t="n"/>
      <c r="B548" s="5" t="n"/>
      <c r="C548" s="5" t="n"/>
      <c r="D548" s="5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</row>
    <row r="549" ht="15" customHeight="1">
      <c r="A549" s="4" t="n"/>
      <c r="B549" s="5" t="n"/>
      <c r="C549" s="5" t="n"/>
      <c r="D549" s="5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</row>
    <row r="550" ht="15" customHeight="1">
      <c r="A550" s="4" t="n"/>
      <c r="B550" s="5" t="n"/>
      <c r="C550" s="5" t="n"/>
      <c r="D550" s="5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</row>
    <row r="551" ht="15" customHeight="1">
      <c r="A551" s="4" t="n"/>
      <c r="B551" s="5" t="n"/>
      <c r="C551" s="5" t="n"/>
      <c r="D551" s="5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</row>
    <row r="552" ht="15" customHeight="1">
      <c r="A552" s="4" t="n"/>
      <c r="B552" s="5" t="n"/>
      <c r="C552" s="5" t="n"/>
      <c r="D552" s="5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</row>
    <row r="553" ht="15" customHeight="1">
      <c r="A553" s="4" t="n"/>
      <c r="B553" s="5" t="n"/>
      <c r="C553" s="5" t="n"/>
      <c r="D553" s="5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</row>
    <row r="554" ht="15" customHeight="1">
      <c r="A554" s="4" t="n"/>
      <c r="B554" s="5" t="n"/>
      <c r="C554" s="5" t="n"/>
      <c r="D554" s="5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</row>
    <row r="555" ht="15" customHeight="1">
      <c r="A555" s="4" t="n"/>
      <c r="B555" s="5" t="n"/>
      <c r="C555" s="5" t="n"/>
      <c r="D555" s="5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</row>
    <row r="556" ht="15" customHeight="1">
      <c r="A556" s="4" t="n"/>
      <c r="B556" s="5" t="n"/>
      <c r="C556" s="5" t="n"/>
      <c r="D556" s="5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</row>
    <row r="557" ht="15" customHeight="1">
      <c r="A557" s="4" t="n"/>
      <c r="B557" s="5" t="n"/>
      <c r="C557" s="5" t="n"/>
      <c r="D557" s="5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</row>
    <row r="558" ht="15" customHeight="1">
      <c r="A558" s="4" t="n"/>
      <c r="B558" s="5" t="n"/>
      <c r="C558" s="5" t="n"/>
      <c r="D558" s="5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</row>
    <row r="559" ht="15" customHeight="1">
      <c r="A559" s="4" t="n"/>
      <c r="B559" s="5" t="n"/>
      <c r="C559" s="5" t="n"/>
      <c r="D559" s="5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</row>
    <row r="560" ht="15" customHeight="1">
      <c r="A560" s="4" t="n"/>
      <c r="B560" s="5" t="n"/>
      <c r="C560" s="5" t="n"/>
      <c r="D560" s="5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</row>
    <row r="561" ht="15" customHeight="1">
      <c r="A561" s="4" t="n"/>
      <c r="B561" s="5" t="n"/>
      <c r="C561" s="5" t="n"/>
      <c r="D561" s="5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</row>
    <row r="562" ht="15" customHeight="1">
      <c r="A562" s="4" t="n"/>
      <c r="B562" s="5" t="n"/>
      <c r="C562" s="5" t="n"/>
      <c r="D562" s="5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</row>
    <row r="563" ht="15" customHeight="1">
      <c r="A563" s="4" t="n"/>
      <c r="B563" s="5" t="n"/>
      <c r="C563" s="5" t="n"/>
      <c r="D563" s="5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</row>
    <row r="564" ht="15" customHeight="1">
      <c r="A564" s="4" t="n"/>
      <c r="B564" s="5" t="n"/>
      <c r="C564" s="5" t="n"/>
      <c r="D564" s="5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</row>
    <row r="565" ht="15" customHeight="1">
      <c r="A565" s="4" t="n"/>
      <c r="B565" s="5" t="n"/>
      <c r="C565" s="5" t="n"/>
      <c r="D565" s="5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</row>
    <row r="566" ht="15" customHeight="1">
      <c r="A566" s="4" t="n"/>
      <c r="B566" s="5" t="n"/>
      <c r="C566" s="5" t="n"/>
      <c r="D566" s="5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</row>
    <row r="567" ht="15" customHeight="1">
      <c r="A567" s="4" t="n"/>
      <c r="B567" s="5" t="n"/>
      <c r="C567" s="5" t="n"/>
      <c r="D567" s="5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</row>
    <row r="568" ht="15" customHeight="1">
      <c r="A568" s="4" t="n"/>
      <c r="B568" s="5" t="n"/>
      <c r="C568" s="5" t="n"/>
      <c r="D568" s="5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</row>
    <row r="569" ht="15" customHeight="1">
      <c r="A569" s="4" t="n"/>
      <c r="B569" s="5" t="n"/>
      <c r="C569" s="5" t="n"/>
      <c r="D569" s="5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</row>
    <row r="570" ht="15" customHeight="1">
      <c r="A570" s="4" t="n"/>
      <c r="B570" s="5" t="n"/>
      <c r="C570" s="5" t="n"/>
      <c r="D570" s="5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</row>
    <row r="571" ht="15" customHeight="1">
      <c r="A571" s="4" t="n"/>
      <c r="B571" s="5" t="n"/>
      <c r="C571" s="5" t="n"/>
      <c r="D571" s="5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</row>
    <row r="572" ht="15" customHeight="1">
      <c r="A572" s="4" t="n"/>
      <c r="B572" s="5" t="n"/>
      <c r="C572" s="5" t="n"/>
      <c r="D572" s="5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</row>
    <row r="573" ht="15" customHeight="1">
      <c r="A573" s="4" t="n"/>
      <c r="B573" s="5" t="n"/>
      <c r="C573" s="5" t="n"/>
      <c r="D573" s="5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</row>
    <row r="574" ht="15" customHeight="1">
      <c r="A574" s="4" t="n"/>
      <c r="B574" s="5" t="n"/>
      <c r="C574" s="5" t="n"/>
      <c r="D574" s="5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</row>
    <row r="575" ht="15" customHeight="1">
      <c r="A575" s="4" t="n"/>
      <c r="B575" s="5" t="n"/>
      <c r="C575" s="5" t="n"/>
      <c r="D575" s="5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</row>
    <row r="576" ht="15" customHeight="1">
      <c r="A576" s="4" t="n"/>
      <c r="B576" s="5" t="n"/>
      <c r="C576" s="5" t="n"/>
      <c r="D576" s="5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</row>
    <row r="577" ht="15" customHeight="1">
      <c r="A577" s="4" t="n"/>
      <c r="B577" s="5" t="n"/>
      <c r="C577" s="5" t="n"/>
      <c r="D577" s="5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</row>
    <row r="578" ht="15" customHeight="1">
      <c r="A578" s="4" t="n"/>
      <c r="B578" s="5" t="n"/>
      <c r="C578" s="5" t="n"/>
      <c r="D578" s="5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</row>
    <row r="579" ht="15" customHeight="1">
      <c r="A579" s="4" t="n"/>
      <c r="B579" s="5" t="n"/>
      <c r="C579" s="5" t="n"/>
      <c r="D579" s="5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</row>
    <row r="580" ht="15" customHeight="1">
      <c r="A580" s="4" t="n"/>
      <c r="B580" s="5" t="n"/>
      <c r="C580" s="5" t="n"/>
      <c r="D580" s="5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</row>
    <row r="581" ht="15" customHeight="1">
      <c r="A581" s="4" t="n"/>
      <c r="B581" s="5" t="n"/>
      <c r="C581" s="5" t="n"/>
      <c r="D581" s="5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</row>
    <row r="582" ht="15" customHeight="1">
      <c r="A582" s="4" t="n"/>
      <c r="B582" s="5" t="n"/>
      <c r="C582" s="5" t="n"/>
      <c r="D582" s="5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</row>
    <row r="583" ht="15" customHeight="1">
      <c r="A583" s="4" t="n"/>
      <c r="B583" s="5" t="n"/>
      <c r="C583" s="5" t="n"/>
      <c r="D583" s="5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</row>
    <row r="584" ht="15" customHeight="1">
      <c r="A584" s="4" t="n"/>
      <c r="B584" s="5" t="n"/>
      <c r="C584" s="5" t="n"/>
      <c r="D584" s="5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</row>
    <row r="585" ht="15" customHeight="1">
      <c r="A585" s="4" t="n"/>
      <c r="B585" s="5" t="n"/>
      <c r="C585" s="5" t="n"/>
      <c r="D585" s="5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</row>
    <row r="586" ht="15" customHeight="1">
      <c r="A586" s="4" t="n"/>
      <c r="B586" s="5" t="n"/>
      <c r="C586" s="5" t="n"/>
      <c r="D586" s="5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</row>
    <row r="587" ht="15" customHeight="1">
      <c r="A587" s="4" t="n"/>
      <c r="B587" s="5" t="n"/>
      <c r="C587" s="5" t="n"/>
      <c r="D587" s="5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</row>
    <row r="588" ht="15" customHeight="1">
      <c r="A588" s="4" t="n"/>
      <c r="B588" s="5" t="n"/>
      <c r="C588" s="5" t="n"/>
      <c r="D588" s="5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</row>
    <row r="589" ht="15" customHeight="1">
      <c r="A589" s="4" t="n"/>
      <c r="B589" s="5" t="n"/>
      <c r="C589" s="5" t="n"/>
      <c r="D589" s="5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</row>
    <row r="590" ht="15" customHeight="1">
      <c r="A590" s="4" t="n"/>
      <c r="B590" s="5" t="n"/>
      <c r="C590" s="5" t="n"/>
      <c r="D590" s="5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</row>
    <row r="591" ht="15" customHeight="1">
      <c r="A591" s="4" t="n"/>
      <c r="B591" s="5" t="n"/>
      <c r="C591" s="5" t="n"/>
      <c r="D591" s="5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</row>
    <row r="592" ht="15" customHeight="1">
      <c r="A592" s="4" t="n"/>
      <c r="B592" s="5" t="n"/>
      <c r="C592" s="5" t="n"/>
      <c r="D592" s="5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</row>
    <row r="593" ht="15" customHeight="1">
      <c r="A593" s="4" t="n"/>
      <c r="B593" s="5" t="n"/>
      <c r="C593" s="5" t="n"/>
      <c r="D593" s="5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</row>
    <row r="594" ht="15" customHeight="1">
      <c r="A594" s="4" t="n"/>
      <c r="B594" s="5" t="n"/>
      <c r="C594" s="5" t="n"/>
      <c r="D594" s="5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</row>
    <row r="595" ht="15" customHeight="1">
      <c r="A595" s="4" t="n"/>
      <c r="B595" s="5" t="n"/>
      <c r="C595" s="5" t="n"/>
      <c r="D595" s="5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</row>
    <row r="596" ht="15" customHeight="1">
      <c r="A596" s="4" t="n"/>
      <c r="B596" s="5" t="n"/>
      <c r="C596" s="5" t="n"/>
      <c r="D596" s="5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</row>
    <row r="597" ht="15" customHeight="1">
      <c r="A597" s="4" t="n"/>
      <c r="B597" s="5" t="n"/>
      <c r="C597" s="5" t="n"/>
      <c r="D597" s="5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</row>
    <row r="598" ht="15" customHeight="1">
      <c r="A598" s="4" t="n"/>
      <c r="B598" s="5" t="n"/>
      <c r="C598" s="5" t="n"/>
      <c r="D598" s="5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</row>
    <row r="599" ht="15" customHeight="1">
      <c r="A599" s="4" t="n"/>
      <c r="B599" s="5" t="n"/>
      <c r="C599" s="5" t="n"/>
      <c r="D599" s="5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</row>
    <row r="600" ht="15" customHeight="1">
      <c r="A600" s="4" t="n"/>
      <c r="B600" s="5" t="n"/>
      <c r="C600" s="5" t="n"/>
      <c r="D600" s="5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</row>
    <row r="601" ht="15" customHeight="1">
      <c r="A601" s="4" t="n"/>
      <c r="B601" s="5" t="n"/>
      <c r="C601" s="5" t="n"/>
      <c r="D601" s="5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</row>
    <row r="602" ht="15" customHeight="1">
      <c r="A602" s="4" t="n"/>
      <c r="B602" s="5" t="n"/>
      <c r="C602" s="5" t="n"/>
      <c r="D602" s="5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</row>
    <row r="603" ht="15" customHeight="1">
      <c r="A603" s="4" t="n"/>
      <c r="B603" s="5" t="n"/>
      <c r="C603" s="5" t="n"/>
      <c r="D603" s="5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</row>
    <row r="604" ht="15" customHeight="1">
      <c r="A604" s="4" t="n"/>
      <c r="B604" s="5" t="n"/>
      <c r="C604" s="5" t="n"/>
      <c r="D604" s="5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</row>
    <row r="605" ht="15" customHeight="1">
      <c r="A605" s="4" t="n"/>
      <c r="B605" s="5" t="n"/>
      <c r="C605" s="5" t="n"/>
      <c r="D605" s="5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</row>
    <row r="606" ht="15" customHeight="1">
      <c r="A606" s="4" t="n"/>
      <c r="B606" s="5" t="n"/>
      <c r="C606" s="5" t="n"/>
      <c r="D606" s="5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</row>
    <row r="607" ht="15" customHeight="1">
      <c r="A607" s="4" t="n"/>
      <c r="B607" s="5" t="n"/>
      <c r="C607" s="5" t="n"/>
      <c r="D607" s="5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</row>
    <row r="608" ht="15" customHeight="1">
      <c r="A608" s="4" t="n"/>
      <c r="B608" s="5" t="n"/>
      <c r="C608" s="5" t="n"/>
      <c r="D608" s="5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</row>
    <row r="609" ht="15" customHeight="1">
      <c r="A609" s="4" t="n"/>
      <c r="B609" s="5" t="n"/>
      <c r="C609" s="5" t="n"/>
      <c r="D609" s="5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</row>
    <row r="610" ht="15" customHeight="1">
      <c r="A610" s="4" t="n"/>
      <c r="B610" s="5" t="n"/>
      <c r="C610" s="5" t="n"/>
      <c r="D610" s="5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</row>
    <row r="611" ht="15" customHeight="1">
      <c r="A611" s="4" t="n"/>
      <c r="B611" s="5" t="n"/>
      <c r="C611" s="5" t="n"/>
      <c r="D611" s="5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</row>
    <row r="612" ht="15" customHeight="1">
      <c r="A612" s="4" t="n"/>
      <c r="B612" s="5" t="n"/>
      <c r="C612" s="5" t="n"/>
      <c r="D612" s="5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</row>
    <row r="613" ht="15" customHeight="1">
      <c r="A613" s="4" t="n"/>
      <c r="B613" s="5" t="n"/>
      <c r="C613" s="5" t="n"/>
      <c r="D613" s="5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</row>
    <row r="614" ht="15" customHeight="1">
      <c r="A614" s="4" t="n"/>
      <c r="B614" s="5" t="n"/>
      <c r="C614" s="5" t="n"/>
      <c r="D614" s="5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</row>
    <row r="615" ht="15" customHeight="1">
      <c r="A615" s="4" t="n"/>
      <c r="B615" s="5" t="n"/>
      <c r="C615" s="5" t="n"/>
      <c r="D615" s="5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</row>
    <row r="616" ht="15" customHeight="1">
      <c r="A616" s="4" t="n"/>
      <c r="B616" s="5" t="n"/>
      <c r="C616" s="5" t="n"/>
      <c r="D616" s="5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</row>
    <row r="617" ht="15" customHeight="1">
      <c r="A617" s="4" t="n"/>
      <c r="B617" s="5" t="n"/>
      <c r="C617" s="5" t="n"/>
      <c r="D617" s="5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</row>
    <row r="618" ht="15" customHeight="1">
      <c r="A618" s="4" t="n"/>
      <c r="B618" s="5" t="n"/>
      <c r="C618" s="5" t="n"/>
      <c r="D618" s="5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</row>
    <row r="619" ht="15" customHeight="1">
      <c r="A619" s="4" t="n"/>
      <c r="B619" s="5" t="n"/>
      <c r="C619" s="5" t="n"/>
      <c r="D619" s="5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</row>
    <row r="620" ht="15" customHeight="1">
      <c r="A620" s="4" t="n"/>
      <c r="B620" s="5" t="n"/>
      <c r="C620" s="5" t="n"/>
      <c r="D620" s="5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</row>
    <row r="621" ht="15" customHeight="1">
      <c r="A621" s="4" t="n"/>
      <c r="B621" s="5" t="n"/>
      <c r="C621" s="5" t="n"/>
      <c r="D621" s="5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</row>
    <row r="622" ht="15" customHeight="1">
      <c r="A622" s="4" t="n"/>
      <c r="B622" s="5" t="n"/>
      <c r="C622" s="5" t="n"/>
      <c r="D622" s="5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</row>
    <row r="623" ht="15" customHeight="1">
      <c r="A623" s="4" t="n"/>
      <c r="B623" s="5" t="n"/>
      <c r="C623" s="5" t="n"/>
      <c r="D623" s="5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</row>
    <row r="624" ht="15" customHeight="1">
      <c r="A624" s="4" t="n"/>
      <c r="B624" s="5" t="n"/>
      <c r="C624" s="5" t="n"/>
      <c r="D624" s="5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</row>
    <row r="625" ht="15" customHeight="1">
      <c r="A625" s="4" t="n"/>
      <c r="B625" s="5" t="n"/>
      <c r="C625" s="5" t="n"/>
      <c r="D625" s="5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</row>
    <row r="626" ht="15" customHeight="1">
      <c r="A626" s="4" t="n"/>
      <c r="B626" s="5" t="n"/>
      <c r="C626" s="5" t="n"/>
      <c r="D626" s="5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</row>
    <row r="627" ht="15" customHeight="1">
      <c r="A627" s="4" t="n"/>
      <c r="B627" s="5" t="n"/>
      <c r="C627" s="5" t="n"/>
      <c r="D627" s="5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</row>
    <row r="628" ht="15" customHeight="1">
      <c r="A628" s="4" t="n"/>
      <c r="B628" s="5" t="n"/>
      <c r="C628" s="5" t="n"/>
      <c r="D628" s="5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</row>
    <row r="629" ht="15" customHeight="1">
      <c r="A629" s="4" t="n"/>
      <c r="B629" s="5" t="n"/>
      <c r="C629" s="5" t="n"/>
      <c r="D629" s="5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</row>
    <row r="630" ht="15" customHeight="1">
      <c r="A630" s="4" t="n"/>
      <c r="B630" s="5" t="n"/>
      <c r="C630" s="5" t="n"/>
      <c r="D630" s="5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</row>
    <row r="631" ht="15" customHeight="1">
      <c r="A631" s="4" t="n"/>
      <c r="B631" s="5" t="n"/>
      <c r="C631" s="5" t="n"/>
      <c r="D631" s="5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</row>
    <row r="632" ht="15" customHeight="1">
      <c r="A632" s="4" t="n"/>
      <c r="B632" s="5" t="n"/>
      <c r="C632" s="5" t="n"/>
      <c r="D632" s="5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</row>
    <row r="633" ht="15" customHeight="1">
      <c r="A633" s="4" t="n"/>
      <c r="B633" s="5" t="n"/>
      <c r="C633" s="5" t="n"/>
      <c r="D633" s="5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</row>
    <row r="634" ht="15" customHeight="1">
      <c r="A634" s="4" t="n"/>
      <c r="B634" s="5" t="n"/>
      <c r="C634" s="5" t="n"/>
      <c r="D634" s="5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</row>
    <row r="635" ht="15" customHeight="1">
      <c r="A635" s="4" t="n"/>
      <c r="B635" s="5" t="n"/>
      <c r="C635" s="5" t="n"/>
      <c r="D635" s="5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</row>
    <row r="636" ht="15" customHeight="1">
      <c r="A636" s="4" t="n"/>
      <c r="B636" s="5" t="n"/>
      <c r="C636" s="5" t="n"/>
      <c r="D636" s="5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</row>
    <row r="637" ht="15" customHeight="1">
      <c r="A637" s="4" t="n"/>
      <c r="B637" s="5" t="n"/>
      <c r="C637" s="5" t="n"/>
      <c r="D637" s="5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</row>
    <row r="638" ht="15" customHeight="1">
      <c r="A638" s="4" t="n"/>
      <c r="B638" s="5" t="n"/>
      <c r="C638" s="5" t="n"/>
      <c r="D638" s="5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</row>
    <row r="639" ht="15" customHeight="1">
      <c r="A639" s="4" t="n"/>
      <c r="B639" s="5" t="n"/>
      <c r="C639" s="5" t="n"/>
      <c r="D639" s="5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</row>
    <row r="640" ht="15" customHeight="1">
      <c r="A640" s="4" t="n"/>
      <c r="B640" s="5" t="n"/>
      <c r="C640" s="5" t="n"/>
      <c r="D640" s="5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</row>
    <row r="641" ht="15" customHeight="1">
      <c r="A641" s="4" t="n"/>
      <c r="B641" s="5" t="n"/>
      <c r="C641" s="5" t="n"/>
      <c r="D641" s="5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</row>
    <row r="642" ht="15" customHeight="1">
      <c r="A642" s="4" t="n"/>
      <c r="B642" s="5" t="n"/>
      <c r="C642" s="5" t="n"/>
      <c r="D642" s="5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</row>
    <row r="643" ht="15" customHeight="1">
      <c r="A643" s="4" t="n"/>
      <c r="B643" s="5" t="n"/>
      <c r="C643" s="5" t="n"/>
      <c r="D643" s="5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</row>
    <row r="644" ht="15" customHeight="1">
      <c r="A644" s="4" t="n"/>
      <c r="B644" s="5" t="n"/>
      <c r="C644" s="5" t="n"/>
      <c r="D644" s="5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</row>
    <row r="645" ht="15" customHeight="1">
      <c r="A645" s="4" t="n"/>
      <c r="B645" s="5" t="n"/>
      <c r="C645" s="5" t="n"/>
      <c r="D645" s="5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</row>
    <row r="646" ht="15" customHeight="1">
      <c r="A646" s="4" t="n"/>
      <c r="B646" s="5" t="n"/>
      <c r="C646" s="5" t="n"/>
      <c r="D646" s="5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</row>
    <row r="647" ht="15" customHeight="1">
      <c r="A647" s="4" t="n"/>
      <c r="B647" s="5" t="n"/>
      <c r="C647" s="5" t="n"/>
      <c r="D647" s="5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</row>
    <row r="648" ht="15" customHeight="1">
      <c r="A648" s="4" t="n"/>
      <c r="B648" s="5" t="n"/>
      <c r="C648" s="5" t="n"/>
      <c r="D648" s="5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</row>
    <row r="649" ht="15" customHeight="1">
      <c r="A649" s="4" t="n"/>
      <c r="B649" s="5" t="n"/>
      <c r="C649" s="5" t="n"/>
      <c r="D649" s="5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</row>
    <row r="650" ht="15" customHeight="1">
      <c r="A650" s="4" t="n"/>
      <c r="B650" s="5" t="n"/>
      <c r="C650" s="5" t="n"/>
      <c r="D650" s="5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</row>
    <row r="651" ht="15" customHeight="1">
      <c r="A651" s="4" t="n"/>
      <c r="B651" s="5" t="n"/>
      <c r="C651" s="5" t="n"/>
      <c r="D651" s="5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</row>
    <row r="652" ht="15" customHeight="1">
      <c r="A652" s="4" t="n"/>
      <c r="B652" s="5" t="n"/>
      <c r="C652" s="5" t="n"/>
      <c r="D652" s="5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</row>
    <row r="653" ht="15" customHeight="1">
      <c r="A653" s="4" t="n"/>
      <c r="B653" s="5" t="n"/>
      <c r="C653" s="5" t="n"/>
      <c r="D653" s="5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</row>
    <row r="654" ht="15" customHeight="1">
      <c r="A654" s="4" t="n"/>
      <c r="B654" s="5" t="n"/>
      <c r="C654" s="5" t="n"/>
      <c r="D654" s="5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</row>
    <row r="655" ht="15" customHeight="1">
      <c r="A655" s="4" t="n"/>
      <c r="B655" s="5" t="n"/>
      <c r="C655" s="5" t="n"/>
      <c r="D655" s="5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</row>
    <row r="656" ht="15" customHeight="1">
      <c r="A656" s="4" t="n"/>
      <c r="B656" s="5" t="n"/>
      <c r="C656" s="5" t="n"/>
      <c r="D656" s="5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</row>
    <row r="657" ht="15" customHeight="1">
      <c r="A657" s="4" t="n"/>
      <c r="B657" s="5" t="n"/>
      <c r="C657" s="5" t="n"/>
      <c r="D657" s="5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</row>
    <row r="658" ht="15" customHeight="1">
      <c r="A658" s="4" t="n"/>
      <c r="B658" s="5" t="n"/>
      <c r="C658" s="5" t="n"/>
      <c r="D658" s="5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</row>
    <row r="659" ht="15" customHeight="1">
      <c r="A659" s="4" t="n"/>
      <c r="B659" s="5" t="n"/>
      <c r="C659" s="5" t="n"/>
      <c r="D659" s="5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</row>
    <row r="660" ht="15" customHeight="1">
      <c r="A660" s="4" t="n"/>
      <c r="B660" s="5" t="n"/>
      <c r="C660" s="5" t="n"/>
      <c r="D660" s="5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</row>
    <row r="661" ht="15" customHeight="1">
      <c r="A661" s="4" t="n"/>
      <c r="B661" s="5" t="n"/>
      <c r="C661" s="5" t="n"/>
      <c r="D661" s="5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</row>
    <row r="662" ht="15" customHeight="1">
      <c r="A662" s="4" t="n"/>
      <c r="B662" s="5" t="n"/>
      <c r="C662" s="5" t="n"/>
      <c r="D662" s="5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</row>
    <row r="663" ht="15" customHeight="1">
      <c r="A663" s="4" t="n"/>
      <c r="B663" s="5" t="n"/>
      <c r="C663" s="5" t="n"/>
      <c r="D663" s="5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</row>
    <row r="664" ht="15" customHeight="1">
      <c r="A664" s="4" t="n"/>
      <c r="B664" s="5" t="n"/>
      <c r="C664" s="5" t="n"/>
      <c r="D664" s="5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</row>
    <row r="665" ht="15" customHeight="1">
      <c r="A665" s="4" t="n"/>
      <c r="B665" s="5" t="n"/>
      <c r="C665" s="5" t="n"/>
      <c r="D665" s="5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</row>
    <row r="666" ht="15" customHeight="1">
      <c r="A666" s="4" t="n"/>
      <c r="B666" s="5" t="n"/>
      <c r="C666" s="5" t="n"/>
      <c r="D666" s="5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</row>
    <row r="667" ht="15" customHeight="1">
      <c r="A667" s="4" t="n"/>
      <c r="B667" s="5" t="n"/>
      <c r="C667" s="5" t="n"/>
      <c r="D667" s="5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</row>
    <row r="668" ht="15" customHeight="1">
      <c r="A668" s="4" t="n"/>
      <c r="B668" s="5" t="n"/>
      <c r="C668" s="5" t="n"/>
      <c r="D668" s="5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</row>
    <row r="669" ht="15" customHeight="1">
      <c r="A669" s="4" t="n"/>
      <c r="B669" s="5" t="n"/>
      <c r="C669" s="5" t="n"/>
      <c r="D669" s="5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</row>
    <row r="670" ht="15" customHeight="1">
      <c r="A670" s="4" t="n"/>
      <c r="B670" s="5" t="n"/>
      <c r="C670" s="5" t="n"/>
      <c r="D670" s="5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</row>
    <row r="671" ht="15" customHeight="1">
      <c r="A671" s="4" t="n"/>
      <c r="B671" s="5" t="n"/>
      <c r="C671" s="5" t="n"/>
      <c r="D671" s="5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</row>
    <row r="672" ht="15" customHeight="1">
      <c r="A672" s="4" t="n"/>
      <c r="B672" s="5" t="n"/>
      <c r="C672" s="5" t="n"/>
      <c r="D672" s="5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</row>
    <row r="673" ht="15" customHeight="1">
      <c r="A673" s="4" t="n"/>
      <c r="B673" s="5" t="n"/>
      <c r="C673" s="5" t="n"/>
      <c r="D673" s="5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</row>
    <row r="674" ht="15" customHeight="1">
      <c r="A674" s="4" t="n"/>
      <c r="B674" s="5" t="n"/>
      <c r="C674" s="5" t="n"/>
      <c r="D674" s="5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</row>
    <row r="675" ht="15" customHeight="1">
      <c r="A675" s="4" t="n"/>
      <c r="B675" s="5" t="n"/>
      <c r="C675" s="5" t="n"/>
      <c r="D675" s="5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</row>
    <row r="676" ht="15" customHeight="1">
      <c r="A676" s="4" t="n"/>
      <c r="B676" s="5" t="n"/>
      <c r="C676" s="5" t="n"/>
      <c r="D676" s="5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</row>
    <row r="677" ht="15" customHeight="1">
      <c r="A677" s="4" t="n"/>
      <c r="B677" s="5" t="n"/>
      <c r="C677" s="5" t="n"/>
      <c r="D677" s="5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</row>
    <row r="678" ht="15" customHeight="1">
      <c r="A678" s="4" t="n"/>
      <c r="B678" s="5" t="n"/>
      <c r="C678" s="5" t="n"/>
      <c r="D678" s="5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</row>
    <row r="679" ht="15" customHeight="1">
      <c r="A679" s="4" t="n"/>
      <c r="B679" s="5" t="n"/>
      <c r="C679" s="5" t="n"/>
      <c r="D679" s="5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</row>
    <row r="680" ht="15" customHeight="1">
      <c r="A680" s="4" t="n"/>
      <c r="B680" s="5" t="n"/>
      <c r="C680" s="5" t="n"/>
      <c r="D680" s="5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</row>
    <row r="681" ht="15" customHeight="1">
      <c r="A681" s="4" t="n"/>
      <c r="B681" s="5" t="n"/>
      <c r="C681" s="5" t="n"/>
      <c r="D681" s="5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</row>
    <row r="682" ht="15" customHeight="1">
      <c r="A682" s="4" t="n"/>
      <c r="B682" s="5" t="n"/>
      <c r="C682" s="5" t="n"/>
      <c r="D682" s="5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</row>
    <row r="683" ht="15" customHeight="1">
      <c r="A683" s="4" t="n"/>
      <c r="B683" s="5" t="n"/>
      <c r="C683" s="5" t="n"/>
      <c r="D683" s="5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</row>
    <row r="684" ht="15" customHeight="1">
      <c r="A684" s="4" t="n"/>
      <c r="B684" s="5" t="n"/>
      <c r="C684" s="5" t="n"/>
      <c r="D684" s="5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</row>
    <row r="685" ht="15" customHeight="1">
      <c r="A685" s="4" t="n"/>
      <c r="B685" s="5" t="n"/>
      <c r="C685" s="5" t="n"/>
      <c r="D685" s="5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</row>
    <row r="686" ht="15" customHeight="1">
      <c r="A686" s="4" t="n"/>
      <c r="B686" s="5" t="n"/>
      <c r="C686" s="5" t="n"/>
      <c r="D686" s="5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</row>
    <row r="687" ht="15" customHeight="1">
      <c r="A687" s="4" t="n"/>
      <c r="B687" s="5" t="n"/>
      <c r="C687" s="5" t="n"/>
      <c r="D687" s="5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</row>
    <row r="688" ht="15" customHeight="1">
      <c r="A688" s="4" t="n"/>
      <c r="B688" s="5" t="n"/>
      <c r="C688" s="5" t="n"/>
      <c r="D688" s="5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</row>
    <row r="689" ht="15" customHeight="1">
      <c r="A689" s="4" t="n"/>
      <c r="B689" s="5" t="n"/>
      <c r="C689" s="5" t="n"/>
      <c r="D689" s="5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</row>
    <row r="690" ht="15" customHeight="1">
      <c r="A690" s="4" t="n"/>
      <c r="B690" s="5" t="n"/>
      <c r="C690" s="5" t="n"/>
      <c r="D690" s="5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</row>
    <row r="691" ht="15" customHeight="1">
      <c r="A691" s="4" t="n"/>
      <c r="B691" s="5" t="n"/>
      <c r="C691" s="5" t="n"/>
      <c r="D691" s="5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</row>
    <row r="692" ht="15" customHeight="1">
      <c r="A692" s="4" t="n"/>
      <c r="B692" s="5" t="n"/>
      <c r="C692" s="5" t="n"/>
      <c r="D692" s="5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</row>
    <row r="693" ht="15" customHeight="1">
      <c r="A693" s="4" t="n"/>
      <c r="B693" s="5" t="n"/>
      <c r="C693" s="5" t="n"/>
      <c r="D693" s="5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</row>
    <row r="694" ht="15" customHeight="1">
      <c r="A694" s="4" t="n"/>
      <c r="B694" s="5" t="n"/>
      <c r="C694" s="5" t="n"/>
      <c r="D694" s="5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</row>
    <row r="695" ht="15" customHeight="1">
      <c r="A695" s="4" t="n"/>
      <c r="B695" s="5" t="n"/>
      <c r="C695" s="5" t="n"/>
      <c r="D695" s="5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</row>
    <row r="696" ht="15" customHeight="1">
      <c r="A696" s="4" t="n"/>
      <c r="B696" s="5" t="n"/>
      <c r="C696" s="5" t="n"/>
      <c r="D696" s="5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</row>
    <row r="697" ht="15" customHeight="1">
      <c r="A697" s="4" t="n"/>
      <c r="B697" s="5" t="n"/>
      <c r="C697" s="5" t="n"/>
      <c r="D697" s="5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</row>
    <row r="698" ht="15" customHeight="1">
      <c r="A698" s="4" t="n"/>
      <c r="B698" s="5" t="n"/>
      <c r="C698" s="5" t="n"/>
      <c r="D698" s="5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</row>
    <row r="699" ht="15" customHeight="1">
      <c r="A699" s="4" t="n"/>
      <c r="B699" s="5" t="n"/>
      <c r="C699" s="5" t="n"/>
      <c r="D699" s="5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</row>
    <row r="700" ht="15" customHeight="1">
      <c r="A700" s="4" t="n"/>
      <c r="B700" s="5" t="n"/>
      <c r="C700" s="5" t="n"/>
      <c r="D700" s="5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</row>
    <row r="701" ht="15" customHeight="1">
      <c r="A701" s="4" t="n"/>
      <c r="B701" s="5" t="n"/>
      <c r="C701" s="5" t="n"/>
      <c r="D701" s="5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</row>
    <row r="702" ht="15" customHeight="1">
      <c r="A702" s="4" t="n"/>
      <c r="B702" s="5" t="n"/>
      <c r="C702" s="5" t="n"/>
      <c r="D702" s="5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</row>
    <row r="703" ht="15" customHeight="1">
      <c r="A703" s="4" t="n"/>
      <c r="B703" s="5" t="n"/>
      <c r="C703" s="5" t="n"/>
      <c r="D703" s="5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</row>
    <row r="704" ht="15" customHeight="1">
      <c r="A704" s="4" t="n"/>
      <c r="B704" s="5" t="n"/>
      <c r="C704" s="5" t="n"/>
      <c r="D704" s="5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</row>
    <row r="705" ht="15" customHeight="1">
      <c r="A705" s="4" t="n"/>
      <c r="B705" s="5" t="n"/>
      <c r="C705" s="5" t="n"/>
      <c r="D705" s="5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</row>
    <row r="706" ht="15" customHeight="1">
      <c r="A706" s="4" t="n"/>
      <c r="B706" s="5" t="n"/>
      <c r="C706" s="5" t="n"/>
      <c r="D706" s="5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</row>
    <row r="707" ht="15" customHeight="1">
      <c r="A707" s="4" t="n"/>
      <c r="B707" s="5" t="n"/>
      <c r="C707" s="5" t="n"/>
      <c r="D707" s="5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</row>
    <row r="708" ht="15" customHeight="1">
      <c r="A708" s="4" t="n"/>
      <c r="B708" s="5" t="n"/>
      <c r="C708" s="5" t="n"/>
      <c r="D708" s="5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</row>
    <row r="709" ht="15" customHeight="1">
      <c r="A709" s="4" t="n"/>
      <c r="B709" s="5" t="n"/>
      <c r="C709" s="5" t="n"/>
      <c r="D709" s="5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</row>
    <row r="710" ht="15" customHeight="1">
      <c r="A710" s="4" t="n"/>
      <c r="B710" s="5" t="n"/>
      <c r="C710" s="5" t="n"/>
      <c r="D710" s="5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</row>
    <row r="711" ht="15" customHeight="1">
      <c r="A711" s="4" t="n"/>
      <c r="B711" s="5" t="n"/>
      <c r="C711" s="5" t="n"/>
      <c r="D711" s="5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</row>
    <row r="712" ht="15" customHeight="1">
      <c r="A712" s="4" t="n"/>
      <c r="B712" s="5" t="n"/>
      <c r="C712" s="5" t="n"/>
      <c r="D712" s="5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</row>
    <row r="713" ht="15" customHeight="1">
      <c r="A713" s="4" t="n"/>
      <c r="B713" s="5" t="n"/>
      <c r="C713" s="5" t="n"/>
      <c r="D713" s="5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</row>
    <row r="714" ht="15" customHeight="1">
      <c r="A714" s="4" t="n"/>
      <c r="B714" s="5" t="n"/>
      <c r="C714" s="5" t="n"/>
      <c r="D714" s="5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</row>
    <row r="715" ht="15" customHeight="1">
      <c r="A715" s="4" t="n"/>
      <c r="B715" s="5" t="n"/>
      <c r="C715" s="5" t="n"/>
      <c r="D715" s="5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</row>
    <row r="716" ht="15" customHeight="1">
      <c r="A716" s="4" t="n"/>
      <c r="B716" s="5" t="n"/>
      <c r="C716" s="5" t="n"/>
      <c r="D716" s="5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</row>
    <row r="717" ht="15" customHeight="1">
      <c r="A717" s="4" t="n"/>
      <c r="B717" s="5" t="n"/>
      <c r="C717" s="5" t="n"/>
      <c r="D717" s="5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</row>
    <row r="718" ht="15" customHeight="1">
      <c r="A718" s="4" t="n"/>
      <c r="B718" s="5" t="n"/>
      <c r="C718" s="5" t="n"/>
      <c r="D718" s="5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</row>
    <row r="719" ht="15" customHeight="1">
      <c r="A719" s="4" t="n"/>
      <c r="B719" s="5" t="n"/>
      <c r="C719" s="5" t="n"/>
      <c r="D719" s="5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</row>
    <row r="720" ht="15" customHeight="1">
      <c r="A720" s="4" t="n"/>
      <c r="B720" s="5" t="n"/>
      <c r="C720" s="5" t="n"/>
      <c r="D720" s="5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</row>
    <row r="721" ht="15" customHeight="1">
      <c r="A721" s="4" t="n"/>
      <c r="B721" s="5" t="n"/>
      <c r="C721" s="5" t="n"/>
      <c r="D721" s="5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</row>
    <row r="722" ht="15" customHeight="1">
      <c r="A722" s="4" t="n"/>
      <c r="B722" s="5" t="n"/>
      <c r="C722" s="5" t="n"/>
      <c r="D722" s="5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</row>
    <row r="723" ht="15" customHeight="1">
      <c r="A723" s="4" t="n"/>
      <c r="B723" s="5" t="n"/>
      <c r="C723" s="5" t="n"/>
      <c r="D723" s="5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</row>
    <row r="724" ht="15" customHeight="1">
      <c r="A724" s="4" t="n"/>
      <c r="B724" s="5" t="n"/>
      <c r="C724" s="5" t="n"/>
      <c r="D724" s="5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</row>
    <row r="725" ht="15" customHeight="1">
      <c r="A725" s="4" t="n"/>
      <c r="B725" s="5" t="n"/>
      <c r="C725" s="5" t="n"/>
      <c r="D725" s="5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</row>
    <row r="726" ht="15" customHeight="1">
      <c r="A726" s="4" t="n"/>
      <c r="B726" s="5" t="n"/>
      <c r="C726" s="5" t="n"/>
      <c r="D726" s="5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</row>
    <row r="727" ht="15" customHeight="1">
      <c r="A727" s="4" t="n"/>
      <c r="B727" s="5" t="n"/>
      <c r="C727" s="5" t="n"/>
      <c r="D727" s="5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</row>
    <row r="728" ht="15" customHeight="1">
      <c r="A728" s="4" t="n"/>
      <c r="B728" s="5" t="n"/>
      <c r="C728" s="5" t="n"/>
      <c r="D728" s="5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</row>
    <row r="729" ht="15" customHeight="1">
      <c r="A729" s="4" t="n"/>
      <c r="B729" s="5" t="n"/>
      <c r="C729" s="5" t="n"/>
      <c r="D729" s="5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</row>
    <row r="730" ht="15" customHeight="1">
      <c r="A730" s="4" t="n"/>
      <c r="B730" s="5" t="n"/>
      <c r="C730" s="5" t="n"/>
      <c r="D730" s="5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</row>
    <row r="731" ht="15" customHeight="1">
      <c r="A731" s="4" t="n"/>
      <c r="B731" s="5" t="n"/>
      <c r="C731" s="5" t="n"/>
      <c r="D731" s="5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</row>
    <row r="732" ht="15" customHeight="1">
      <c r="A732" s="4" t="n"/>
      <c r="B732" s="5" t="n"/>
      <c r="C732" s="5" t="n"/>
      <c r="D732" s="5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</row>
    <row r="733" ht="15" customHeight="1">
      <c r="A733" s="4" t="n"/>
      <c r="B733" s="5" t="n"/>
      <c r="C733" s="5" t="n"/>
      <c r="D733" s="5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</row>
    <row r="734" ht="15" customHeight="1">
      <c r="A734" s="4" t="n"/>
      <c r="B734" s="5" t="n"/>
      <c r="C734" s="5" t="n"/>
      <c r="D734" s="5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</row>
    <row r="735" ht="15" customHeight="1">
      <c r="A735" s="4" t="n"/>
      <c r="B735" s="5" t="n"/>
      <c r="C735" s="5" t="n"/>
      <c r="D735" s="5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</row>
    <row r="736" ht="15" customHeight="1">
      <c r="A736" s="4" t="n"/>
      <c r="B736" s="5" t="n"/>
      <c r="C736" s="5" t="n"/>
      <c r="D736" s="5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</row>
    <row r="737" ht="15" customHeight="1">
      <c r="A737" s="4" t="n"/>
      <c r="B737" s="5" t="n"/>
      <c r="C737" s="5" t="n"/>
      <c r="D737" s="5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</row>
    <row r="738" ht="15" customHeight="1">
      <c r="A738" s="4" t="n"/>
      <c r="B738" s="5" t="n"/>
      <c r="C738" s="5" t="n"/>
      <c r="D738" s="5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</row>
    <row r="739" ht="15" customHeight="1">
      <c r="A739" s="4" t="n"/>
      <c r="B739" s="5" t="n"/>
      <c r="C739" s="5" t="n"/>
      <c r="D739" s="5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</row>
    <row r="740" ht="15" customHeight="1">
      <c r="A740" s="4" t="n"/>
      <c r="B740" s="5" t="n"/>
      <c r="C740" s="5" t="n"/>
      <c r="D740" s="5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</row>
    <row r="741" ht="15" customHeight="1">
      <c r="A741" s="4" t="n"/>
      <c r="B741" s="5" t="n"/>
      <c r="C741" s="5" t="n"/>
      <c r="D741" s="5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</row>
    <row r="742" ht="15" customHeight="1">
      <c r="A742" s="4" t="n"/>
      <c r="B742" s="5" t="n"/>
      <c r="C742" s="5" t="n"/>
      <c r="D742" s="5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</row>
    <row r="743" ht="15" customHeight="1">
      <c r="A743" s="4" t="n"/>
      <c r="B743" s="5" t="n"/>
      <c r="C743" s="5" t="n"/>
      <c r="D743" s="5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</row>
    <row r="744" ht="15" customHeight="1">
      <c r="A744" s="4" t="n"/>
      <c r="B744" s="5" t="n"/>
      <c r="C744" s="5" t="n"/>
      <c r="D744" s="5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</row>
    <row r="745" ht="15" customHeight="1">
      <c r="A745" s="4" t="n"/>
      <c r="B745" s="5" t="n"/>
      <c r="C745" s="5" t="n"/>
      <c r="D745" s="5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</row>
    <row r="746" ht="15" customHeight="1">
      <c r="A746" s="4" t="n"/>
      <c r="B746" s="5" t="n"/>
      <c r="C746" s="5" t="n"/>
      <c r="D746" s="5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</row>
    <row r="747" ht="15" customHeight="1">
      <c r="A747" s="4" t="n"/>
      <c r="B747" s="5" t="n"/>
      <c r="C747" s="5" t="n"/>
      <c r="D747" s="5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</row>
    <row r="748" ht="15" customHeight="1">
      <c r="A748" s="4" t="n"/>
      <c r="B748" s="5" t="n"/>
      <c r="C748" s="5" t="n"/>
      <c r="D748" s="5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</row>
    <row r="749" ht="15" customHeight="1">
      <c r="A749" s="4" t="n"/>
      <c r="B749" s="5" t="n"/>
      <c r="C749" s="5" t="n"/>
      <c r="D749" s="5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</row>
    <row r="750" ht="15" customHeight="1">
      <c r="A750" s="4" t="n"/>
      <c r="B750" s="5" t="n"/>
      <c r="C750" s="5" t="n"/>
      <c r="D750" s="5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</row>
    <row r="751" ht="15" customHeight="1">
      <c r="A751" s="4" t="n"/>
      <c r="B751" s="5" t="n"/>
      <c r="C751" s="5" t="n"/>
      <c r="D751" s="5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</row>
    <row r="752" ht="15" customHeight="1">
      <c r="A752" s="4" t="n"/>
      <c r="B752" s="5" t="n"/>
      <c r="C752" s="5" t="n"/>
      <c r="D752" s="5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</row>
    <row r="753" ht="15" customHeight="1">
      <c r="A753" s="4" t="n"/>
      <c r="B753" s="5" t="n"/>
      <c r="C753" s="5" t="n"/>
      <c r="D753" s="5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</row>
    <row r="754" ht="15" customHeight="1">
      <c r="A754" s="4" t="n"/>
      <c r="B754" s="5" t="n"/>
      <c r="C754" s="5" t="n"/>
      <c r="D754" s="5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</row>
    <row r="755" ht="15" customHeight="1">
      <c r="A755" s="4" t="n"/>
      <c r="B755" s="5" t="n"/>
      <c r="C755" s="5" t="n"/>
      <c r="D755" s="5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</row>
    <row r="756" ht="15" customHeight="1">
      <c r="A756" s="4" t="n"/>
      <c r="B756" s="5" t="n"/>
      <c r="C756" s="5" t="n"/>
      <c r="D756" s="5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</row>
    <row r="757" ht="15" customHeight="1">
      <c r="A757" s="4" t="n"/>
      <c r="B757" s="5" t="n"/>
      <c r="C757" s="5" t="n"/>
      <c r="D757" s="5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</row>
    <row r="758" ht="15" customHeight="1">
      <c r="A758" s="4" t="n"/>
      <c r="B758" s="5" t="n"/>
      <c r="C758" s="5" t="n"/>
      <c r="D758" s="5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</row>
    <row r="759" ht="15" customHeight="1">
      <c r="A759" s="4" t="n"/>
      <c r="B759" s="5" t="n"/>
      <c r="C759" s="5" t="n"/>
      <c r="D759" s="5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</row>
    <row r="760" ht="15" customHeight="1">
      <c r="A760" s="4" t="n"/>
      <c r="B760" s="5" t="n"/>
      <c r="C760" s="5" t="n"/>
      <c r="D760" s="5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</row>
    <row r="761" ht="15" customHeight="1">
      <c r="A761" s="4" t="n"/>
      <c r="B761" s="5" t="n"/>
      <c r="C761" s="5" t="n"/>
      <c r="D761" s="5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</row>
    <row r="762" ht="15" customHeight="1">
      <c r="A762" s="4" t="n"/>
      <c r="B762" s="5" t="n"/>
      <c r="C762" s="5" t="n"/>
      <c r="D762" s="5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</row>
    <row r="763" ht="15" customHeight="1">
      <c r="A763" s="4" t="n"/>
      <c r="B763" s="5" t="n"/>
      <c r="C763" s="5" t="n"/>
      <c r="D763" s="5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</row>
    <row r="764" ht="15" customHeight="1">
      <c r="A764" s="4" t="n"/>
      <c r="B764" s="5" t="n"/>
      <c r="C764" s="5" t="n"/>
      <c r="D764" s="5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</row>
    <row r="765" ht="15" customHeight="1">
      <c r="A765" s="4" t="n"/>
      <c r="B765" s="5" t="n"/>
      <c r="C765" s="5" t="n"/>
      <c r="D765" s="5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</row>
    <row r="766" ht="15" customHeight="1">
      <c r="A766" s="4" t="n"/>
      <c r="B766" s="5" t="n"/>
      <c r="C766" s="5" t="n"/>
      <c r="D766" s="5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</row>
    <row r="767" ht="15" customHeight="1">
      <c r="A767" s="4" t="n"/>
      <c r="B767" s="5" t="n"/>
      <c r="C767" s="5" t="n"/>
      <c r="D767" s="5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</row>
    <row r="768" ht="15" customHeight="1">
      <c r="A768" s="4" t="n"/>
      <c r="B768" s="5" t="n"/>
      <c r="C768" s="5" t="n"/>
      <c r="D768" s="5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</row>
    <row r="769" ht="15" customHeight="1">
      <c r="A769" s="4" t="n"/>
      <c r="B769" s="5" t="n"/>
      <c r="C769" s="5" t="n"/>
      <c r="D769" s="5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</row>
    <row r="770" ht="15" customHeight="1">
      <c r="A770" s="4" t="n"/>
      <c r="B770" s="5" t="n"/>
      <c r="C770" s="5" t="n"/>
      <c r="D770" s="5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</row>
    <row r="771" ht="15" customHeight="1">
      <c r="A771" s="4" t="n"/>
      <c r="B771" s="5" t="n"/>
      <c r="C771" s="5" t="n"/>
      <c r="D771" s="5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</row>
    <row r="772" ht="15" customHeight="1">
      <c r="A772" s="4" t="n"/>
      <c r="B772" s="5" t="n"/>
      <c r="C772" s="5" t="n"/>
      <c r="D772" s="5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</row>
    <row r="773" ht="15" customHeight="1">
      <c r="A773" s="4" t="n"/>
      <c r="B773" s="5" t="n"/>
      <c r="C773" s="5" t="n"/>
      <c r="D773" s="5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</row>
    <row r="774" ht="15" customHeight="1">
      <c r="A774" s="4" t="n"/>
      <c r="B774" s="5" t="n"/>
      <c r="C774" s="5" t="n"/>
      <c r="D774" s="5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</row>
    <row r="775" ht="15" customHeight="1">
      <c r="A775" s="4" t="n"/>
      <c r="B775" s="5" t="n"/>
      <c r="C775" s="5" t="n"/>
      <c r="D775" s="5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</row>
    <row r="776" ht="15" customHeight="1">
      <c r="A776" s="4" t="n"/>
      <c r="B776" s="5" t="n"/>
      <c r="C776" s="5" t="n"/>
      <c r="D776" s="5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</row>
    <row r="777" ht="15" customHeight="1">
      <c r="A777" s="4" t="n"/>
      <c r="B777" s="5" t="n"/>
      <c r="C777" s="5" t="n"/>
      <c r="D777" s="5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</row>
    <row r="778" ht="15" customHeight="1">
      <c r="A778" s="4" t="n"/>
      <c r="B778" s="5" t="n"/>
      <c r="C778" s="5" t="n"/>
      <c r="D778" s="5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</row>
    <row r="779" ht="15" customHeight="1">
      <c r="A779" s="4" t="n"/>
      <c r="B779" s="5" t="n"/>
      <c r="C779" s="5" t="n"/>
      <c r="D779" s="5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</row>
    <row r="780" ht="15" customHeight="1">
      <c r="A780" s="4" t="n"/>
      <c r="B780" s="5" t="n"/>
      <c r="C780" s="5" t="n"/>
      <c r="D780" s="5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</row>
    <row r="781" ht="15" customHeight="1">
      <c r="A781" s="4" t="n"/>
      <c r="B781" s="5" t="n"/>
      <c r="C781" s="5" t="n"/>
      <c r="D781" s="5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</row>
    <row r="782" ht="15" customHeight="1">
      <c r="A782" s="4" t="n"/>
      <c r="B782" s="5" t="n"/>
      <c r="C782" s="5" t="n"/>
      <c r="D782" s="5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</row>
    <row r="783" ht="15" customHeight="1">
      <c r="A783" s="4" t="n"/>
      <c r="B783" s="5" t="n"/>
      <c r="C783" s="5" t="n"/>
      <c r="D783" s="5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</row>
    <row r="784" ht="15" customHeight="1">
      <c r="A784" s="4" t="n"/>
      <c r="B784" s="5" t="n"/>
      <c r="C784" s="5" t="n"/>
      <c r="D784" s="5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</row>
    <row r="785" ht="15" customHeight="1">
      <c r="A785" s="4" t="n"/>
      <c r="B785" s="5" t="n"/>
      <c r="C785" s="5" t="n"/>
      <c r="D785" s="5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</row>
    <row r="786" ht="15" customHeight="1">
      <c r="A786" s="4" t="n"/>
      <c r="B786" s="5" t="n"/>
      <c r="C786" s="5" t="n"/>
      <c r="D786" s="5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</row>
    <row r="787" ht="15" customHeight="1">
      <c r="A787" s="4" t="n"/>
      <c r="B787" s="5" t="n"/>
      <c r="C787" s="5" t="n"/>
      <c r="D787" s="5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</row>
    <row r="788" ht="15" customHeight="1">
      <c r="A788" s="4" t="n"/>
      <c r="B788" s="5" t="n"/>
      <c r="C788" s="5" t="n"/>
      <c r="D788" s="5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</row>
    <row r="789" ht="15" customHeight="1">
      <c r="A789" s="4" t="n"/>
      <c r="B789" s="5" t="n"/>
      <c r="C789" s="5" t="n"/>
      <c r="D789" s="5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</row>
    <row r="790" ht="15" customHeight="1">
      <c r="A790" s="4" t="n"/>
      <c r="B790" s="5" t="n"/>
      <c r="C790" s="5" t="n"/>
      <c r="D790" s="5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</row>
    <row r="791" ht="15" customHeight="1">
      <c r="A791" s="4" t="n"/>
      <c r="B791" s="5" t="n"/>
      <c r="C791" s="5" t="n"/>
      <c r="D791" s="5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</row>
    <row r="792" ht="15" customHeight="1">
      <c r="A792" s="4" t="n"/>
      <c r="B792" s="5" t="n"/>
      <c r="C792" s="5" t="n"/>
      <c r="D792" s="5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</row>
    <row r="793" ht="15" customHeight="1">
      <c r="A793" s="4" t="n"/>
      <c r="B793" s="5" t="n"/>
      <c r="C793" s="5" t="n"/>
      <c r="D793" s="5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</row>
    <row r="794" ht="15" customHeight="1">
      <c r="A794" s="4" t="n"/>
      <c r="B794" s="5" t="n"/>
      <c r="C794" s="5" t="n"/>
      <c r="D794" s="5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</row>
    <row r="795" ht="15" customHeight="1">
      <c r="A795" s="4" t="n"/>
      <c r="B795" s="5" t="n"/>
      <c r="C795" s="5" t="n"/>
      <c r="D795" s="5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</row>
    <row r="796" ht="15" customHeight="1">
      <c r="A796" s="4" t="n"/>
      <c r="B796" s="5" t="n"/>
      <c r="C796" s="5" t="n"/>
      <c r="D796" s="5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</row>
    <row r="797" ht="15" customHeight="1">
      <c r="A797" s="4" t="n"/>
      <c r="B797" s="5" t="n"/>
      <c r="C797" s="5" t="n"/>
      <c r="D797" s="5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</row>
    <row r="798" ht="15" customHeight="1">
      <c r="A798" s="4" t="n"/>
      <c r="B798" s="5" t="n"/>
      <c r="C798" s="5" t="n"/>
      <c r="D798" s="5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</row>
    <row r="799" ht="15" customHeight="1">
      <c r="A799" s="4" t="n"/>
      <c r="B799" s="5" t="n"/>
      <c r="C799" s="5" t="n"/>
      <c r="D799" s="5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</row>
    <row r="800" ht="15" customHeight="1">
      <c r="A800" s="4" t="n"/>
      <c r="B800" s="5" t="n"/>
      <c r="C800" s="5" t="n"/>
      <c r="D800" s="5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</row>
    <row r="801" ht="15" customHeight="1">
      <c r="A801" s="4" t="n"/>
      <c r="B801" s="5" t="n"/>
      <c r="C801" s="5" t="n"/>
      <c r="D801" s="5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</row>
    <row r="802" ht="15" customHeight="1">
      <c r="A802" s="4" t="n"/>
      <c r="B802" s="5" t="n"/>
      <c r="C802" s="5" t="n"/>
      <c r="D802" s="5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</row>
    <row r="803" ht="15" customHeight="1">
      <c r="A803" s="4" t="n"/>
      <c r="B803" s="5" t="n"/>
      <c r="C803" s="5" t="n"/>
      <c r="D803" s="5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</row>
    <row r="804" ht="15" customHeight="1">
      <c r="A804" s="4" t="n"/>
      <c r="B804" s="5" t="n"/>
      <c r="C804" s="5" t="n"/>
      <c r="D804" s="5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</row>
    <row r="805" ht="15" customHeight="1">
      <c r="A805" s="4" t="n"/>
      <c r="B805" s="5" t="n"/>
      <c r="C805" s="5" t="n"/>
      <c r="D805" s="5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</row>
    <row r="806" ht="15" customHeight="1">
      <c r="A806" s="4" t="n"/>
      <c r="B806" s="5" t="n"/>
      <c r="C806" s="5" t="n"/>
      <c r="D806" s="5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</row>
    <row r="807" ht="15" customHeight="1">
      <c r="A807" s="4" t="n"/>
      <c r="B807" s="5" t="n"/>
      <c r="C807" s="5" t="n"/>
      <c r="D807" s="5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</row>
    <row r="808" ht="15" customHeight="1">
      <c r="A808" s="4" t="n"/>
      <c r="B808" s="5" t="n"/>
      <c r="C808" s="5" t="n"/>
      <c r="D808" s="5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</row>
    <row r="809" ht="15" customHeight="1">
      <c r="A809" s="4" t="n"/>
      <c r="B809" s="5" t="n"/>
      <c r="C809" s="5" t="n"/>
      <c r="D809" s="5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</row>
    <row r="810" ht="15" customHeight="1">
      <c r="A810" s="4" t="n"/>
      <c r="B810" s="5" t="n"/>
      <c r="C810" s="5" t="n"/>
      <c r="D810" s="5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</row>
    <row r="811" ht="15" customHeight="1">
      <c r="A811" s="4" t="n"/>
      <c r="B811" s="5" t="n"/>
      <c r="C811" s="5" t="n"/>
      <c r="D811" s="5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</row>
    <row r="812" ht="15" customHeight="1">
      <c r="A812" s="4" t="n"/>
      <c r="B812" s="5" t="n"/>
      <c r="C812" s="5" t="n"/>
      <c r="D812" s="5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</row>
    <row r="813" ht="15" customHeight="1">
      <c r="A813" s="4" t="n"/>
      <c r="B813" s="5" t="n"/>
      <c r="C813" s="5" t="n"/>
      <c r="D813" s="5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</row>
    <row r="814" ht="15" customHeight="1">
      <c r="A814" s="4" t="n"/>
      <c r="B814" s="5" t="n"/>
      <c r="C814" s="5" t="n"/>
      <c r="D814" s="5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</row>
    <row r="815" ht="15" customHeight="1">
      <c r="A815" s="4" t="n"/>
      <c r="B815" s="5" t="n"/>
      <c r="C815" s="5" t="n"/>
      <c r="D815" s="5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</row>
    <row r="816" ht="15" customHeight="1">
      <c r="A816" s="4" t="n"/>
      <c r="B816" s="5" t="n"/>
      <c r="C816" s="5" t="n"/>
      <c r="D816" s="5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</row>
    <row r="817" ht="15" customHeight="1">
      <c r="A817" s="4" t="n"/>
      <c r="B817" s="5" t="n"/>
      <c r="C817" s="5" t="n"/>
      <c r="D817" s="5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</row>
    <row r="818" ht="15" customHeight="1">
      <c r="A818" s="4" t="n"/>
      <c r="B818" s="5" t="n"/>
      <c r="C818" s="5" t="n"/>
      <c r="D818" s="5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</row>
    <row r="819" ht="15" customHeight="1">
      <c r="A819" s="4" t="n"/>
      <c r="B819" s="5" t="n"/>
      <c r="C819" s="5" t="n"/>
      <c r="D819" s="5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</row>
    <row r="820" ht="15" customHeight="1">
      <c r="A820" s="4" t="n"/>
      <c r="B820" s="5" t="n"/>
      <c r="C820" s="5" t="n"/>
      <c r="D820" s="5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</row>
    <row r="821" ht="15" customHeight="1">
      <c r="A821" s="4" t="n"/>
      <c r="B821" s="5" t="n"/>
      <c r="C821" s="5" t="n"/>
      <c r="D821" s="5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</row>
    <row r="822" ht="15" customHeight="1">
      <c r="A822" s="4" t="n"/>
      <c r="B822" s="5" t="n"/>
      <c r="C822" s="5" t="n"/>
      <c r="D822" s="5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</row>
    <row r="823" ht="15" customHeight="1">
      <c r="A823" s="4" t="n"/>
      <c r="B823" s="5" t="n"/>
      <c r="C823" s="5" t="n"/>
      <c r="D823" s="5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</row>
    <row r="824" ht="15" customHeight="1">
      <c r="A824" s="4" t="n"/>
      <c r="B824" s="5" t="n"/>
      <c r="C824" s="5" t="n"/>
      <c r="D824" s="5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</row>
    <row r="825" ht="15" customHeight="1">
      <c r="A825" s="4" t="n"/>
      <c r="B825" s="5" t="n"/>
      <c r="C825" s="5" t="n"/>
      <c r="D825" s="5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</row>
    <row r="826" ht="15" customHeight="1">
      <c r="A826" s="4" t="n"/>
      <c r="B826" s="5" t="n"/>
      <c r="C826" s="5" t="n"/>
      <c r="D826" s="5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</row>
    <row r="827" ht="15" customHeight="1">
      <c r="A827" s="4" t="n"/>
      <c r="B827" s="5" t="n"/>
      <c r="C827" s="5" t="n"/>
      <c r="D827" s="5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</row>
    <row r="828" ht="15" customHeight="1">
      <c r="A828" s="4" t="n"/>
      <c r="B828" s="5" t="n"/>
      <c r="C828" s="5" t="n"/>
      <c r="D828" s="5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</row>
    <row r="829" ht="15" customHeight="1">
      <c r="A829" s="4" t="n"/>
      <c r="B829" s="5" t="n"/>
      <c r="C829" s="5" t="n"/>
      <c r="D829" s="5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</row>
    <row r="830" ht="15" customHeight="1">
      <c r="A830" s="4" t="n"/>
      <c r="B830" s="5" t="n"/>
      <c r="C830" s="5" t="n"/>
      <c r="D830" s="5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</row>
    <row r="831" ht="15" customHeight="1">
      <c r="A831" s="4" t="n"/>
      <c r="B831" s="5" t="n"/>
      <c r="C831" s="5" t="n"/>
      <c r="D831" s="5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</row>
    <row r="832" ht="15" customHeight="1">
      <c r="A832" s="4" t="n"/>
      <c r="B832" s="5" t="n"/>
      <c r="C832" s="5" t="n"/>
      <c r="D832" s="5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</row>
    <row r="833" ht="15" customHeight="1">
      <c r="A833" s="4" t="n"/>
      <c r="B833" s="5" t="n"/>
      <c r="C833" s="5" t="n"/>
      <c r="D833" s="5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</row>
    <row r="834" ht="15" customHeight="1">
      <c r="A834" s="4" t="n"/>
      <c r="B834" s="5" t="n"/>
      <c r="C834" s="5" t="n"/>
      <c r="D834" s="5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</row>
    <row r="835" ht="15" customHeight="1">
      <c r="A835" s="4" t="n"/>
      <c r="B835" s="5" t="n"/>
      <c r="C835" s="5" t="n"/>
      <c r="D835" s="5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</row>
    <row r="836" ht="15" customHeight="1">
      <c r="A836" s="4" t="n"/>
      <c r="B836" s="5" t="n"/>
      <c r="C836" s="5" t="n"/>
      <c r="D836" s="5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</row>
    <row r="837" ht="15" customHeight="1">
      <c r="A837" s="4" t="n"/>
      <c r="B837" s="5" t="n"/>
      <c r="C837" s="5" t="n"/>
      <c r="D837" s="5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</row>
    <row r="838" ht="15" customHeight="1">
      <c r="A838" s="4" t="n"/>
      <c r="B838" s="5" t="n"/>
      <c r="C838" s="5" t="n"/>
      <c r="D838" s="5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</row>
    <row r="839" ht="15" customHeight="1">
      <c r="A839" s="4" t="n"/>
      <c r="B839" s="5" t="n"/>
      <c r="C839" s="5" t="n"/>
      <c r="D839" s="5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</row>
    <row r="840" ht="15" customHeight="1">
      <c r="A840" s="4" t="n"/>
      <c r="B840" s="5" t="n"/>
      <c r="C840" s="5" t="n"/>
      <c r="D840" s="5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</row>
    <row r="841" ht="15" customHeight="1">
      <c r="A841" s="4" t="n"/>
      <c r="B841" s="5" t="n"/>
      <c r="C841" s="5" t="n"/>
      <c r="D841" s="5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</row>
    <row r="842" ht="15" customHeight="1">
      <c r="A842" s="4" t="n"/>
      <c r="B842" s="5" t="n"/>
      <c r="C842" s="5" t="n"/>
      <c r="D842" s="5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</row>
    <row r="843" ht="15" customHeight="1">
      <c r="A843" s="4" t="n"/>
      <c r="B843" s="5" t="n"/>
      <c r="C843" s="5" t="n"/>
      <c r="D843" s="5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</row>
    <row r="844" ht="15" customHeight="1">
      <c r="A844" s="4" t="n"/>
      <c r="B844" s="5" t="n"/>
      <c r="C844" s="5" t="n"/>
      <c r="D844" s="5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</row>
    <row r="845" ht="15" customHeight="1">
      <c r="A845" s="4" t="n"/>
      <c r="B845" s="5" t="n"/>
      <c r="C845" s="5" t="n"/>
      <c r="D845" s="5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</row>
    <row r="846" ht="15" customHeight="1">
      <c r="A846" s="4" t="n"/>
      <c r="B846" s="5" t="n"/>
      <c r="C846" s="5" t="n"/>
      <c r="D846" s="5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</row>
    <row r="847" ht="15" customHeight="1">
      <c r="A847" s="4" t="n"/>
      <c r="B847" s="5" t="n"/>
      <c r="C847" s="5" t="n"/>
      <c r="D847" s="5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</row>
    <row r="848" ht="15" customHeight="1">
      <c r="A848" s="4" t="n"/>
      <c r="B848" s="5" t="n"/>
      <c r="C848" s="5" t="n"/>
      <c r="D848" s="5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</row>
    <row r="849" ht="15" customHeight="1">
      <c r="A849" s="4" t="n"/>
      <c r="B849" s="5" t="n"/>
      <c r="C849" s="5" t="n"/>
      <c r="D849" s="5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</row>
    <row r="850" ht="15" customHeight="1">
      <c r="A850" s="4" t="n"/>
      <c r="B850" s="5" t="n"/>
      <c r="C850" s="5" t="n"/>
      <c r="D850" s="5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</row>
    <row r="851" ht="15" customHeight="1">
      <c r="A851" s="4" t="n"/>
      <c r="B851" s="5" t="n"/>
      <c r="C851" s="5" t="n"/>
      <c r="D851" s="5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</row>
    <row r="852" ht="15" customHeight="1">
      <c r="A852" s="4" t="n"/>
      <c r="B852" s="5" t="n"/>
      <c r="C852" s="5" t="n"/>
      <c r="D852" s="5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</row>
    <row r="853" ht="15" customHeight="1">
      <c r="A853" s="4" t="n"/>
      <c r="B853" s="5" t="n"/>
      <c r="C853" s="5" t="n"/>
      <c r="D853" s="5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</row>
    <row r="854" ht="15" customHeight="1">
      <c r="A854" s="4" t="n"/>
      <c r="B854" s="5" t="n"/>
      <c r="C854" s="5" t="n"/>
      <c r="D854" s="5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</row>
    <row r="855" ht="15" customHeight="1">
      <c r="A855" s="4" t="n"/>
      <c r="B855" s="5" t="n"/>
      <c r="C855" s="5" t="n"/>
      <c r="D855" s="5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</row>
    <row r="856" ht="15" customHeight="1">
      <c r="A856" s="4" t="n"/>
      <c r="B856" s="5" t="n"/>
      <c r="C856" s="5" t="n"/>
      <c r="D856" s="5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</row>
    <row r="857" ht="15" customHeight="1">
      <c r="A857" s="4" t="n"/>
      <c r="B857" s="5" t="n"/>
      <c r="C857" s="5" t="n"/>
      <c r="D857" s="5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</row>
    <row r="858" ht="15" customHeight="1">
      <c r="A858" s="4" t="n"/>
      <c r="B858" s="5" t="n"/>
      <c r="C858" s="5" t="n"/>
      <c r="D858" s="5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</row>
    <row r="859" ht="15" customHeight="1">
      <c r="A859" s="4" t="n"/>
      <c r="B859" s="5" t="n"/>
      <c r="C859" s="5" t="n"/>
      <c r="D859" s="5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</row>
    <row r="860" ht="15" customHeight="1">
      <c r="A860" s="4" t="n"/>
      <c r="B860" s="5" t="n"/>
      <c r="C860" s="5" t="n"/>
      <c r="D860" s="5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</row>
    <row r="861" ht="15" customHeight="1">
      <c r="A861" s="4" t="n"/>
      <c r="B861" s="5" t="n"/>
      <c r="C861" s="5" t="n"/>
      <c r="D861" s="5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</row>
    <row r="862" ht="15" customHeight="1">
      <c r="A862" s="4" t="n"/>
      <c r="B862" s="5" t="n"/>
      <c r="C862" s="5" t="n"/>
      <c r="D862" s="5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</row>
    <row r="863" ht="15" customHeight="1">
      <c r="A863" s="4" t="n"/>
      <c r="B863" s="5" t="n"/>
      <c r="C863" s="5" t="n"/>
      <c r="D863" s="5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</row>
    <row r="864" ht="15" customHeight="1">
      <c r="A864" s="4" t="n"/>
      <c r="B864" s="5" t="n"/>
      <c r="C864" s="5" t="n"/>
      <c r="D864" s="5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</row>
    <row r="865" ht="15" customHeight="1">
      <c r="A865" s="4" t="n"/>
      <c r="B865" s="5" t="n"/>
      <c r="C865" s="5" t="n"/>
      <c r="D865" s="5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</row>
    <row r="866" ht="15" customHeight="1">
      <c r="A866" s="4" t="n"/>
      <c r="B866" s="5" t="n"/>
      <c r="C866" s="5" t="n"/>
      <c r="D866" s="5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</row>
    <row r="867" ht="15" customHeight="1">
      <c r="A867" s="4" t="n"/>
      <c r="B867" s="5" t="n"/>
      <c r="C867" s="5" t="n"/>
      <c r="D867" s="5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</row>
    <row r="868" ht="15" customHeight="1">
      <c r="A868" s="4" t="n"/>
      <c r="B868" s="5" t="n"/>
      <c r="C868" s="5" t="n"/>
      <c r="D868" s="5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</row>
    <row r="869" ht="15" customHeight="1">
      <c r="A869" s="4" t="n"/>
      <c r="B869" s="5" t="n"/>
      <c r="C869" s="5" t="n"/>
      <c r="D869" s="5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</row>
    <row r="870" ht="15" customHeight="1">
      <c r="A870" s="4" t="n"/>
      <c r="B870" s="5" t="n"/>
      <c r="C870" s="5" t="n"/>
      <c r="D870" s="5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</row>
    <row r="871" ht="15" customHeight="1">
      <c r="A871" s="4" t="n"/>
      <c r="B871" s="5" t="n"/>
      <c r="C871" s="5" t="n"/>
      <c r="D871" s="5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</row>
    <row r="872" ht="15" customHeight="1">
      <c r="A872" s="4" t="n"/>
      <c r="B872" s="5" t="n"/>
      <c r="C872" s="5" t="n"/>
      <c r="D872" s="5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</row>
    <row r="873" ht="15" customHeight="1">
      <c r="A873" s="4" t="n"/>
      <c r="B873" s="5" t="n"/>
      <c r="C873" s="5" t="n"/>
      <c r="D873" s="5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</row>
    <row r="874" ht="15" customHeight="1">
      <c r="A874" s="4" t="n"/>
      <c r="B874" s="5" t="n"/>
      <c r="C874" s="5" t="n"/>
      <c r="D874" s="5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</row>
    <row r="875" ht="15" customHeight="1">
      <c r="A875" s="4" t="n"/>
      <c r="B875" s="5" t="n"/>
      <c r="C875" s="5" t="n"/>
      <c r="D875" s="5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</row>
    <row r="876" ht="15" customHeight="1">
      <c r="A876" s="4" t="n"/>
      <c r="B876" s="5" t="n"/>
      <c r="C876" s="5" t="n"/>
      <c r="D876" s="5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</row>
    <row r="877" ht="15" customHeight="1">
      <c r="A877" s="4" t="n"/>
      <c r="B877" s="5" t="n"/>
      <c r="C877" s="5" t="n"/>
      <c r="D877" s="5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</row>
    <row r="878" ht="15" customHeight="1">
      <c r="A878" s="4" t="n"/>
      <c r="B878" s="5" t="n"/>
      <c r="C878" s="5" t="n"/>
      <c r="D878" s="5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</row>
    <row r="879" ht="15" customHeight="1">
      <c r="A879" s="4" t="n"/>
      <c r="B879" s="5" t="n"/>
      <c r="C879" s="5" t="n"/>
      <c r="D879" s="5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</row>
    <row r="880" ht="15" customHeight="1">
      <c r="A880" s="4" t="n"/>
      <c r="B880" s="5" t="n"/>
      <c r="C880" s="5" t="n"/>
      <c r="D880" s="5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</row>
    <row r="881" ht="15" customHeight="1">
      <c r="A881" s="4" t="n"/>
      <c r="B881" s="5" t="n"/>
      <c r="C881" s="5" t="n"/>
      <c r="D881" s="5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</row>
    <row r="882" ht="15" customHeight="1">
      <c r="A882" s="4" t="n"/>
      <c r="B882" s="5" t="n"/>
      <c r="C882" s="5" t="n"/>
      <c r="D882" s="5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</row>
    <row r="883" ht="15" customHeight="1">
      <c r="A883" s="4" t="n"/>
      <c r="B883" s="5" t="n"/>
      <c r="C883" s="5" t="n"/>
      <c r="D883" s="5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</row>
    <row r="884" ht="15" customHeight="1">
      <c r="A884" s="4" t="n"/>
      <c r="B884" s="5" t="n"/>
      <c r="C884" s="5" t="n"/>
      <c r="D884" s="5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</row>
    <row r="885" ht="15" customHeight="1">
      <c r="A885" s="4" t="n"/>
      <c r="B885" s="5" t="n"/>
      <c r="C885" s="5" t="n"/>
      <c r="D885" s="5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</row>
    <row r="886" ht="15" customHeight="1">
      <c r="A886" s="4" t="n"/>
      <c r="B886" s="5" t="n"/>
      <c r="C886" s="5" t="n"/>
      <c r="D886" s="5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</row>
    <row r="887" ht="15" customHeight="1">
      <c r="A887" s="4" t="n"/>
      <c r="B887" s="5" t="n"/>
      <c r="C887" s="5" t="n"/>
      <c r="D887" s="5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</row>
    <row r="888" ht="15" customHeight="1">
      <c r="A888" s="4" t="n"/>
      <c r="B888" s="5" t="n"/>
      <c r="C888" s="5" t="n"/>
      <c r="D888" s="5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</row>
    <row r="889" ht="15" customHeight="1">
      <c r="A889" s="4" t="n"/>
      <c r="B889" s="5" t="n"/>
      <c r="C889" s="5" t="n"/>
      <c r="D889" s="5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</row>
    <row r="890" ht="15" customHeight="1">
      <c r="A890" s="4" t="n"/>
      <c r="B890" s="5" t="n"/>
      <c r="C890" s="5" t="n"/>
      <c r="D890" s="5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</row>
    <row r="891" ht="15" customHeight="1">
      <c r="A891" s="4" t="n"/>
      <c r="B891" s="5" t="n"/>
      <c r="C891" s="5" t="n"/>
      <c r="D891" s="5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</row>
    <row r="892" ht="15" customHeight="1">
      <c r="A892" s="4" t="n"/>
      <c r="B892" s="5" t="n"/>
      <c r="C892" s="5" t="n"/>
      <c r="D892" s="5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</row>
    <row r="893" ht="15" customHeight="1">
      <c r="A893" s="4" t="n"/>
      <c r="B893" s="5" t="n"/>
      <c r="C893" s="5" t="n"/>
      <c r="D893" s="5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</row>
    <row r="894" ht="15" customHeight="1">
      <c r="A894" s="4" t="n"/>
      <c r="B894" s="5" t="n"/>
      <c r="C894" s="5" t="n"/>
      <c r="D894" s="5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</row>
    <row r="895" ht="15" customHeight="1">
      <c r="A895" s="4" t="n"/>
      <c r="B895" s="5" t="n"/>
      <c r="C895" s="5" t="n"/>
      <c r="D895" s="5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</row>
    <row r="896" ht="15" customHeight="1">
      <c r="A896" s="4" t="n"/>
      <c r="B896" s="5" t="n"/>
      <c r="C896" s="5" t="n"/>
      <c r="D896" s="5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</row>
    <row r="897" ht="15" customHeight="1">
      <c r="A897" s="4" t="n"/>
      <c r="B897" s="5" t="n"/>
      <c r="C897" s="5" t="n"/>
      <c r="D897" s="5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</row>
    <row r="898" ht="15" customHeight="1">
      <c r="A898" s="4" t="n"/>
      <c r="B898" s="5" t="n"/>
      <c r="C898" s="5" t="n"/>
      <c r="D898" s="5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</row>
    <row r="899" ht="15" customHeight="1">
      <c r="A899" s="4" t="n"/>
      <c r="B899" s="5" t="n"/>
      <c r="C899" s="5" t="n"/>
      <c r="D899" s="5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</row>
    <row r="900" ht="15" customHeight="1">
      <c r="A900" s="4" t="n"/>
      <c r="B900" s="5" t="n"/>
      <c r="C900" s="5" t="n"/>
      <c r="D900" s="5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</row>
    <row r="901" ht="15" customHeight="1">
      <c r="A901" s="4" t="n"/>
      <c r="B901" s="5" t="n"/>
      <c r="C901" s="5" t="n"/>
      <c r="D901" s="5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</row>
    <row r="902" ht="15" customHeight="1">
      <c r="A902" s="4" t="n"/>
      <c r="B902" s="5" t="n"/>
      <c r="C902" s="5" t="n"/>
      <c r="D902" s="5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</row>
    <row r="903" ht="15" customHeight="1">
      <c r="A903" s="4" t="n"/>
      <c r="B903" s="5" t="n"/>
      <c r="C903" s="5" t="n"/>
      <c r="D903" s="5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</row>
    <row r="904" ht="15" customHeight="1">
      <c r="A904" s="4" t="n"/>
      <c r="B904" s="5" t="n"/>
      <c r="C904" s="5" t="n"/>
      <c r="D904" s="5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</row>
    <row r="905" ht="15" customHeight="1">
      <c r="A905" s="4" t="n"/>
      <c r="B905" s="5" t="n"/>
      <c r="C905" s="5" t="n"/>
      <c r="D905" s="5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</row>
    <row r="906" ht="15" customHeight="1">
      <c r="A906" s="4" t="n"/>
      <c r="B906" s="5" t="n"/>
      <c r="C906" s="5" t="n"/>
      <c r="D906" s="5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</row>
    <row r="907" ht="15" customHeight="1">
      <c r="A907" s="4" t="n"/>
      <c r="B907" s="5" t="n"/>
      <c r="C907" s="5" t="n"/>
      <c r="D907" s="5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</row>
    <row r="908" ht="15" customHeight="1">
      <c r="A908" s="4" t="n"/>
      <c r="B908" s="5" t="n"/>
      <c r="C908" s="5" t="n"/>
      <c r="D908" s="5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</row>
    <row r="909" ht="15" customHeight="1">
      <c r="A909" s="4" t="n"/>
      <c r="B909" s="5" t="n"/>
      <c r="C909" s="5" t="n"/>
      <c r="D909" s="5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</row>
    <row r="910" ht="15" customHeight="1">
      <c r="A910" s="4" t="n"/>
      <c r="B910" s="5" t="n"/>
      <c r="C910" s="5" t="n"/>
      <c r="D910" s="5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</row>
    <row r="911" ht="15" customHeight="1">
      <c r="A911" s="4" t="n"/>
      <c r="B911" s="5" t="n"/>
      <c r="C911" s="5" t="n"/>
      <c r="D911" s="5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</row>
    <row r="912" ht="15" customHeight="1">
      <c r="A912" s="4" t="n"/>
      <c r="B912" s="5" t="n"/>
      <c r="C912" s="5" t="n"/>
      <c r="D912" s="5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</row>
    <row r="913" ht="15" customHeight="1">
      <c r="A913" s="4" t="n"/>
      <c r="B913" s="5" t="n"/>
      <c r="C913" s="5" t="n"/>
      <c r="D913" s="5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</row>
    <row r="914" ht="15" customHeight="1">
      <c r="A914" s="4" t="n"/>
      <c r="B914" s="5" t="n"/>
      <c r="C914" s="5" t="n"/>
      <c r="D914" s="5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</row>
    <row r="915" ht="15" customHeight="1">
      <c r="A915" s="4" t="n"/>
      <c r="B915" s="5" t="n"/>
      <c r="C915" s="5" t="n"/>
      <c r="D915" s="5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</row>
    <row r="916" ht="15" customHeight="1">
      <c r="A916" s="4" t="n"/>
      <c r="B916" s="5" t="n"/>
      <c r="C916" s="5" t="n"/>
      <c r="D916" s="5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</row>
    <row r="917" ht="15" customHeight="1">
      <c r="A917" s="4" t="n"/>
      <c r="B917" s="5" t="n"/>
      <c r="C917" s="5" t="n"/>
      <c r="D917" s="5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</row>
    <row r="918" ht="15" customHeight="1">
      <c r="A918" s="4" t="n"/>
      <c r="B918" s="5" t="n"/>
      <c r="C918" s="5" t="n"/>
      <c r="D918" s="5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</row>
    <row r="919" ht="15" customHeight="1">
      <c r="A919" s="4" t="n"/>
      <c r="B919" s="5" t="n"/>
      <c r="C919" s="5" t="n"/>
      <c r="D919" s="5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</row>
    <row r="920" ht="15" customHeight="1">
      <c r="A920" s="4" t="n"/>
      <c r="B920" s="5" t="n"/>
      <c r="C920" s="5" t="n"/>
      <c r="D920" s="5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</row>
    <row r="921" ht="15" customHeight="1">
      <c r="A921" s="4" t="n"/>
      <c r="B921" s="5" t="n"/>
      <c r="C921" s="5" t="n"/>
      <c r="D921" s="5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</row>
    <row r="922" ht="15" customHeight="1">
      <c r="A922" s="4" t="n"/>
      <c r="B922" s="5" t="n"/>
      <c r="C922" s="5" t="n"/>
      <c r="D922" s="5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</row>
    <row r="923" ht="15" customHeight="1">
      <c r="A923" s="4" t="n"/>
      <c r="B923" s="5" t="n"/>
      <c r="C923" s="5" t="n"/>
      <c r="D923" s="5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</row>
    <row r="924" ht="15" customHeight="1">
      <c r="A924" s="4" t="n"/>
      <c r="B924" s="5" t="n"/>
      <c r="C924" s="5" t="n"/>
      <c r="D924" s="5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</row>
    <row r="925" ht="15" customHeight="1">
      <c r="A925" s="4" t="n"/>
      <c r="B925" s="5" t="n"/>
      <c r="C925" s="5" t="n"/>
      <c r="D925" s="5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</row>
    <row r="926" ht="15" customHeight="1">
      <c r="A926" s="4" t="n"/>
      <c r="B926" s="5" t="n"/>
      <c r="C926" s="5" t="n"/>
      <c r="D926" s="5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</row>
    <row r="927" ht="15" customHeight="1">
      <c r="A927" s="4" t="n"/>
      <c r="B927" s="5" t="n"/>
      <c r="C927" s="5" t="n"/>
      <c r="D927" s="5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</row>
    <row r="928" ht="15" customHeight="1">
      <c r="A928" s="4" t="n"/>
      <c r="B928" s="5" t="n"/>
      <c r="C928" s="5" t="n"/>
      <c r="D928" s="5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</row>
    <row r="929" ht="15" customHeight="1">
      <c r="A929" s="4" t="n"/>
      <c r="B929" s="5" t="n"/>
      <c r="C929" s="5" t="n"/>
      <c r="D929" s="5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</row>
    <row r="930" ht="15" customHeight="1">
      <c r="A930" s="4" t="n"/>
      <c r="B930" s="5" t="n"/>
      <c r="C930" s="5" t="n"/>
      <c r="D930" s="5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</row>
    <row r="931" ht="15" customHeight="1">
      <c r="A931" s="4" t="n"/>
      <c r="B931" s="5" t="n"/>
      <c r="C931" s="5" t="n"/>
      <c r="D931" s="5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</row>
    <row r="932" ht="15" customHeight="1">
      <c r="A932" s="4" t="n"/>
      <c r="B932" s="5" t="n"/>
      <c r="C932" s="5" t="n"/>
      <c r="D932" s="5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</row>
    <row r="933" ht="15" customHeight="1">
      <c r="A933" s="4" t="n"/>
      <c r="B933" s="5" t="n"/>
      <c r="C933" s="5" t="n"/>
      <c r="D933" s="5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</row>
    <row r="934" ht="15" customHeight="1">
      <c r="A934" s="4" t="n"/>
      <c r="B934" s="5" t="n"/>
      <c r="C934" s="5" t="n"/>
      <c r="D934" s="5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</row>
    <row r="935" ht="15" customHeight="1">
      <c r="A935" s="4" t="n"/>
      <c r="B935" s="5" t="n"/>
      <c r="C935" s="5" t="n"/>
      <c r="D935" s="5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</row>
    <row r="936" ht="15" customHeight="1">
      <c r="A936" s="4" t="n"/>
      <c r="B936" s="5" t="n"/>
      <c r="C936" s="5" t="n"/>
      <c r="D936" s="5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</row>
    <row r="937" ht="15" customHeight="1">
      <c r="A937" s="4" t="n"/>
      <c r="B937" s="5" t="n"/>
      <c r="C937" s="5" t="n"/>
      <c r="D937" s="5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</row>
    <row r="938" ht="15" customHeight="1">
      <c r="A938" s="4" t="n"/>
      <c r="B938" s="5" t="n"/>
      <c r="C938" s="5" t="n"/>
      <c r="D938" s="5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0"/>
  <sheetViews>
    <sheetView topLeftCell="A120" workbookViewId="0">
      <selection activeCell="Q172" sqref="Q172"/>
    </sheetView>
  </sheetViews>
  <sheetFormatPr baseColWidth="8" defaultRowHeight="14.4"/>
  <sheetData>
    <row r="1">
      <c r="A1" t="inlineStr">
        <is>
          <t>[1]</t>
        </is>
      </c>
      <c r="B1" t="inlineStr">
        <is>
          <t>Sun, N., Liu, H. &amp; Xu, B. Facile synthesis of high performance hard carbon anode materials for sodium ion batteries. Journal of Materials Chemistry A 3, 20560-20566 (2015). https://doi.org/10.1039/c5ta05118e</t>
        </is>
      </c>
    </row>
    <row r="2">
      <c r="A2" s="12" t="inlineStr">
        <is>
          <t>[2]</t>
        </is>
      </c>
      <c r="B2" t="inlineStr">
        <is>
          <t>Meng, X., Savage, P. E. &amp; Deng, D. Trash to Treasure: From Harmful Algal Blooms to High-Performance Electrodes for Sodium-Ion Batteries. Environmental Science &amp; Technology 49, 12543-12550 (2015). https://doi.org/10.1021/acs.est.5b03882</t>
        </is>
      </c>
    </row>
    <row r="3">
      <c r="A3" s="12" t="inlineStr">
        <is>
          <t>[3]</t>
        </is>
      </c>
      <c r="B3" t="inlineStr">
        <is>
          <t>Li, Y., Hu, Y. S., Titirici, M. M., Chen, L. &amp; Huang, X. Hard Carbon Microtubes Made from Renewable Cotton as High‐Performance Anode Material for Sodium‐Ion Batteries. Advanced Energy Materials 6 (2016). https://doi.org/10.1002/aenm.201600659</t>
        </is>
      </c>
    </row>
    <row r="4">
      <c r="A4" s="12" t="inlineStr">
        <is>
          <t>[4]</t>
        </is>
      </c>
      <c r="B4" t="inlineStr">
        <is>
          <t>Liu, P. et al. A waste biomass derived hard carbon as a high-performance anode material for sodium-ion batteries. Journal of Materials Chemistry A 4, 13046-13052 (2016). https://doi.org/10.1039/c6ta04877c</t>
        </is>
      </c>
    </row>
    <row r="5">
      <c r="A5" s="12" t="inlineStr">
        <is>
          <t>[5]</t>
        </is>
      </c>
      <c r="B5" t="inlineStr">
        <is>
          <t>Dahbi, M. et al. Synthesis of hard carbon from argan shells for Na-ion batteries. Journal of Materials Chemistry A 5, 9917-9928 (2017). https://doi.org/10.1039/c7ta01394a</t>
        </is>
      </c>
    </row>
    <row r="6">
      <c r="A6" s="12" t="inlineStr">
        <is>
          <t>[6]</t>
        </is>
      </c>
      <c r="B6" t="inlineStr">
        <is>
          <t>Kim, K. et al. Tailored Carbon Anodes Derived from Biomass for Sodium-Ion Storage. ACS Sustainable Chemistry &amp; Engineering 5, 8720-8728 (2017). https://doi.org/10.1021/acssuschemeng.7b01497</t>
        </is>
      </c>
    </row>
    <row r="7">
      <c r="A7" s="12" t="inlineStr">
        <is>
          <t>[7]</t>
        </is>
      </c>
      <c r="B7" t="inlineStr">
        <is>
          <t>Zhang, T. et al. Pinecone biomass-derived hard carbon anodes for high-performance sodium-ion batteries. RSC Advances 7, 41504-41511 (2017). https://doi.org/10.1039/c7ra07231g</t>
        </is>
      </c>
    </row>
    <row r="8">
      <c r="A8" s="12" t="inlineStr">
        <is>
          <t>[8]</t>
        </is>
      </c>
      <c r="B8" t="inlineStr">
        <is>
          <t>Wang, P. et al. Kelp-derived hard carbons as advanced anode materials for sodium-ion batteries. Journal of Materials Chemistry A 5, 5761-5769 (2017). https://doi.org/10.1039/c7ta00639j</t>
        </is>
      </c>
    </row>
    <row r="9">
      <c r="A9" s="12" t="inlineStr">
        <is>
          <t>[9]</t>
        </is>
      </c>
      <c r="B9" t="inlineStr">
        <is>
          <t>Gaddam, R. R. et al. Spinifex nanocellulose derived hard carbon anodes for high-performance sodium-ion batteries. Sustainable Energy &amp; Fuels 1, 1090-1097 (2017). https://doi.org/10.1039/c7se00169j</t>
        </is>
      </c>
    </row>
    <row r="10">
      <c r="A10" s="12" t="inlineStr">
        <is>
          <t>[10]</t>
        </is>
      </c>
      <c r="B10" t="inlineStr">
        <is>
          <t>Wahid, M. et al. Nutty Carbon: Morphology Replicating Hard Carbon from Walnut Shell for Na Ion Battery Anode. ACS Omega 2, 3601-3609 (2017). https://doi.org/10.1021/acsomega.7b00633</t>
        </is>
      </c>
    </row>
    <row r="11">
      <c r="A11" s="12" t="inlineStr">
        <is>
          <t>[11]</t>
        </is>
      </c>
      <c r="B11" t="inlineStr">
        <is>
          <t>Zhu, X., Jiang, X., Liu, X., Xiao, L. &amp; Cao, Y. A green route to synthesize low-cost and high-performance hard carbon as promising sodium-ion battery anodes from sorghum stalk waste. Green Energy &amp; Environment 2, 310-315 (2017). https://doi.org/10.1016/j.gee.2017.05.004</t>
        </is>
      </c>
    </row>
    <row r="12">
      <c r="A12" s="12" t="inlineStr">
        <is>
          <t>[12]</t>
        </is>
      </c>
      <c r="B12" t="inlineStr">
        <is>
          <t>Wang, K. et al. Low-Cost and High-Performance Hard Carbon Anode Materials for Sodium-Ion Batteries. ACS Omega 2, 1687-1695 (2017). https://doi.org/10.1021/acsomega.7b00259</t>
        </is>
      </c>
    </row>
    <row r="13">
      <c r="A13" s="12" t="inlineStr">
        <is>
          <t>[13]</t>
        </is>
      </c>
      <c r="B13" t="inlineStr">
        <is>
          <t>Wang, C. et al. Controlling pseudographtic domain dimension of dandelion derived biomass carbon for excellent sodium-ion storage. Journal of Power Sources 358, 85-92 (2017). https://doi.org/10.1016/j.jpowsour.2017.05.011</t>
        </is>
      </c>
    </row>
    <row r="14">
      <c r="A14" s="12" t="inlineStr">
        <is>
          <t>[14]</t>
        </is>
      </c>
      <c r="B14" t="inlineStr">
        <is>
          <t>Zhang, N. et al. High capacity hard carbon derived from lotus stem as anode for sodium ion batteries. Journal of Power Sources 378, 331-337 (2018). https://doi.org/10.1016/j.jpowsour.2017.12.054</t>
        </is>
      </c>
    </row>
    <row r="15">
      <c r="A15" s="12" t="inlineStr">
        <is>
          <t>[15]</t>
        </is>
      </c>
      <c r="B15" t="inlineStr">
        <is>
          <t>Zhang, Y. et al. Honeycomb-like Hard Carbon Derived from Pine Pollen as High-Performance Anode Material for Sodium-Ion Batteries. ACS Applied Materials &amp; Interfaces 10, 42796-42803 (2018). https://doi.org/10.1021/acsami.8b13160</t>
        </is>
      </c>
    </row>
    <row r="16">
      <c r="A16" s="12" t="inlineStr">
        <is>
          <t>[16]</t>
        </is>
      </c>
      <c r="B16" t="inlineStr">
        <is>
          <t>Wang, Q. et al. Rice husk-derived hard carbons as high-performance anode materials for sodium-ion batteries. Carbon 127, 658-666 (2018). https://doi.org/10.1016/j.carbon.2017.11.054</t>
        </is>
      </c>
    </row>
    <row r="17">
      <c r="A17" s="12" t="inlineStr">
        <is>
          <t>[17]</t>
        </is>
      </c>
      <c r="B17" t="inlineStr">
        <is>
          <t>Dou, X., Geng, C., Buchholz, D. &amp; Passerini, S. Research Update: Hard carbon with closed pores from pectin-free apple pomace waste for Na-ion batteries. APL Materials 6 (2018). https://doi.org/10.1063/1.5013132</t>
        </is>
      </c>
    </row>
    <row r="18">
      <c r="A18" s="12" t="inlineStr">
        <is>
          <t>[18]</t>
        </is>
      </c>
      <c r="B18" t="inlineStr">
        <is>
          <t>Zhu, Z. et al. Expanded biomass-derived hard carbon with ultra-stable performance in sodium-ion batteries. Journal of Materials Chemistry A 6, 1513-1522 (2018). https://doi.org/10.1039/c7ta07951f</t>
        </is>
      </c>
    </row>
    <row r="19">
      <c r="A19" s="12" t="inlineStr">
        <is>
          <t>[19]</t>
        </is>
      </c>
      <c r="B19" t="inlineStr">
        <is>
          <t>Izanzar, I. et al. Hard carbons issued from date palm as efficient anode materials for sodium-ion batteries. Carbon 137, 165-173 (2018). https://doi.org/10.1016/j.carbon.2018.05.032</t>
        </is>
      </c>
    </row>
    <row r="20">
      <c r="A20" s="12" t="inlineStr">
        <is>
          <t>[20]</t>
        </is>
      </c>
      <c r="B20" t="inlineStr">
        <is>
          <t>Zhu, Y.-E. et al. Hard carbon derived from corn straw piths as anode materials for sodium ion batteries. Ionics 24, 1075-1081 (2018). https://doi.org/10.1007/s11581-017-2260-1</t>
        </is>
      </c>
    </row>
    <row r="21">
      <c r="A21" s="12" t="inlineStr">
        <is>
          <t>[21]</t>
        </is>
      </c>
      <c r="B21" t="inlineStr">
        <is>
          <t>Marino, C., Cabanero, J., Povia, M. &amp; Villevieille, C. Biowaste Lignin-Based Carbonaceous Materials as Anodes for Na-Ion Batteries. Journal of The Electrochemical Society 165, A1400-A1408 (2018). https://doi.org/10.1149/2.0681807jes</t>
        </is>
      </c>
    </row>
    <row r="22">
      <c r="A22" s="12" t="inlineStr">
        <is>
          <t>[22]</t>
        </is>
      </c>
      <c r="B22" t="inlineStr">
        <is>
          <t>Zhang, S., Li, Y. &amp; Li, M. Porous Hard Carbon Derived from Walnut Shell as an Anode Material for Sodium-Ion Batteries. JOM 70, 1387-1391 (2018). https://doi.org/10.1007/s11837-018-2789-0</t>
        </is>
      </c>
    </row>
    <row r="23">
      <c r="A23" s="12" t="inlineStr">
        <is>
          <t>[23]</t>
        </is>
      </c>
      <c r="B23" t="inlineStr">
        <is>
          <t>Wang, Y. et al. High Capacity and High Efficiency Maple Tree-Biomass-Derived Hard Carbon as an Anode Material for Sodium-Ion Batteries. Materials (Basel) 11 (2018). https://doi.org/10.3390/ma11081294</t>
        </is>
      </c>
    </row>
    <row r="24">
      <c r="A24" s="12" t="inlineStr">
        <is>
          <t>[24]</t>
        </is>
      </c>
      <c r="B24" t="inlineStr">
        <is>
          <t>Saavedra Rios, C. d. M., Simone, V., Simonin, L., Martinet, S. &amp; Dupont, C. Biochars from various biomass types as precursors for hard carbon anodes in sodium-ion batteries. Biomass and Bioenergy 117, 32-37 (2018). https://doi.org/10.1016/j.biombioe.2018.07.001</t>
        </is>
      </c>
    </row>
    <row r="25">
      <c r="A25" s="12" t="inlineStr">
        <is>
          <t>[25]</t>
        </is>
      </c>
      <c r="B25" t="inlineStr">
        <is>
          <t>Wu, F. et al. Expanding Interlayer Spacing of Hard Carbon by Natural K+ Doping to Boost Na-Ion Storage. ACS Applied Materials &amp; Interfaces 10, 27030-27038 (2018). https://doi.org/10.1021/acsami.8b08380</t>
        </is>
      </c>
    </row>
    <row r="26">
      <c r="A26" s="12" t="inlineStr">
        <is>
          <t>[26]</t>
        </is>
      </c>
      <c r="B26" t="inlineStr">
        <is>
          <t>Sun, N. et al. Extended “Adsorption–Insertion” Model: A New Insight into the Sodium Storage Mechanism of Hard Carbons. Advanced Energy Materials 9 (2019). https://doi.org/10.1002/aenm.201901351</t>
        </is>
      </c>
    </row>
    <row r="27">
      <c r="A27" s="12" t="inlineStr">
        <is>
          <t>[27]</t>
        </is>
      </c>
      <c r="B27" t="inlineStr">
        <is>
          <t>Rybarczyk, M. K. et al. Hard carbon derived from rice husk as low cost negative electrodes in Na-ion batteries. Journal of Energy Chemistry 29, 17-22 (2019). https://doi.org/10.1016/j.jechem.2018.01.025</t>
        </is>
      </c>
    </row>
    <row r="28">
      <c r="A28" s="12" t="inlineStr">
        <is>
          <t>[28]</t>
        </is>
      </c>
      <c r="B28" t="inlineStr">
        <is>
          <t>Raj K, A., Panda, M. R., Dutta, D. P. &amp; Mitra, S. Bio-derived mesoporous disordered carbon: An excellent anode in sodium-ion battery and full-cell lab prototype. Carbon 143, 402-412 (2019). https://doi.org/10.1016/j.carbon.2018.11.038</t>
        </is>
      </c>
    </row>
    <row r="29">
      <c r="A29" s="12" t="inlineStr">
        <is>
          <t>[29]</t>
        </is>
      </c>
      <c r="B29" t="inlineStr">
        <is>
          <t>Wang, P., Fan, L., Yan, L. &amp; Shi, Z. Low-cost water caltrop shell-derived hard carbons with high initial coulombic efficiency for sodium-ion battery anodes. Journal of Alloys and Compounds 775, 1028-1035 (2019). https://doi.org/10.1016/j.jallcom.2018.10.180</t>
        </is>
      </c>
    </row>
    <row r="30">
      <c r="A30" s="12" t="inlineStr">
        <is>
          <t>[30]</t>
        </is>
      </c>
      <c r="B30" t="inlineStr">
        <is>
          <t>Li, Y. et al. Regulating Pore Structure of Hierarchical Porous Waste Cork‐Derived Hard Carbon Anode for Enhanced Na Storage Performance. Advanced Energy Materials 9 (2019). https://doi.org/10.1002/aenm.201902852</t>
        </is>
      </c>
    </row>
    <row r="31">
      <c r="A31" s="12" t="inlineStr">
        <is>
          <t>[31]</t>
        </is>
      </c>
      <c r="B31" t="inlineStr">
        <is>
          <t>Zheng, Y. et al. Superior electrochemical performance of sodium-ion full-cell using poplar wood derived hard carbon anode. Energy Storage Materials 18, 269-279 (2019). https://doi.org/10.1016/j.ensm.2018.09.002</t>
        </is>
      </c>
    </row>
    <row r="32">
      <c r="A32" s="12" t="inlineStr">
        <is>
          <t>[32]</t>
        </is>
      </c>
      <c r="B32" t="inlineStr">
        <is>
          <t>Wu, F. et al. Lotus Seedpod-Derived Hard Carbon with Hierarchical Porous Structure as Stable Anode for Sodium-Ion Batteries. ACS Applied Materials &amp; Interfaces 11, 12554-12561 (2019). https://doi.org/10.1021/acsami.9b01419</t>
        </is>
      </c>
    </row>
    <row r="33">
      <c r="A33" s="12" t="inlineStr">
        <is>
          <t>[33]</t>
        </is>
      </c>
      <c r="B33" t="inlineStr">
        <is>
          <t>Nakabayashi, K. et al. Enhancement of First Cycle Coulombic Efficiency of Hard Carbon Derived from Eucalyptus in a Sodium Ion Battery. Chemistry Letters 48, 753-755 (2019). https://doi.org/10.1246/cl.190230</t>
        </is>
      </c>
    </row>
    <row r="34">
      <c r="A34" s="12" t="inlineStr">
        <is>
          <t>[34]</t>
        </is>
      </c>
      <c r="B34" t="inlineStr">
        <is>
          <t>Alvin, S. et al. Extended flat voltage profile of hard carbon synthesized using a two-step carbonization approach as an anode in sodium ion batteries. Journal of Power Sources 430, 157-168 (2019). https://doi.org/10.1016/j.jpowsour.2019.05.013</t>
        </is>
      </c>
    </row>
    <row r="35">
      <c r="A35" s="12" t="inlineStr">
        <is>
          <t>[35]</t>
        </is>
      </c>
      <c r="B35" t="inlineStr">
        <is>
          <t>Rath, P. C. et al. Carbonaceous Anodes Derived from Sugarcane Bagasse for Sodium-Ion Batteries. ChemSusChem 12, 2302-2309 (2019). https://doi.org/https://doi.org/10.1002/cssc.201900319</t>
        </is>
      </c>
    </row>
    <row r="36">
      <c r="A36" s="12" t="inlineStr">
        <is>
          <t>[36]</t>
        </is>
      </c>
      <c r="B36" t="inlineStr">
        <is>
          <t>Lee, M. E., Kwak, H. W., Jin, H.-J. &amp; Yun, Y. S. Waste Beverage Coffee-Induced Hard Carbon Granules for Sodium-Ion Batteries. ACS Sustainable Chemistry &amp; Engineering 7, 12734-12740 (2019). https://doi.org/10.1021/acssuschemeng.9b00971</t>
        </is>
      </c>
    </row>
    <row r="37">
      <c r="A37" s="12" t="inlineStr">
        <is>
          <t>[37]</t>
        </is>
      </c>
      <c r="B37" t="inlineStr">
        <is>
          <t>Li, X. et al. The transport properties of sodium-ion in the low potential platform region of oatmeal-derived hard carbon for sodium-ion batteries. Journal of Alloys and Compounds 787, 229-238 (2019). https://doi.org/10.1016/j.jallcom.2019.02.077</t>
        </is>
      </c>
    </row>
    <row r="38">
      <c r="A38" s="12" t="inlineStr">
        <is>
          <t>[38]</t>
        </is>
      </c>
      <c r="B38" t="inlineStr">
        <is>
          <t>Zhao, B., Ding, Y. &amp; Wen, Z. From Jackfruit Rags to Hierarchical Porous N-Doped Carbon: A High-Performance Anode Material for Sodium-Ion Batteries. Transactions of Tianjin University 25, 429-436 (2019). https://doi.org/10.1007/s12209-019-00209-8</t>
        </is>
      </c>
    </row>
    <row r="39">
      <c r="A39" s="12" t="inlineStr">
        <is>
          <t>[39]</t>
        </is>
      </c>
      <c r="B39" t="inlineStr">
        <is>
          <t>Gomez-Martin, A. et al. Correlation of Structure and Performance of Hard Carbons as Anodes for Sodium Ion Batteries. Chemistry of Materials 31, 7288-7299 (2019). https://doi.org/10.1021/acs.chemmater.9b01768</t>
        </is>
      </c>
    </row>
    <row r="40">
      <c r="A40" s="12" t="inlineStr">
        <is>
          <t>[40]</t>
        </is>
      </c>
      <c r="B40" t="inlineStr">
        <is>
          <t>Yu, Z.-E. et al. Hard carbon micro-nano tubes derived from kapok fiber as anode materials for sodium-ion batteries and the sodium-ion storage mechanism. Chemical Communications 56, 778-781 (2020). https://doi.org/10.1039/c9cc08221b</t>
        </is>
      </c>
    </row>
    <row r="41">
      <c r="A41" s="12" t="inlineStr">
        <is>
          <t>[41]</t>
        </is>
      </c>
      <c r="B41" t="inlineStr">
        <is>
          <t>Saavedra Rios, C. d. M., Simonin, L., Geyer, A. d., Matei Ghimbeu, C. &amp; Dupont, C. Unraveling the Properties of Biomass-Derived Hard Carbons upon Thermal Treatment for a Practical Application in Na-Ion Batteries. Energies 13 (2020). https://doi.org/10.3390/en13143513</t>
        </is>
      </c>
    </row>
    <row r="42">
      <c r="A42" s="12" t="inlineStr">
        <is>
          <t>[42]</t>
        </is>
      </c>
      <c r="B42" t="inlineStr">
        <is>
          <t>Lu, M., Huang, Y. &amp; Chen, C. Cedarwood Bark-Derived Hard Carbon as an Anode for High-Performance Sodium-Ion Batteries. Energy &amp; Fuels 34, 11489-11497 (2020). https://doi.org/10.1021/acs.energyfuels.0c01841</t>
        </is>
      </c>
    </row>
    <row r="43">
      <c r="A43" s="12" t="inlineStr">
        <is>
          <t>[43]</t>
        </is>
      </c>
      <c r="B43" t="inlineStr">
        <is>
          <t>Yu, K. et al. Hyperaccumulation Route to Ca-Rich Hard Carbon Materials with Cation Self-Incorporation and Interlayer Spacing Optimization for High-Performance Sodium-Ion Batteries. ACS Applied Materials &amp; Interfaces 12, 10544-10553 (2020). https://doi.org/10.1021/acsami.9b22745</t>
        </is>
      </c>
    </row>
    <row r="44">
      <c r="A44" s="12" t="inlineStr">
        <is>
          <t>[44]</t>
        </is>
      </c>
      <c r="B44" t="inlineStr">
        <is>
          <t>Chen, C. et al. Nonignorable Influence of Oxygen in Hard Carbon for Sodium Ion Storage. ACS Sustainable Chemistry &amp; Engineering 8, 1497-1506 (2020). https://doi.org/10.1021/acssuschemeng.9b05948</t>
        </is>
      </c>
    </row>
    <row r="45">
      <c r="A45" s="12" t="inlineStr">
        <is>
          <t>[45]</t>
        </is>
      </c>
      <c r="B45" t="inlineStr">
        <is>
          <t>Cheng, H., Tang, Z., Luo, X. &amp; Zheng, Z. Spartina alterniflora-derived porous carbon using as anode material for sodium-ion battery. Science of The Total Environment 777 (2021). https://doi.org/10.1016/j.scitotenv.2021.146120</t>
        </is>
      </c>
    </row>
    <row r="46">
      <c r="A46" s="12" t="inlineStr">
        <is>
          <t>[46]</t>
        </is>
      </c>
      <c r="B46" t="inlineStr">
        <is>
          <t>Li, Q. et al. N, S self‐doped porous carbon with enlarged interlayer distance as anode for high performance sodium ion batteries. International Journal of Energy Research 45, 7082-7092 (2020). https://doi.org/10.1002/er.6294</t>
        </is>
      </c>
    </row>
    <row r="47">
      <c r="A47" s="12" t="inlineStr">
        <is>
          <t>[47]</t>
        </is>
      </c>
      <c r="B47" t="inlineStr">
        <is>
          <t>Tao, S. et al. Soybean roots-derived N, P Co-doped mesoporous hard carbon for boosting sodium and potassium-ion batteries. Carbon 178, 233-242 (2021). https://doi.org/10.1016/j.carbon.2021.03.022</t>
        </is>
      </c>
    </row>
    <row r="48">
      <c r="A48" s="12" t="inlineStr">
        <is>
          <t>[48]</t>
        </is>
      </c>
      <c r="B48" t="inlineStr">
        <is>
          <t>Yang, D. et al. Nitrogen, Sulfur, and Phosphorus Codoped Hollow Carbon Microtubes Derived from Silver Willow Blossoms as a High-Performance Anode for Sodium-Ion Batteries. Energy &amp; Fuels 35, 2795-2804 (2021). https://doi.org/10.1021/acs.energyfuels.0c04258</t>
        </is>
      </c>
    </row>
    <row r="49">
      <c r="A49" s="12" t="inlineStr">
        <is>
          <t>[49]</t>
        </is>
      </c>
      <c r="B49" t="inlineStr">
        <is>
          <t>Nita, C., Zhang, B., Dentzer, J. &amp; Matei Ghimbeu, C. Hard carbon derived from coconut shells, walnut shells, and corn silk biomass waste exhibiting high capacity for Na-ion batteries. Journal of Energy Chemistry 58, 207-218 (2021). https://doi.org/10.1016/j.jechem.2020.08.065</t>
        </is>
      </c>
    </row>
    <row r="50">
      <c r="A50" s="12" t="inlineStr">
        <is>
          <t>[50]</t>
        </is>
      </c>
      <c r="B50" t="inlineStr">
        <is>
          <t>Kumar, U., Wu, J., Sharma, N. &amp; Sahajwalla, V. Biomass Derived High Areal and Specific Capacity Hard Carbon Anodes for Sodium-Ion Batteries. Energy &amp; Fuels 35, 1820-1830 (2021). https://doi.org/10.1021/acs.energyfuels.0c03741</t>
        </is>
      </c>
    </row>
    <row r="51">
      <c r="A51" s="12" t="inlineStr">
        <is>
          <t>[51]</t>
        </is>
      </c>
      <c r="B51" t="inlineStr">
        <is>
          <t>Hu, H.-Y. et al. A Stable Biomass-Derived Hard Carbon Anode for High-Performance Sodium-Ion Full Battery. Energy Technology 9, 2000730 (2021). https://doi.org/https://doi.org/10.1002/ente.202000730</t>
        </is>
      </c>
    </row>
    <row r="52">
      <c r="A52" s="12" t="inlineStr">
        <is>
          <t>[52]</t>
        </is>
      </c>
      <c r="B52" t="inlineStr">
        <is>
          <t>Zhang, G., Zhao, Y., Yan, L., Zhang, L. &amp; Shi, Z. Sycamore fruit seed‐based hard carbon anode material with high cycle stability for sodium‐ion battery. Journal of Materials Science: Materials in Electronics 32, 5645-5654 (2021). https://doi.org/10.1007/s10854-021-05286-x</t>
        </is>
      </c>
    </row>
    <row r="53">
      <c r="A53" s="12" t="inlineStr">
        <is>
          <t>[53]</t>
        </is>
      </c>
      <c r="B53" t="inlineStr">
        <is>
          <t>Zheng, P. et al. Enhanced Performance by Enlarged Nano-pores of Holly Leaf-derived Lamellar Carbon for Sodium-ion Battery Anode. Scientific Reports 6, 26246 (2016). https://doi.org/10.1038/srep26246</t>
        </is>
      </c>
    </row>
    <row r="54">
      <c r="A54" s="12" t="inlineStr">
        <is>
          <t>[54]</t>
        </is>
      </c>
      <c r="B54" t="inlineStr">
        <is>
          <t>Yan, D. et al. Nitrogen-doped carbon microspheres derived from oatmeal as high capacity and superior long life anode material for sodium ion battery. Electrochimica Acta 191, 385-391 (2016). https://doi.org/10.1016/j.electacta.2016.01.105</t>
        </is>
      </c>
    </row>
    <row r="55">
      <c r="A55" s="12" t="inlineStr">
        <is>
          <t>[55]</t>
        </is>
      </c>
      <c r="B55" t="inlineStr">
        <is>
          <t>Wang, J. et al. Facile hydrothermal treatment route of reed straw-derived hard carbon for high performance sodium ion battery. Electrochimica Acta 291, 188-196 (2018). https://doi.org/10.1016/j.electacta.2018.08.136</t>
        </is>
      </c>
    </row>
    <row r="56">
      <c r="A56" s="12" t="inlineStr">
        <is>
          <t>[56]</t>
        </is>
      </c>
      <c r="B56" t="inlineStr">
        <is>
          <t>Lv, W. et al. Peanut shell derived hard carbon as ultralong cycling anodes for lithium and sodium batteries. Electrochimica Acta 176, 533-541 (2015). https://doi.org/https://doi.org/10.1016/j.electacta.2015.07.059</t>
        </is>
      </c>
    </row>
    <row r="57">
      <c r="A57" s="12" t="inlineStr">
        <is>
          <t>[57]</t>
        </is>
      </c>
      <c r="B57" t="inlineStr">
        <is>
          <t>Xiang, J., Lv, W., Mu, C., Zhao, J. &amp; Wang, B. Activated hard carbon from orange peel for lithium/sodium ion battery anode with long cycle life. Journal of Alloys and Compounds 701, 870-874 (2017). https://doi.org/10.1016/j.jallcom.2017.01.206</t>
        </is>
      </c>
    </row>
    <row r="58">
      <c r="A58" s="12" t="inlineStr">
        <is>
          <t>[58]</t>
        </is>
      </c>
      <c r="B58" t="inlineStr">
        <is>
          <t>Lu, M. et al. Self-doped carbon architectures with heteroatoms containing nitrogen, oxygen and sulfur as high-performance anodes for lithium- and sodium-ion batteries. Electrochimica Acta 251, 396-406 (2017). https://doi.org/10.1016/j.electacta.2017.08.131</t>
        </is>
      </c>
    </row>
    <row r="59">
      <c r="A59" s="12" t="inlineStr">
        <is>
          <t>[59]</t>
        </is>
      </c>
      <c r="B59" t="inlineStr">
        <is>
          <t>Arie, A. A., Kristianto, H., Demir, E. &amp; Cakan, R. D. Activated porous carbons derived from the Indonesian snake fruit peel as anode materials for sodium ion batteries. Materials Chemistry and Physics 217, 254-261 (2018). https://doi.org/10.1016/j.matchemphys.2018.06.076</t>
        </is>
      </c>
    </row>
    <row r="60">
      <c r="A60" s="12" t="inlineStr">
        <is>
          <t>[60]</t>
        </is>
      </c>
      <c r="B60" t="inlineStr">
        <is>
          <t>Packiyalakshmi, P., Chandrasekhar, B. &amp; Kalaiselvi, N. Domestic Food Waste Derived Porous Carbon for Energy Storage Applications. ChemistrySelect 4, 8007-8014 (2019). https://doi.org/10.1002/slct.201900818</t>
        </is>
      </c>
    </row>
    <row r="61">
      <c r="A61" s="12" t="inlineStr">
        <is>
          <t>[61]</t>
        </is>
      </c>
      <c r="B61" t="inlineStr">
        <is>
          <t>Ou, J., Yang, L. &amp; Zhang, Z. Chrysanthemum derived hierarchically porous nitrogen-doped carbon as high performance anode material for Lithium/Sodium ion batteries. Powder Technology 344, 89-95 (2019). https://doi.org/10.1016/j.powtec.2018.11.100</t>
        </is>
      </c>
    </row>
    <row r="62">
      <c r="A62" s="12" t="inlineStr">
        <is>
          <t>[62]</t>
        </is>
      </c>
      <c r="B62" t="inlineStr">
        <is>
          <t>Pozio, A., Aurora, A. &amp; Prosini, P. P. Hard carbon for sodium batteries: Wood precursors and activation with first group hydroxide. Journal of Power Sources 449 (2020). https://doi.org/10.1016/j.jpowsour.2019.227555</t>
        </is>
      </c>
    </row>
    <row r="63">
      <c r="A63" s="12" t="inlineStr">
        <is>
          <t>[63]</t>
        </is>
      </c>
      <c r="B63" t="inlineStr">
        <is>
          <t>Senthil, C., Park, J. W., Shaji, N., Sim, G. S. &amp; Lee, C. W. Biomass seaweed-derived nitrogen self-doped porous carbon anodes for sodium-ion batteries: Insights into the structure and electrochemical activity. Journal of Energy Chemistry 64, 286-295 (2022). https://doi.org/10.1016/j.jechem.2021.04.060</t>
        </is>
      </c>
    </row>
    <row r="64">
      <c r="A64" s="12" t="inlineStr">
        <is>
          <t>[64]</t>
        </is>
      </c>
      <c r="B64" t="inlineStr">
        <is>
          <t>Hong, K. I. et al. Biomass derived hard carbon used as a high performance anode material for sodium ion batteries. Journal of Materials Chemistry A. 2, 12733 (2014). https://doi.org/10.1039/C4TA02068E</t>
        </is>
      </c>
    </row>
    <row r="65">
      <c r="A65" s="12" t="inlineStr">
        <is>
          <t>[65]</t>
        </is>
      </c>
      <c r="B65" t="inlineStr">
        <is>
          <t>Shen, Y., Sun, S., Yang, M. &amp; Zhao, X. Typha-derived hard carbon for high-performance sodium ion storage. Journal of Alloys and Compounds 784, 1290-1296 (2019). https://doi.org/10.1016/j.jallcom.2019.01.021</t>
        </is>
      </c>
    </row>
    <row r="66">
      <c r="A66" s="12" t="inlineStr">
        <is>
          <t>[66]</t>
        </is>
      </c>
      <c r="B66" t="inlineStr">
        <is>
          <t>Xu, Z. et al. Highly Stable Basswood Porous Carbon Anode Activated by Phosphoric Acid for a Sodium Ion Battery. Energy &amp; Fuels 34, 11565-11573 (2020). https://doi.org/10.1021/acs.energyfuels.0c02286</t>
        </is>
      </c>
    </row>
    <row r="67">
      <c r="A67" s="12" t="inlineStr">
        <is>
          <t>[67]</t>
        </is>
      </c>
      <c r="B67" t="inlineStr">
        <is>
          <t>Zhang, J. et al. N, O and S co-doped hierarchical porous carbon derived from a series of samara for lithium and sodium storage: Insights into surface capacitance and inner diffusion. J Colloid Interface Sci 598, 250-259 (2021). https://doi.org/10.1016/j.jcis.2021.04.047</t>
        </is>
      </c>
    </row>
    <row r="68">
      <c r="A68" s="12" t="inlineStr">
        <is>
          <t>[68]</t>
        </is>
      </c>
      <c r="B68" t="inlineStr">
        <is>
          <t>Yu, C. et al. Old-loofah-derived hard carbon for long cyclicity anode in sodium ion battery. International Journal of Hydrogen Energy 43, 3253-3260 (2018). https://doi.org/10.1016/j.ijhydene.2017.12.151</t>
        </is>
      </c>
    </row>
    <row r="69">
      <c r="A69" s="12" t="inlineStr">
        <is>
          <t>[69]</t>
        </is>
      </c>
      <c r="B69" t="inlineStr">
        <is>
          <t>Wang, X. K. et al. Hierarchical porous hard carbon enables integral solid electrolyte interphase as robust anode for sodium‐ion batteries. Rare Metals 39, 1053-1062 (2020). https://doi.org/10.1007/s12598-020-01469-3</t>
        </is>
      </c>
    </row>
    <row r="70">
      <c r="A70" s="12" t="inlineStr">
        <is>
          <t>[70]</t>
        </is>
      </c>
      <c r="B70" t="inlineStr">
        <is>
          <t>Yan, Z., Yang, Q.-W., Wang, Q. &amp; Ma, J. Nitrogen doped porous carbon as excellent dual anodes for Li- and Na-ion batteries. Chinese Chemical Letters 31, 583-588 (2020). https://doi.org/10.1016/j.cclet.2019.11.002</t>
        </is>
      </c>
    </row>
    <row r="71">
      <c r="A71" s="12" t="inlineStr">
        <is>
          <t>[71]</t>
        </is>
      </c>
      <c r="B71" t="inlineStr">
        <is>
          <t>Darjazi, H. et al. Sustainable Anodes for Lithium- and Sodium-Ion Batteries Based on Coffee Ground-Derived Hard Carbon and Green Binders. Energies 13 (2020). https://doi.org/10.3390/en13236216</t>
        </is>
      </c>
    </row>
    <row r="72">
      <c r="A72" s="12" t="inlineStr">
        <is>
          <t>[72]</t>
        </is>
      </c>
      <c r="B72" t="inlineStr">
        <is>
          <t>Zhu, Y., Chen, M., Li, Q., Yuan, C. &amp; Wang, C. A porous biomass-derived anode for high-performance sodium-ion batteries. Carbon 129, 695-701 (2018). https://doi.org/10.1016/j.carbon.2017.12.103</t>
        </is>
      </c>
    </row>
    <row r="73">
      <c r="A73" s="12" t="inlineStr">
        <is>
          <t>[73]</t>
        </is>
      </c>
      <c r="B73" t="inlineStr">
        <is>
          <t>Qin, D. &amp; Chen, S. A sustainable synthesis of biomass carbon sheets as excellent performance sodium ion batteries anode. Journal of Solid State Electrochemistry 21, 1305-1312 (2017). https://doi.org/10.1007/s10008-016-3485-z</t>
        </is>
      </c>
    </row>
    <row r="74">
      <c r="A74" s="12" t="inlineStr">
        <is>
          <t>[74]</t>
        </is>
      </c>
      <c r="B74" t="inlineStr">
        <is>
          <t>Kumaresan, T. K., Masilamani, S. A., Raman, K., Karazhanov, S. Z. &amp; Subashchandrabose, R. High performance sodium-ion battery anode using biomass derived hard carbon with engineered defective sites. Electrochimica Acta 368 (2021). https://doi.org/10.1016/j.electacta.2020.137574</t>
        </is>
      </c>
    </row>
    <row r="75">
      <c r="A75" s="12" t="inlineStr">
        <is>
          <t>[75]</t>
        </is>
      </c>
      <c r="B75" t="inlineStr">
        <is>
          <t>Ding, J. et al. Carbon Nanosheet Frameworks Derived from Peat Moss as High Performance Sodium Ion Battery Anodes. ACS Nano 7, 11004-11015 (2013). https://doi.org/10.1021/nn404640c</t>
        </is>
      </c>
    </row>
    <row r="76">
      <c r="A76" s="12" t="inlineStr">
        <is>
          <t>[76]</t>
        </is>
      </c>
      <c r="B76" t="inlineStr">
        <is>
          <t>Lotfabad, E. M. et al. High-Density Sodium and Lithium Ion Battery Anodes from Banana Peels. ACS Nano 8, 7115-7129 (2014). https://doi.org/10.1021/nn502045y</t>
        </is>
      </c>
    </row>
    <row r="77">
      <c r="A77" s="12" t="inlineStr">
        <is>
          <t>[77]</t>
        </is>
      </c>
      <c r="B77" t="inlineStr">
        <is>
          <t>Wang, P. et al. Fluorine-Doped Carbon Particles Derived from Lotus Petioles as High-Performance Anode Materials for Sodium-Ion Batteries. The Journal of Physical Chemistry C 119, 21336-21344 (2015). https://doi.org/10.1021/acs.jpcc.5b05443</t>
        </is>
      </c>
    </row>
    <row r="78">
      <c r="A78" s="12" t="inlineStr">
        <is>
          <t>[78]</t>
        </is>
      </c>
      <c r="B78" t="inlineStr">
        <is>
          <t>Li, D. et al. Ion- and air-tailored micro-honeycomb structures for superior Na-ion storage in coir-derived hard carbon. New Journal of Chemistry 43, 10449-10457 (2019). https://doi.org/10.1039/c9nj01397k</t>
        </is>
      </c>
    </row>
    <row r="79">
      <c r="A79" s="12" t="inlineStr">
        <is>
          <t>[79]</t>
        </is>
      </c>
      <c r="B79" t="inlineStr">
        <is>
          <t>Yu, K., Wang, X., Yang, H., Bai, Y. &amp; Wu, C. Insight to defects regulation on sugarcane waste-derived hard carbon anode for sodium-ion batteries. Journal of Energy Chemistry 55, 499-508 (2021). https://doi.org/https://doi.org/10.1016/j.jechem.2020.07.025</t>
        </is>
      </c>
    </row>
    <row r="80">
      <c r="A80" s="12" t="inlineStr">
        <is>
          <t>[80]</t>
        </is>
      </c>
      <c r="B80" t="inlineStr">
        <is>
          <t>Wang, H. et al. Biomass derived hierarchical porous carbons as high-performance anodes for sodium-ion batteries. Electrochimica Acta 188, 103-110 (2016). https://doi.org/https://doi.org/10.1016/j.electacta.2015.12.002</t>
        </is>
      </c>
    </row>
    <row r="81">
      <c r="A81" s="12" t="inlineStr">
        <is>
          <t>[81]</t>
        </is>
      </c>
      <c r="B81" t="inlineStr">
        <is>
          <t>Cao, L. et al. Rape seed shuck derived-lamellar hard carbon as anodes for sodium-ion batteries. Journal of Alloys and Compounds 695, 632-637 (2017). https://doi.org/https://doi.org/10.1016/j.jallcom.2016.11.135</t>
        </is>
      </c>
    </row>
    <row r="82">
      <c r="A82" s="12" t="inlineStr">
        <is>
          <t>[82]</t>
        </is>
      </c>
      <c r="B82" t="inlineStr">
        <is>
          <t>Li, W. et al. Controlled synthesis of macroscopic three-dimensional hollow reticulate hard carbon as long-life anode materials for Na-ion batteries. Journal of Alloys and Compounds 716, 210-219 (2017). https://doi.org/10.1016/j.jallcom.2017.05.062</t>
        </is>
      </c>
    </row>
    <row r="83">
      <c r="A83" s="12" t="inlineStr">
        <is>
          <t>[83]</t>
        </is>
      </c>
      <c r="B83" t="inlineStr">
        <is>
          <t>Fu, H. et al. Network Carbon with Macropores from Apple Pomace for Stable and High Areal Capacity of Sodium Storage. ACS Sustainable Chemistry &amp; Engineering 6, 14751-14758 (2018). https://doi.org/10.1021/acssuschemeng.8b03297</t>
        </is>
      </c>
    </row>
    <row r="84">
      <c r="A84" s="12" t="inlineStr">
        <is>
          <t>[84]</t>
        </is>
      </c>
      <c r="B84" t="inlineStr">
        <is>
          <t>Li, R. et al. Controlling the Thickness of Disordered Turbostratic Nanodomains in Hard Carbon with Enhanced Sodium Storage Performance. Energy Technology 6, 1080-1087 (2018). https://doi.org/10.1002/ente.201700674</t>
        </is>
      </c>
    </row>
    <row r="85">
      <c r="A85" s="12" t="inlineStr">
        <is>
          <t>[85]</t>
        </is>
      </c>
      <c r="B85" t="inlineStr">
        <is>
          <t>Xu, S.-D. et al. Curly hard carbon derived from pistachio shells as high-performance anode materials for sodium-ion batteries. Journal of Materials Science 53, 12334-12351 (2018). https://doi.org/10.1007/s10853-018-2472-4</t>
        </is>
      </c>
    </row>
    <row r="86">
      <c r="A86" s="12" t="inlineStr">
        <is>
          <t>[86]</t>
        </is>
      </c>
      <c r="B86" t="inlineStr">
        <is>
          <t>Li, Q. et al. Revealing the sodium storage of surface CO structure in high performance Na-ion battery. Journal of Electroanalytical Chemistry 854 (2019). https://doi.org/10.1016/j.jelechem.2019.113554</t>
        </is>
      </c>
    </row>
    <row r="87">
      <c r="A87" s="12" t="inlineStr">
        <is>
          <t>[87]</t>
        </is>
      </c>
      <c r="B87" t="inlineStr">
        <is>
          <t>Arie, A. A., Kristianto, H., Muljana, H. &amp; Stievano, L. Rambutan peel based hard carbons as anode materials for sodium ion battery. Fullerenes, Nanotubes and Carbon Nanostructures 27, 953-960 (2019). https://doi.org/10.1080/1536383X.2019.1671372</t>
        </is>
      </c>
    </row>
    <row r="88">
      <c r="A88" s="12" t="inlineStr">
        <is>
          <t>[88]</t>
        </is>
      </c>
      <c r="B88" t="inlineStr">
        <is>
          <t>Yang, L., Hu, M., Zhang, H., Yang, W. &amp; Lv, R. Pore structure regulation of hard carbon: Towards fast and high-capacity sodium-ion storage. J Colloid Interface Sci 566, 257-264 (2020). https://doi.org/10.1016/j.jcis.2020.01.085</t>
        </is>
      </c>
    </row>
    <row r="89">
      <c r="A89" s="12" t="inlineStr">
        <is>
          <t>[89]</t>
        </is>
      </c>
      <c r="B89" t="inlineStr">
        <is>
          <t>Zhu, Z. et al. Green energy application technology of litchi pericarp-derived carbon material with high performance. Journal of Cleaner Production 286 (2021). https://doi.org/10.1016/j.jclepro.2020.124960</t>
        </is>
      </c>
    </row>
    <row r="90">
      <c r="A90" s="12" t="inlineStr">
        <is>
          <t>[90]</t>
        </is>
      </c>
      <c r="B90" t="inlineStr">
        <is>
          <t>Wang, C.-C. &amp; Su, W.-L. Understanding acid pretreatment of lotus leaves to prepare hard carbons as anodes for sodium ion batteries. Surface and Coatings Technology 415 (2021). https://doi.org/10.1016/j.surfcoat.2021.127125</t>
        </is>
      </c>
    </row>
    <row r="91">
      <c r="A91" s="12" t="inlineStr">
        <is>
          <t>[91]</t>
        </is>
      </c>
      <c r="B91" t="inlineStr">
        <is>
          <t>Wang, C., Sen, D., Aswal, V. K., Weiguang, L. &amp; Balaya, P. Enhanced storage performance of a low-cost hard carbon derived from biomass. Carbon Trends 17 (2024). https://doi.org/10.1016/j.cartre.2024.100415</t>
        </is>
      </c>
    </row>
    <row r="92">
      <c r="A92" s="12" t="inlineStr">
        <is>
          <t>[92]</t>
        </is>
      </c>
      <c r="B92" t="inlineStr">
        <is>
          <t>Tang, Y. et al. Electrochemical Behavior of the Biomass Hard Carbon Derived from Waste Corncob as a Sodium-Ion Battery Anode. Energy &amp; Fuels 38, 7389-7398 (2024). https://doi.org/10.1021/acs.energyfuels.4c00564</t>
        </is>
      </c>
    </row>
    <row r="93">
      <c r="A93" s="12" t="inlineStr">
        <is>
          <t>[93]</t>
        </is>
      </c>
      <c r="B93" t="inlineStr">
        <is>
          <t>Wei, H. et al. Invasive alien plant biomass-derived hard carbon anode for sodium-ion batteries. Chemosphere 343, 140220 (2023). https://doi.org/https://doi.org/10.1016/j.chemosphere.2023.140220</t>
        </is>
      </c>
    </row>
    <row r="94">
      <c r="A94" s="12" t="inlineStr">
        <is>
          <t>[94]</t>
        </is>
      </c>
      <c r="B94" t="inlineStr">
        <is>
          <t>Li, Y. et al. Hydrothermally Assisted Conversion of Switchgrass into Hard Carbon as Anode Materials for Sodium-Ion Batteries. ACS Applied Materials &amp; Interfaces 16, 28461-28472 (2024). https://doi.org/10.1021/acsami.4c02734</t>
        </is>
      </c>
    </row>
    <row r="95">
      <c r="A95" s="12" t="inlineStr">
        <is>
          <t>[95]</t>
        </is>
      </c>
      <c r="B95" t="inlineStr">
        <is>
          <t>Gao, Y. et al. Tuning the microstructure of biomass-derived hard carbons by controlling the impurity removal process for enhanced Na ion storage performance. Diamond and Related Materials 148, 111388 (2024). https://doi.org/https://doi.org/10.1016/j.diamond.2024.111388</t>
        </is>
      </c>
    </row>
    <row r="96">
      <c r="A96" s="14" t="inlineStr">
        <is>
          <t>[96]</t>
        </is>
      </c>
      <c r="B96" t="inlineStr">
        <is>
          <t>Veerasubramani, G. K. et al. Intrinsically Nitrogen-Enriched Biomass-Derived Hard Carbon with Enhanced Performance as a Sodium-Ion Battery Anode. Energy &amp; Fuels 38, 7368-7378 (2024). https://doi.org/10.1021/acs.energyfuels.4c00069</t>
        </is>
      </c>
    </row>
    <row r="97">
      <c r="A97" s="14" t="inlineStr">
        <is>
          <t>[97]</t>
        </is>
      </c>
      <c r="B97" t="inlineStr">
        <is>
          <t>Yan, B. et al. Biomass derived hard carbon materials for sodium ion battery anodes: Exploring the influence of carbon source on structure and sodium storage performance. Fuel 371, 132141 (2024). https://doi.org/https://doi.org/10.1016/j.fuel.2024.132141</t>
        </is>
      </c>
    </row>
    <row r="98">
      <c r="A98" s="14" t="inlineStr">
        <is>
          <t>[98]</t>
        </is>
      </c>
      <c r="B98" t="inlineStr">
        <is>
          <t>Li, L. et al. Hierarchical porous hard carbon derived from rice husks for high-performance sodium ion storage. Colloids and Surfaces A: Physicochemical and Engineering Aspects 661, 130927 (2023). https://doi.org/https://doi.org/10.1016/j.colsurfa.2023.130927</t>
        </is>
      </c>
    </row>
    <row r="99">
      <c r="A99" s="14" t="inlineStr">
        <is>
          <t>[99]</t>
        </is>
      </c>
      <c r="B99" t="inlineStr">
        <is>
          <t>Liu, J. et al. Facile synthesis of high quality hard carbon anode from Eucalyptus wood for sodium-ion batteries. Chemical Papers 76, 7465-7473 (2022). https://doi.org/10.1007/s11696-022-02397-5</t>
        </is>
      </c>
    </row>
    <row r="100">
      <c r="A100" s="14" t="inlineStr">
        <is>
          <t>[100]</t>
        </is>
      </c>
      <c r="B100" t="inlineStr">
        <is>
          <t>Li, C. et al. Heteroatom-doped hierarchically porous carbons derived from cucumber stem as high-performance anodes for sodium-ion batteries. Journal of Materials Science 54, 5641-5657 (2019). https://doi.org/10.1007/s10853-018-03229-2</t>
        </is>
      </c>
    </row>
    <row r="101">
      <c r="A101" s="14" t="inlineStr">
        <is>
          <t>[101]</t>
        </is>
      </c>
      <c r="B101" t="inlineStr">
        <is>
          <t>Pei, L. et al. Hard carbon derived from waste tea biomass as high-performance anode material for sodium-ion batteries. Ionics 26, 5535-5542 (2020). https://doi.org/10.1007/s11581-020-03723-1</t>
        </is>
      </c>
    </row>
    <row r="102">
      <c r="A102" s="14" t="inlineStr">
        <is>
          <t>[102]</t>
        </is>
      </c>
      <c r="B102" t="inlineStr">
        <is>
          <t>Zhou, L. et al. Biomass-derived hard carbon material for high-capacity sodium-ion battery anode through structure regulation. Carbon 231, 119733 (2025). https://doi.org/https://doi.org/10.1016/j.carbon.2024.119733</t>
        </is>
      </c>
    </row>
    <row r="103">
      <c r="A103" s="14" t="inlineStr">
        <is>
          <t>[103]</t>
        </is>
      </c>
      <c r="B103" t="inlineStr">
        <is>
          <t>Zhang, G. et al. Unraveling the Microcrystalline Carbon Evolution Mechanism of Biomass-Derived Hard Carbon for Sodium-Ion Batteries. Energy &amp; Fuels 38, 8326-8336 (2024). https://doi.org/10.1021/acs.energyfuels.4c00823</t>
        </is>
      </c>
    </row>
    <row r="104">
      <c r="A104" s="14" t="inlineStr">
        <is>
          <t>[104]</t>
        </is>
      </c>
      <c r="B104" t="inlineStr">
        <is>
          <t>Song, P. et al. Biomass-derived hard carbon microtubes with tunable apertures for high-performance sodium-ion batteries. Nano Research 16, 4874-4879 (2023). https://doi.org/10.1007/s12274-022-5154-0</t>
        </is>
      </c>
    </row>
    <row r="105">
      <c r="A105" s="14" t="inlineStr">
        <is>
          <t>[105]</t>
        </is>
      </c>
      <c r="B105" t="inlineStr">
        <is>
          <t>Oktay, Z. M. et al. Investigation of electrochemical performance of Na-ion batteries by hard carbon anodes produced by biomass of Prunus armeniaca seeds. Journal of Materials Science: Materials in Electronics 34, 1543 (2023). https://doi.org/10.1007/s10854-023-10849-1</t>
        </is>
      </c>
    </row>
    <row r="106">
      <c r="A106" s="14" t="inlineStr">
        <is>
          <t>[106]</t>
        </is>
      </c>
      <c r="B106" t="inlineStr">
        <is>
          <t>Chen, Y. et al. Sustainable and scalable fabrication of high-performance hard carbon anode for Na-ion battery. Journal of Power Sources 557, 232534 (2023). https://doi.org/https://doi.org/10.1016/j.jpowsour.2022.232534</t>
        </is>
      </c>
    </row>
    <row r="107">
      <c r="A107" s="14" t="inlineStr">
        <is>
          <t>[107]</t>
        </is>
      </c>
      <c r="B107" t="inlineStr">
        <is>
          <t>Zhang, W., Huang, Z., Alshareef, H. N. &amp; Qiu, X. Synthesis strategies and obstacles of lignocellulose-derived hard carbon anodes for sodium-ion batteries. Carbon Research 3, 28 (2024). https://doi.org/10.1007/s44246-024-00122-3</t>
        </is>
      </c>
    </row>
    <row r="108">
      <c r="A108" s="14" t="inlineStr">
        <is>
          <t>[108]</t>
        </is>
      </c>
      <c r="B108" t="inlineStr">
        <is>
          <t>Antorán, D. et al. Waste Hemp Hurd as a Sustainable Precursor for Affordable and High-Rate Hard Carbon-Based Anodes in Sodium-Ion Batteries. Energy &amp; Fuels 37, 9650-9661 (2023). https://doi.org/10.1021/acs.energyfuels.3c01040</t>
        </is>
      </c>
    </row>
    <row r="109">
      <c r="A109" s="14" t="inlineStr">
        <is>
          <t>[109]</t>
        </is>
      </c>
      <c r="B109" t="inlineStr">
        <is>
          <t>Xu, J. et al. 3D connected porous structure hard carbon derived from paulownia xylem for high rate performance sodium ion battery anode. Journal of Energy Storage 81, 110306 (2024). https://doi.org/https://doi.org/10.1016/j.est.2023.110306</t>
        </is>
      </c>
    </row>
    <row r="110">
      <c r="A110" s="14" t="inlineStr">
        <is>
          <t>[110]</t>
        </is>
      </c>
      <c r="B110" t="inlineStr">
        <is>
          <t>Wang, N. et al. Defect Sites-Rich Porous Carbon with Pseudocapacitive Behaviors as an Ultrafast and Long-Term Cycling Anode for Sodium-Ion Batteries. ACS Applied Materials &amp; Interfaces 10, 9353-9361 (2018). https://doi.org/10.1021/acsami.7b17893</t>
        </is>
      </c>
    </row>
    <row r="111">
      <c r="A111" s="14" t="inlineStr">
        <is>
          <t>[111]</t>
        </is>
      </c>
      <c r="B111" t="inlineStr">
        <is>
          <t>Nie, W. et al. Surface organic nitrogen-doping disordered biomass carbon materials with superior cycle stability in the sodium-ion batteries. Journal of Power Sources 522, 230994 (2022). https://doi.org/https://doi.org/10.1016/j.jpowsour.2022.230994</t>
        </is>
      </c>
    </row>
    <row r="112">
      <c r="A112" s="14" t="inlineStr">
        <is>
          <t>[112]</t>
        </is>
      </c>
      <c r="B112" t="inlineStr">
        <is>
          <t>Qin, D. et al. A sustainable route from corn stalks to N, P-dual doping carbon sheets toward high performance sodium-ion batteries anode. Carbon 130, 664-671 (2018). https://doi.org/https://doi.org/10.1016/j.carbon.2018.01.007</t>
        </is>
      </c>
    </row>
    <row r="113">
      <c r="A113" s="14" t="inlineStr">
        <is>
          <t>[113]</t>
        </is>
      </c>
      <c r="B113" t="inlineStr">
        <is>
          <t>Elizabeth, I., Singh, B. P., Trikha, S. &amp; Gopukumar, S. Bio-derived hierarchically macro-meso-micro porous carbon anode for lithium/sodium ion batteries. Journal of Power Sources 329, 412-421 (2016). https://doi.org/https://doi.org/10.1016/j.jpowsour.2016.08.106</t>
        </is>
      </c>
    </row>
    <row r="114">
      <c r="A114" s="14" t="inlineStr">
        <is>
          <t>[114]</t>
        </is>
      </c>
      <c r="B114" t="inlineStr">
        <is>
          <t>Liu, H. et al. Creative utilization of natural nanocomposites: nitrogen-rich mesoporous carbon for a high-performance sodium ion battery. Journal of Materials Chemistry A 5, 9572-9579 (2017). https://doi.org/10.1039/c7ta01891f</t>
        </is>
      </c>
    </row>
    <row r="115">
      <c r="A115" s="14" t="inlineStr">
        <is>
          <t>[115]</t>
        </is>
      </c>
      <c r="B115" t="inlineStr">
        <is>
          <t>Ou, H. et al. From Natural Fibers to High-Performance Anodes: Sisal Hemp Derived Hard Carbon for Na-/K-Ion Batteries and Mechanism Exploration. Small Methods 9, 2400839 (2025). https://doi.org/https://doi.org/10.1002/smtd.202400839</t>
        </is>
      </c>
    </row>
    <row r="116">
      <c r="A116" s="14" t="inlineStr">
        <is>
          <t>[116]</t>
        </is>
      </c>
      <c r="B116" t="inlineStr">
        <is>
          <t>Sun, Y., Shen, T., He, Z. &amp; Wang, S. Crosslinking modification of starch improves the structural stability of hard carbon anodes for high-capacity sodium storage. Journal of Colloid and Interface Science 678, 1142-1150 (2025). https://doi.org/https://doi.org/10.1016/j.jcis.2024.09.191</t>
        </is>
      </c>
    </row>
    <row r="117">
      <c r="A117" s="14" t="inlineStr">
        <is>
          <t>[117]</t>
        </is>
      </c>
      <c r="B117" s="14" t="inlineStr">
        <is>
          <t>Tang, Z. et al. Regulating Pseudo-Graphitic Domain and Closed Pores to Facilitate Plateau Sodium Storage Capacity and Kinetics for Hard Carbon. Small Methods 8, 2400509 (2024). https://doi.org/https://doi.org/10.1002/smtd.202400509</t>
        </is>
      </c>
    </row>
    <row r="118">
      <c r="A118" s="14" t="inlineStr">
        <is>
          <t>[118]</t>
        </is>
      </c>
      <c r="B118" t="inlineStr">
        <is>
          <t>Huang, Z., Huang, J., Zhong, L., Zhang, W. &amp; Qiu, X. Deconstruction Engineering of Lignocellulose Toward High-Plateau-Capacity Hard Carbon Anodes for Sodium-Ion Batteries. Small 20, 2405632 (2024). https://doi.org/https://doi.org/10.1002/smll.202405632</t>
        </is>
      </c>
    </row>
    <row r="119">
      <c r="A119" s="14" t="inlineStr">
        <is>
          <t>[119]</t>
        </is>
      </c>
      <c r="B119" t="inlineStr">
        <is>
          <t>Gao, T., Zhou, Y., Jiang, Y., Xue, Z. &amp; Ding, Y. Bamboo waste derived hard carbon as high performance anode for sodium-ion batteries. Diamond and Related Materials 150, 111737 (2024). https://doi.org/https://doi.org/10.1016/j.diamond.2024.111737</t>
        </is>
      </c>
    </row>
    <row r="120">
      <c r="A120" s="14" t="inlineStr">
        <is>
          <t>[120]</t>
        </is>
      </c>
      <c r="B120" t="inlineStr">
        <is>
          <t>Yan, Y. et al. Pre‑carbonization for regulating sucrose-based hard carbon pore structure as high plateau capacity sodium-ion battery anode. Journal of Energy Storage 104, 114590 (2024). https://doi.org/https://doi.org/10.1016/j.est.2024.114590</t>
        </is>
      </c>
    </row>
    <row r="121">
      <c r="A121" s="14" t="inlineStr">
        <is>
          <t>[121]</t>
        </is>
      </c>
      <c r="B121" t="inlineStr">
        <is>
          <t>Wang, L. et al. Construction of an Anode Material for Sodium-Ion Batteries with an Ultrastable Structure. Langmuir 40, 24644-24652 (2024). https://doi.org/10.1021/acs.langmuir.4c03504</t>
        </is>
      </c>
    </row>
    <row r="122">
      <c r="A122" s="14" t="inlineStr">
        <is>
          <t>[122]</t>
        </is>
      </c>
      <c r="B122" t="inlineStr">
        <is>
          <t>Lu, B. et al. Self-doped porous sorghum husk-derived carbon as anode for high performance sodium-ion batteries at low temperatures. Journal of Energy Storage 102, 114056 (2024). https://doi.org/https://doi.org/10.1016/j.est.2024.114056</t>
        </is>
      </c>
    </row>
    <row r="123">
      <c r="A123" s="14" t="inlineStr">
        <is>
          <t>[123]</t>
        </is>
      </c>
      <c r="B123" t="inlineStr">
        <is>
          <t>Liao, J. et al. Unraveling the effect of the microstructure of agricultural waste plants-derived hard carbons on the sodium storage performance. Fuel 376, 132664 (2024). https://doi.org/https://doi.org/10.1016/j.fuel.2024.132664</t>
        </is>
      </c>
    </row>
    <row r="124">
      <c r="A124" s="14" t="inlineStr">
        <is>
          <t>[124]</t>
        </is>
      </c>
      <c r="B124" t="inlineStr">
        <is>
          <t>Xiang, J. et al. Ball-Milling-Assisted N/O Codoping for Enhanced Sodium Storage Performance of Coconut-Shell-Derived Hard Carbon Anodes in Sodium-Ion Batteries. Langmuir 40, 23853-23863 (2024). https://doi.org/10.1021/acs.langmuir.4c02868</t>
        </is>
      </c>
    </row>
    <row r="125">
      <c r="A125" s="14" t="inlineStr">
        <is>
          <t>[125]</t>
        </is>
      </c>
      <c r="B125" t="inlineStr">
        <is>
          <t>Peng, J. et al. The induced formation and regulation of closed-pore structure for biomass hard carbon as anode in sodium-ion batteries. Journal of Energy Storage 101, 113864 (2024). https://doi.org/https://doi.org/10.1016/j.est.2024.113864</t>
        </is>
      </c>
    </row>
    <row r="126">
      <c r="A126" s="14" t="inlineStr">
        <is>
          <t>[126]</t>
        </is>
      </c>
      <c r="B126" t="inlineStr">
        <is>
          <t>Lei, X. et al. Regulation of composition, microstructure, and pore structure of biomass-based hard carbon to boost the sodium storage performance. Journal of Energy Storage 101, 113792 (2024). https://doi.org/https://doi.org/10.1016/j.est.2024.113792</t>
        </is>
      </c>
    </row>
    <row r="127">
      <c r="A127" s="14" t="inlineStr">
        <is>
          <t>[127]</t>
        </is>
      </c>
      <c r="B127" t="inlineStr">
        <is>
          <t>Shi, T., Yang, Y., Yu, M., Zhang, W. &amp; Ning, X. N,S co-doped biomass hard carbon/ZnS composite as the anode material for high-rate sodium-ion batteries. Journal of Energy Storage 99, 113246 (2024). https://doi.org/https://doi.org/10.1016/j.est.2024.113246</t>
        </is>
      </c>
    </row>
    <row r="128">
      <c r="A128" s="14" t="inlineStr">
        <is>
          <t>[128]</t>
        </is>
      </c>
      <c r="B128" t="inlineStr">
        <is>
          <t>Gao, Y., Xing, Y., Jiao, Y., Jiang, C. &amp; Zou, Z. High performance spherical hard carbon anodes for Na-ion batteries derived from starch-rich longan kernel. Journal of Energy Storage 98, 113167 (2024). https://doi.org/https://doi.org/10.1016/j.est.2024.113167</t>
        </is>
      </c>
    </row>
    <row r="129">
      <c r="A129" s="14" t="inlineStr">
        <is>
          <t>[129]</t>
        </is>
      </c>
      <c r="B129" t="inlineStr">
        <is>
          <t>Alvira, D. et al. Sustainable conversion of vine shoots and pig manure into high-performance anode materials for sodium-ion batteries. Journal of Power Sources 614, 235043 (2024). https://doi.org/https://doi.org/10.1016/j.jpowsour.2024.235043</t>
        </is>
      </c>
    </row>
    <row r="130">
      <c r="A130" s="14" t="inlineStr">
        <is>
          <t>[130]</t>
        </is>
      </c>
      <c r="B130" t="inlineStr">
        <is>
          <t>Huang, J. et al. Sustainable Balsa wood-derived high-rate hard carbon anodes for sodium-ion hybrid capacitors. Journal of Power Sources 613, 234863 (2024). https://doi.org/https://doi.org/10.1016/j.jpowsour.2024.234863</t>
        </is>
      </c>
    </row>
    <row r="131">
      <c r="A131" s="14" t="inlineStr">
        <is>
          <t>[131]</t>
        </is>
      </c>
      <c r="B131" t="inlineStr">
        <is>
          <t>Li, X. et al. Structural design of biomass-derived hard carbon anode materials for superior sodium storage via increasing crystalline cellulose and closing the open pores. Journal of Materials Chemistry A 12, 21176-21189 (2024). https://doi.org/10.1039/d4ta03284e</t>
        </is>
      </c>
    </row>
    <row r="132">
      <c r="A132" s="14" t="inlineStr">
        <is>
          <t>[132]</t>
        </is>
      </c>
      <c r="B132" t="inlineStr">
        <is>
          <t>Wei, Y. et al. Gelatin-Derived Hard Carbon Achieves Effective Control of Microstructure toward Fast and Durable Sodium Storage. Advanced Functional Materials 34, 2315408 (2024). https://doi.org/https://doi.org/10.1002/adfm.202315408</t>
        </is>
      </c>
    </row>
    <row r="133">
      <c r="A133" s="14" t="inlineStr">
        <is>
          <t>[133]</t>
        </is>
      </c>
      <c r="B133" t="inlineStr">
        <is>
          <t>Zhang, Y. et al. Revealing the structural influence mechanism of intrinsic potassium/calcium elements on bio-waste-derived hard carbon for sodium-ion batteries. Chemical Communications 60, 13380-13383 (2024). https://doi.org/10.1039/d4cc03546a</t>
        </is>
      </c>
    </row>
    <row r="134">
      <c r="A134" s="14" t="inlineStr">
        <is>
          <t>[134]</t>
        </is>
      </c>
      <c r="B134" s="15" t="inlineStr">
        <is>
          <t xml:space="preserve">Song, N.-J. et al. Modulating the Graphitic Domains and Pore Structure of Corncob-Derived Hard Carbons by Pyrolysis to Improve Sodium Storage. Molecules 28, 3595 (2023). </t>
        </is>
      </c>
    </row>
    <row r="135">
      <c r="A135" s="14" t="inlineStr">
        <is>
          <t>[135]</t>
        </is>
      </c>
      <c r="B135" t="inlineStr">
        <is>
          <t>Lyu, T. et al. Natural mushroom spores derived hard carbon plates for robust and low-potential sodium ion storage. Electrochimica Acta 365, 137356 (2021). https://doi.org/https://doi.org/10.1016/j.electacta.2020.137356</t>
        </is>
      </c>
    </row>
    <row r="136">
      <c r="A136" s="14" t="inlineStr">
        <is>
          <t>[136]</t>
        </is>
      </c>
      <c r="B136" t="inlineStr">
        <is>
          <t>Tang, Y. et al. Dual-stage carbonization strategy for synthesizing biomass derived hard carbon with enhanced sodium-ion storage performances. Journal of Industrial and Engineering Chemistry 148, 830-837 (2025). https://doi.org/https://doi.org/10.1016/j.jiec.2025.01.042</t>
        </is>
      </c>
    </row>
    <row r="137">
      <c r="A137" s="14" t="inlineStr">
        <is>
          <t>[137]</t>
        </is>
      </c>
      <c r="B137" t="inlineStr">
        <is>
          <t>Song, N.-J. et al. Tailoring the pore structure of hard carbon for enhanced sodium-ion battery anodes. New Carbon Materials 40, 367-380 (2025). https://doi.org/https://doi.org/10.1016/S1872-5805(25)60967-X</t>
        </is>
      </c>
    </row>
    <row r="138">
      <c r="A138" s="14" t="inlineStr">
        <is>
          <t>[138]</t>
        </is>
      </c>
      <c r="B138" t="inlineStr">
        <is>
          <t>Xu, Z. et al. The Role of Hydrothermal Carbonization in Sustainable Sodium-Ion Battery Anodes. Advanced Energy Materials 12, 2200208 (2022). https://doi.org/https://doi.org/10.1002/aenm.202200208</t>
        </is>
      </c>
    </row>
    <row r="139">
      <c r="A139" s="14" t="inlineStr">
        <is>
          <t>[139]</t>
        </is>
      </c>
      <c r="B139" t="inlineStr">
        <is>
          <t>Tang, Z. et al. Revealing the closed pore formation of waste wood-derived hard carbon for advanced sodium-ion battery. Nature Communications 14, 6024 (2023). https://doi.org/10.1038/s41467-023-39637-5</t>
        </is>
      </c>
    </row>
    <row r="140">
      <c r="A140" s="14" t="inlineStr">
        <is>
          <t>[140]</t>
        </is>
      </c>
      <c r="B140" t="inlineStr">
        <is>
          <t>Guo, Z. et al. Investigating the Superior Performance of Hard Carbon Anodes in Sodium-Ion Compared With Lithium- and Potassium-Ion Batteries. Advanced Materials 35, 2304091 (2023). https://doi.org/https://doi.org/10.1002/adma.202304091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2"/>
  <sheetViews>
    <sheetView topLeftCell="E1" workbookViewId="0">
      <selection activeCell="Y19" sqref="Y19"/>
    </sheetView>
  </sheetViews>
  <sheetFormatPr baseColWidth="8" defaultRowHeight="14.4"/>
  <cols>
    <col width="21.6640625" customWidth="1" style="49" min="1" max="1"/>
    <col width="12.88671875" customWidth="1" style="49" min="2" max="2"/>
    <col width="16" customWidth="1" style="49" min="3" max="3"/>
    <col width="12.88671875" customWidth="1" style="49" min="4" max="4"/>
    <col width="16.44140625" customWidth="1" style="49" min="5" max="5"/>
    <col width="12.88671875" customWidth="1" style="49" min="6" max="6"/>
    <col width="14.5546875" customWidth="1" style="49" min="7" max="7"/>
    <col width="12.88671875" customWidth="1" style="49" min="8" max="10"/>
    <col width="8.77734375" customWidth="1" style="49" min="11" max="11"/>
    <col width="9.6640625" customWidth="1" style="49" min="12" max="12"/>
    <col width="5.77734375" customWidth="1" style="49" min="13" max="13"/>
    <col width="11.6640625" customWidth="1" style="49" min="14" max="14"/>
    <col width="12.6640625" customWidth="1" style="49" min="15" max="15"/>
    <col width="12.88671875" customWidth="1" style="49" min="16" max="16"/>
    <col width="15.5546875" customWidth="1" style="49" min="17" max="17"/>
    <col width="16.21875" customWidth="1" style="49" min="18" max="18"/>
    <col width="11.6640625" customWidth="1" style="49" min="19" max="19"/>
    <col width="12.6640625" customWidth="1" style="49" min="20" max="20"/>
    <col width="12.88671875" customWidth="1" style="49" min="21" max="21"/>
    <col width="15.5546875" customWidth="1" style="49" min="22" max="22"/>
    <col width="16.21875" customWidth="1" style="49" min="23" max="23"/>
    <col width="7.77734375" customWidth="1" style="49" min="24" max="24"/>
  </cols>
  <sheetData>
    <row r="1">
      <c r="A1" s="48" t="inlineStr">
        <is>
          <t>Biomass</t>
        </is>
      </c>
      <c r="B1" s="48" t="inlineStr">
        <is>
          <t>Cellulose%</t>
        </is>
      </c>
      <c r="C1" s="48" t="inlineStr">
        <is>
          <t>Hemi-cellulose%</t>
        </is>
      </c>
      <c r="D1" s="48" t="inlineStr">
        <is>
          <t>Lignin%</t>
        </is>
      </c>
      <c r="E1" s="48" t="inlineStr">
        <is>
          <t>Volatile Matter%</t>
        </is>
      </c>
      <c r="F1" s="48" t="inlineStr">
        <is>
          <t>Ash%</t>
        </is>
      </c>
      <c r="G1" s="48" t="inlineStr">
        <is>
          <t>Fixed Carbon%</t>
        </is>
      </c>
      <c r="H1" s="48" t="inlineStr">
        <is>
          <t>Carbon%</t>
        </is>
      </c>
      <c r="I1" s="48" t="inlineStr">
        <is>
          <t>Oxygen%</t>
        </is>
      </c>
      <c r="J1" s="48" t="inlineStr">
        <is>
          <t>Hydrogen%</t>
        </is>
      </c>
      <c r="K1" s="48" t="inlineStr">
        <is>
          <t>Prewash</t>
        </is>
      </c>
      <c r="L1" s="48" t="inlineStr">
        <is>
          <t>Postwash</t>
        </is>
      </c>
      <c r="M1" s="48" t="inlineStr">
        <is>
          <t>Type</t>
        </is>
      </c>
      <c r="N1" s="48" t="inlineStr">
        <is>
          <t>Method_01</t>
        </is>
      </c>
      <c r="O1" s="48" t="inlineStr">
        <is>
          <t>Activator_01</t>
        </is>
      </c>
      <c r="P1" s="48" t="inlineStr">
        <is>
          <t>Time_01</t>
        </is>
      </c>
      <c r="Q1" s="48" t="inlineStr">
        <is>
          <t>Heating rate_01</t>
        </is>
      </c>
      <c r="R1" s="48" t="inlineStr">
        <is>
          <t>Temperature_01</t>
        </is>
      </c>
      <c r="S1" s="48" t="inlineStr">
        <is>
          <t>Method_02</t>
        </is>
      </c>
      <c r="T1" s="48" t="inlineStr">
        <is>
          <t>Activator_02</t>
        </is>
      </c>
      <c r="U1" s="48" t="inlineStr">
        <is>
          <t>Time_02</t>
        </is>
      </c>
      <c r="V1" s="48" t="inlineStr">
        <is>
          <t>Heating rate_02</t>
        </is>
      </c>
      <c r="W1" s="48" t="inlineStr">
        <is>
          <t>Temperature_02</t>
        </is>
      </c>
      <c r="X1" s="48" t="inlineStr">
        <is>
          <t>Carbon</t>
        </is>
      </c>
    </row>
    <row r="2">
      <c r="A2" s="49" t="inlineStr">
        <is>
          <t>Ailanthus altissima</t>
        </is>
      </c>
      <c r="B2" s="49" t="n">
        <v>46.5</v>
      </c>
      <c r="C2" s="49" t="n">
        <v>24.4</v>
      </c>
      <c r="D2" s="49" t="n">
        <v>24.9</v>
      </c>
      <c r="E2" s="49" t="n">
        <v>75.7920118233985</v>
      </c>
      <c r="F2" s="49" t="n">
        <v>8.307609899743539</v>
      </c>
      <c r="G2" s="49" t="n">
        <v>15.7791733708888</v>
      </c>
      <c r="H2" s="49" t="n">
        <v>45.4685638542254</v>
      </c>
      <c r="I2" s="49" t="n">
        <v>41.9852158309298</v>
      </c>
      <c r="J2" s="49" t="n">
        <v>5.21871075787989</v>
      </c>
      <c r="K2" s="49" t="n">
        <v>6</v>
      </c>
      <c r="L2" s="49" t="n">
        <v>1</v>
      </c>
      <c r="M2" s="49" t="n">
        <v>0</v>
      </c>
      <c r="N2" s="49" t="n">
        <v>1</v>
      </c>
      <c r="O2" s="49" t="n">
        <v>1</v>
      </c>
      <c r="P2" s="49" t="n">
        <v>223.608582172983</v>
      </c>
      <c r="Q2" s="49" t="n">
        <v>5</v>
      </c>
      <c r="R2" s="49" t="n">
        <v>800</v>
      </c>
      <c r="S2" s="49" t="n">
        <v>0</v>
      </c>
      <c r="T2" s="49" t="n">
        <v>5</v>
      </c>
      <c r="U2" s="49" t="n">
        <v>0</v>
      </c>
      <c r="V2" s="49" t="n">
        <v>0</v>
      </c>
      <c r="W2" s="49" t="n">
        <v>0</v>
      </c>
      <c r="X2" s="49" t="n">
        <v>89.8</v>
      </c>
    </row>
    <row r="3">
      <c r="A3" s="49" t="inlineStr">
        <is>
          <t>Alkali Lignin</t>
        </is>
      </c>
      <c r="B3" s="49" t="n">
        <v>0</v>
      </c>
      <c r="C3" s="49" t="n">
        <v>0</v>
      </c>
      <c r="D3" s="49" t="n">
        <v>100</v>
      </c>
      <c r="E3" s="49" t="n">
        <v>70.5273516115694</v>
      </c>
      <c r="F3" s="49" t="n">
        <v>5.26220059119573</v>
      </c>
      <c r="G3" s="49" t="n">
        <v>16.095728250093</v>
      </c>
      <c r="H3" s="49" t="n">
        <v>44.8635659175961</v>
      </c>
      <c r="I3" s="49" t="n">
        <v>38.9880888871864</v>
      </c>
      <c r="J3" s="49" t="n">
        <v>13.2443817583919</v>
      </c>
      <c r="K3" s="49" t="n">
        <v>4</v>
      </c>
      <c r="L3" s="49" t="n">
        <v>5</v>
      </c>
      <c r="M3" s="49" t="n">
        <v>0</v>
      </c>
      <c r="N3" s="49" t="n">
        <v>1</v>
      </c>
      <c r="O3" s="49" t="n">
        <v>4</v>
      </c>
      <c r="P3" s="49" t="n">
        <v>180</v>
      </c>
      <c r="Q3" s="49" t="n">
        <v>2</v>
      </c>
      <c r="R3" s="49" t="n">
        <v>1300</v>
      </c>
      <c r="S3" s="49" t="n">
        <v>0</v>
      </c>
      <c r="T3" s="49" t="n">
        <v>5</v>
      </c>
      <c r="U3" s="49" t="n">
        <v>0</v>
      </c>
      <c r="V3" s="49" t="n">
        <v>0</v>
      </c>
      <c r="W3" s="49" t="n">
        <v>0</v>
      </c>
      <c r="X3" s="49" t="n">
        <v>78.59999999999999</v>
      </c>
    </row>
    <row r="4">
      <c r="A4" s="49" t="inlineStr">
        <is>
          <t>Alkali Lignin</t>
        </is>
      </c>
      <c r="B4" s="49" t="n">
        <v>0</v>
      </c>
      <c r="C4" s="49" t="n">
        <v>0</v>
      </c>
      <c r="D4" s="49" t="n">
        <v>100</v>
      </c>
      <c r="E4" s="49" t="n">
        <v>70.5260086909343</v>
      </c>
      <c r="F4" s="49" t="n">
        <v>5.26635548785482</v>
      </c>
      <c r="G4" s="49" t="n">
        <v>16.0959409700644</v>
      </c>
      <c r="H4" s="49" t="n">
        <v>44.8624020242112</v>
      </c>
      <c r="I4" s="49" t="n">
        <v>38.9820719621245</v>
      </c>
      <c r="J4" s="49" t="n">
        <v>13.2515106648478</v>
      </c>
      <c r="K4" s="49" t="n">
        <v>4</v>
      </c>
      <c r="L4" s="49" t="n">
        <v>5</v>
      </c>
      <c r="M4" s="49" t="n">
        <v>0</v>
      </c>
      <c r="N4" s="49" t="n">
        <v>1</v>
      </c>
      <c r="O4" s="49" t="n">
        <v>4</v>
      </c>
      <c r="P4" s="49" t="n">
        <v>180</v>
      </c>
      <c r="Q4" s="49" t="n">
        <v>2</v>
      </c>
      <c r="R4" s="49" t="n">
        <v>1300</v>
      </c>
      <c r="S4" s="49" t="n">
        <v>0</v>
      </c>
      <c r="T4" s="49" t="n">
        <v>5</v>
      </c>
      <c r="U4" s="49" t="n">
        <v>0</v>
      </c>
      <c r="V4" s="49" t="n">
        <v>0</v>
      </c>
      <c r="W4" s="49" t="n">
        <v>0</v>
      </c>
      <c r="X4" s="49" t="n">
        <v>77.65000000000001</v>
      </c>
    </row>
    <row r="5">
      <c r="A5" s="49" t="inlineStr">
        <is>
          <t>Almond shell</t>
        </is>
      </c>
      <c r="B5" s="49" t="n">
        <v>38.47</v>
      </c>
      <c r="C5" s="49" t="n">
        <v>28.82</v>
      </c>
      <c r="D5" s="49" t="n">
        <v>29.54</v>
      </c>
      <c r="E5" s="49" t="n">
        <v>87.76000000000001</v>
      </c>
      <c r="F5" s="49" t="n">
        <v>1.05</v>
      </c>
      <c r="G5" s="49" t="n">
        <v>11.19</v>
      </c>
      <c r="H5" s="49" t="n">
        <v>43.81</v>
      </c>
      <c r="I5" s="49" t="n">
        <v>48.19</v>
      </c>
      <c r="J5" s="49" t="n">
        <v>6.54</v>
      </c>
      <c r="K5" s="49" t="n">
        <v>1</v>
      </c>
      <c r="L5" s="49" t="n">
        <v>5</v>
      </c>
      <c r="M5" s="49" t="n">
        <v>1</v>
      </c>
      <c r="N5" s="49" t="n">
        <v>1</v>
      </c>
      <c r="O5" s="49" t="n">
        <v>4</v>
      </c>
      <c r="P5" s="49" t="n">
        <v>120</v>
      </c>
      <c r="Q5" s="49" t="n">
        <v>5</v>
      </c>
      <c r="R5" s="49" t="n">
        <v>600</v>
      </c>
      <c r="S5" s="49" t="n">
        <v>1</v>
      </c>
      <c r="T5" s="49" t="n">
        <v>5</v>
      </c>
      <c r="U5" s="49" t="n">
        <v>180</v>
      </c>
      <c r="V5" s="49" t="n">
        <v>5</v>
      </c>
      <c r="W5" s="49" t="n">
        <v>1300</v>
      </c>
      <c r="X5" s="49" t="n">
        <v>92.97</v>
      </c>
    </row>
    <row r="6">
      <c r="A6" s="49" t="inlineStr">
        <is>
          <t>Almond shell</t>
        </is>
      </c>
      <c r="B6" s="49" t="n">
        <v>38.47</v>
      </c>
      <c r="C6" s="49" t="n">
        <v>28.82</v>
      </c>
      <c r="D6" s="49" t="n">
        <v>29.54</v>
      </c>
      <c r="E6" s="49" t="n">
        <v>87.76000000000001</v>
      </c>
      <c r="F6" s="49" t="n">
        <v>1.05</v>
      </c>
      <c r="G6" s="49" t="n">
        <v>11.19</v>
      </c>
      <c r="H6" s="49" t="n">
        <v>43.81</v>
      </c>
      <c r="I6" s="49" t="n">
        <v>48.19</v>
      </c>
      <c r="J6" s="49" t="n">
        <v>6.54</v>
      </c>
      <c r="K6" s="49" t="n">
        <v>1</v>
      </c>
      <c r="L6" s="49" t="n">
        <v>5</v>
      </c>
      <c r="M6" s="49" t="n">
        <v>1</v>
      </c>
      <c r="N6" s="49" t="n">
        <v>1</v>
      </c>
      <c r="O6" s="49" t="n">
        <v>4</v>
      </c>
      <c r="P6" s="49" t="n">
        <v>120</v>
      </c>
      <c r="Q6" s="49" t="n">
        <v>5</v>
      </c>
      <c r="R6" s="49" t="n">
        <v>600</v>
      </c>
      <c r="S6" s="49" t="n">
        <v>1</v>
      </c>
      <c r="T6" s="49" t="n">
        <v>5</v>
      </c>
      <c r="U6" s="49" t="n">
        <v>180</v>
      </c>
      <c r="V6" s="49" t="n">
        <v>5</v>
      </c>
      <c r="W6" s="49" t="n">
        <v>1300</v>
      </c>
      <c r="X6" s="49" t="n">
        <v>93.29000000000001</v>
      </c>
    </row>
    <row r="7">
      <c r="A7" s="49" t="inlineStr">
        <is>
          <t>Almond shell</t>
        </is>
      </c>
      <c r="B7" s="49" t="n">
        <v>38.47</v>
      </c>
      <c r="C7" s="49" t="n">
        <v>28.82</v>
      </c>
      <c r="D7" s="49" t="n">
        <v>29.54</v>
      </c>
      <c r="E7" s="49" t="n">
        <v>87.76000000000001</v>
      </c>
      <c r="F7" s="49" t="n">
        <v>1.05</v>
      </c>
      <c r="G7" s="49" t="n">
        <v>11.19</v>
      </c>
      <c r="H7" s="49" t="n">
        <v>43.81</v>
      </c>
      <c r="I7" s="49" t="n">
        <v>48.19</v>
      </c>
      <c r="J7" s="49" t="n">
        <v>6.54</v>
      </c>
      <c r="K7" s="49" t="n">
        <v>1</v>
      </c>
      <c r="L7" s="49" t="n">
        <v>5</v>
      </c>
      <c r="M7" s="49" t="n">
        <v>1</v>
      </c>
      <c r="N7" s="49" t="n">
        <v>1</v>
      </c>
      <c r="O7" s="49" t="n">
        <v>4</v>
      </c>
      <c r="P7" s="49" t="n">
        <v>120</v>
      </c>
      <c r="Q7" s="49" t="n">
        <v>5</v>
      </c>
      <c r="R7" s="49" t="n">
        <v>600</v>
      </c>
      <c r="S7" s="49" t="n">
        <v>1</v>
      </c>
      <c r="T7" s="49" t="n">
        <v>5</v>
      </c>
      <c r="U7" s="49" t="n">
        <v>180</v>
      </c>
      <c r="V7" s="49" t="n">
        <v>5</v>
      </c>
      <c r="W7" s="49" t="n">
        <v>1300</v>
      </c>
      <c r="X7" s="49" t="n">
        <v>93.06999999999999</v>
      </c>
    </row>
    <row r="8">
      <c r="A8" s="49" t="inlineStr">
        <is>
          <t>Almond shell</t>
        </is>
      </c>
      <c r="B8" s="49" t="n">
        <v>38.47</v>
      </c>
      <c r="C8" s="49" t="n">
        <v>28.82</v>
      </c>
      <c r="D8" s="49" t="n">
        <v>29.54</v>
      </c>
      <c r="E8" s="49" t="n">
        <v>87.76000000000001</v>
      </c>
      <c r="F8" s="49" t="n">
        <v>1.05</v>
      </c>
      <c r="G8" s="49" t="n">
        <v>11.19</v>
      </c>
      <c r="H8" s="49" t="n">
        <v>43.81</v>
      </c>
      <c r="I8" s="49" t="n">
        <v>48.19</v>
      </c>
      <c r="J8" s="49" t="n">
        <v>6.54</v>
      </c>
      <c r="K8" s="49" t="n">
        <v>1</v>
      </c>
      <c r="L8" s="49" t="n">
        <v>5</v>
      </c>
      <c r="M8" s="49" t="n">
        <v>1</v>
      </c>
      <c r="N8" s="49" t="n">
        <v>1</v>
      </c>
      <c r="O8" s="49" t="n">
        <v>4</v>
      </c>
      <c r="P8" s="49" t="n">
        <v>120</v>
      </c>
      <c r="Q8" s="49" t="n">
        <v>5</v>
      </c>
      <c r="R8" s="49" t="n">
        <v>600</v>
      </c>
      <c r="S8" s="49" t="n">
        <v>1</v>
      </c>
      <c r="T8" s="49" t="n">
        <v>5</v>
      </c>
      <c r="U8" s="49" t="n">
        <v>180</v>
      </c>
      <c r="V8" s="49" t="n">
        <v>5</v>
      </c>
      <c r="W8" s="49" t="n">
        <v>1300</v>
      </c>
      <c r="X8" s="49" t="n">
        <v>92.98</v>
      </c>
    </row>
    <row r="9">
      <c r="A9" s="49" t="inlineStr">
        <is>
          <t>Apricot shells</t>
        </is>
      </c>
      <c r="B9" s="49" t="n">
        <v>33.3</v>
      </c>
      <c r="C9" s="49" t="n">
        <v>27.8</v>
      </c>
      <c r="D9" s="49" t="n">
        <v>52</v>
      </c>
      <c r="E9" s="49" t="n">
        <v>73.84</v>
      </c>
      <c r="F9" s="49" t="n">
        <v>0.9399999999999999</v>
      </c>
      <c r="G9" s="49" t="n">
        <v>15.51</v>
      </c>
      <c r="H9" s="49" t="n">
        <v>46.88</v>
      </c>
      <c r="I9" s="49" t="n">
        <v>45.45</v>
      </c>
      <c r="J9" s="49" t="n">
        <v>6.38</v>
      </c>
      <c r="K9" s="49" t="n">
        <v>6</v>
      </c>
      <c r="L9" s="49" t="n">
        <v>5</v>
      </c>
      <c r="M9" s="49" t="n">
        <v>0</v>
      </c>
      <c r="N9" s="49" t="n">
        <v>1</v>
      </c>
      <c r="O9" s="49" t="n">
        <v>4</v>
      </c>
      <c r="P9" s="49" t="n">
        <v>161.970393169427</v>
      </c>
      <c r="Q9" s="49" t="n">
        <v>4.8078180095141</v>
      </c>
      <c r="R9" s="49" t="n">
        <v>900</v>
      </c>
      <c r="S9" s="49" t="n">
        <v>0</v>
      </c>
      <c r="T9" s="49" t="n">
        <v>5</v>
      </c>
      <c r="U9" s="49" t="n">
        <v>0</v>
      </c>
      <c r="V9" s="49" t="n">
        <v>0</v>
      </c>
      <c r="W9" s="49" t="n">
        <v>0</v>
      </c>
      <c r="X9" s="49" t="n">
        <v>89.03</v>
      </c>
    </row>
    <row r="10">
      <c r="A10" s="49" t="inlineStr">
        <is>
          <t>Apricot shells</t>
        </is>
      </c>
      <c r="B10" s="49" t="n">
        <v>33.3</v>
      </c>
      <c r="C10" s="49" t="n">
        <v>27.8</v>
      </c>
      <c r="D10" s="49" t="n">
        <v>52</v>
      </c>
      <c r="E10" s="49" t="n">
        <v>73.84</v>
      </c>
      <c r="F10" s="49" t="n">
        <v>0.9399999999999999</v>
      </c>
      <c r="G10" s="49" t="n">
        <v>15.51</v>
      </c>
      <c r="H10" s="49" t="n">
        <v>46.88</v>
      </c>
      <c r="I10" s="49" t="n">
        <v>45.45</v>
      </c>
      <c r="J10" s="49" t="n">
        <v>6.38</v>
      </c>
      <c r="K10" s="49" t="n">
        <v>6</v>
      </c>
      <c r="L10" s="49" t="n">
        <v>5</v>
      </c>
      <c r="M10" s="49" t="n">
        <v>0</v>
      </c>
      <c r="N10" s="49" t="n">
        <v>1</v>
      </c>
      <c r="O10" s="49" t="n">
        <v>4</v>
      </c>
      <c r="P10" s="49" t="n">
        <v>186.897980412588</v>
      </c>
      <c r="Q10" s="49" t="n">
        <v>6.39882640123</v>
      </c>
      <c r="R10" s="49" t="n">
        <v>1100</v>
      </c>
      <c r="S10" s="49" t="n">
        <v>0</v>
      </c>
      <c r="T10" s="49" t="n">
        <v>5</v>
      </c>
      <c r="U10" s="49" t="n">
        <v>0</v>
      </c>
      <c r="V10" s="49" t="n">
        <v>0</v>
      </c>
      <c r="W10" s="49" t="n">
        <v>0</v>
      </c>
      <c r="X10" s="49" t="n">
        <v>95.28</v>
      </c>
    </row>
    <row r="11">
      <c r="A11" s="49" t="inlineStr">
        <is>
          <t>Apricot shells</t>
        </is>
      </c>
      <c r="B11" s="49" t="n">
        <v>33.3</v>
      </c>
      <c r="C11" s="49" t="n">
        <v>27.8</v>
      </c>
      <c r="D11" s="49" t="n">
        <v>52</v>
      </c>
      <c r="E11" s="49" t="n">
        <v>73.84</v>
      </c>
      <c r="F11" s="49" t="n">
        <v>0.9399999999999999</v>
      </c>
      <c r="G11" s="49" t="n">
        <v>15.51</v>
      </c>
      <c r="H11" s="49" t="n">
        <v>46.88</v>
      </c>
      <c r="I11" s="49" t="n">
        <v>45.45</v>
      </c>
      <c r="J11" s="49" t="n">
        <v>6.38</v>
      </c>
      <c r="K11" s="49" t="n">
        <v>6</v>
      </c>
      <c r="L11" s="49" t="n">
        <v>5</v>
      </c>
      <c r="M11" s="49" t="n">
        <v>0</v>
      </c>
      <c r="N11" s="49" t="n">
        <v>1</v>
      </c>
      <c r="O11" s="49" t="n">
        <v>4</v>
      </c>
      <c r="P11" s="49" t="n">
        <v>113.666757423161</v>
      </c>
      <c r="Q11" s="49" t="n">
        <v>5.63888996932335</v>
      </c>
      <c r="R11" s="49" t="n">
        <v>1300</v>
      </c>
      <c r="S11" s="49" t="n">
        <v>0</v>
      </c>
      <c r="T11" s="49" t="n">
        <v>5</v>
      </c>
      <c r="U11" s="49" t="n">
        <v>0</v>
      </c>
      <c r="V11" s="49" t="n">
        <v>0</v>
      </c>
      <c r="W11" s="49" t="n">
        <v>0</v>
      </c>
      <c r="X11" s="49" t="n">
        <v>96.29000000000001</v>
      </c>
    </row>
    <row r="12">
      <c r="A12" s="49" t="inlineStr">
        <is>
          <t>Apricot shells</t>
        </is>
      </c>
      <c r="B12" s="49" t="n">
        <v>33.3</v>
      </c>
      <c r="C12" s="49" t="n">
        <v>27.8</v>
      </c>
      <c r="D12" s="49" t="n">
        <v>52</v>
      </c>
      <c r="E12" s="49" t="n">
        <v>73.84</v>
      </c>
      <c r="F12" s="49" t="n">
        <v>0.9399999999999999</v>
      </c>
      <c r="G12" s="49" t="n">
        <v>15.51</v>
      </c>
      <c r="H12" s="49" t="n">
        <v>46.88</v>
      </c>
      <c r="I12" s="49" t="n">
        <v>45.45</v>
      </c>
      <c r="J12" s="49" t="n">
        <v>6.38</v>
      </c>
      <c r="K12" s="49" t="n">
        <v>6</v>
      </c>
      <c r="L12" s="49" t="n">
        <v>5</v>
      </c>
      <c r="M12" s="49" t="n">
        <v>0</v>
      </c>
      <c r="N12" s="49" t="n">
        <v>1</v>
      </c>
      <c r="O12" s="49" t="n">
        <v>4</v>
      </c>
      <c r="P12" s="49" t="n">
        <v>211.979087557615</v>
      </c>
      <c r="Q12" s="49" t="n">
        <v>4.81601106150891</v>
      </c>
      <c r="R12" s="49" t="n">
        <v>1500</v>
      </c>
      <c r="S12" s="49" t="n">
        <v>0</v>
      </c>
      <c r="T12" s="49" t="n">
        <v>5</v>
      </c>
      <c r="U12" s="49" t="n">
        <v>0</v>
      </c>
      <c r="V12" s="49" t="n">
        <v>0</v>
      </c>
      <c r="W12" s="49" t="n">
        <v>0</v>
      </c>
      <c r="X12" s="49" t="n">
        <v>97.09999999999999</v>
      </c>
    </row>
    <row r="13">
      <c r="A13" s="49" t="inlineStr">
        <is>
          <t>Apricot shells</t>
        </is>
      </c>
      <c r="B13" s="49" t="n">
        <v>33.3</v>
      </c>
      <c r="C13" s="49" t="n">
        <v>27.8</v>
      </c>
      <c r="D13" s="49" t="n">
        <v>52</v>
      </c>
      <c r="E13" s="49" t="n">
        <v>73.84</v>
      </c>
      <c r="F13" s="49" t="n">
        <v>0.9399999999999999</v>
      </c>
      <c r="G13" s="49" t="n">
        <v>15.51</v>
      </c>
      <c r="H13" s="49" t="n">
        <v>46.88</v>
      </c>
      <c r="I13" s="49" t="n">
        <v>45.45</v>
      </c>
      <c r="J13" s="49" t="n">
        <v>6.38</v>
      </c>
      <c r="K13" s="49" t="n">
        <v>6</v>
      </c>
      <c r="L13" s="49" t="n">
        <v>5</v>
      </c>
      <c r="M13" s="49" t="n">
        <v>1</v>
      </c>
      <c r="N13" s="49" t="n">
        <v>1</v>
      </c>
      <c r="O13" s="49" t="n">
        <v>4</v>
      </c>
      <c r="P13" s="49" t="n">
        <v>181.978938707231</v>
      </c>
      <c r="Q13" s="49" t="n">
        <v>4.45573594686742</v>
      </c>
      <c r="R13" s="49" t="n">
        <v>900</v>
      </c>
      <c r="S13" s="49" t="n">
        <v>1</v>
      </c>
      <c r="T13" s="49" t="n">
        <v>7</v>
      </c>
      <c r="U13" s="49" t="n">
        <v>120</v>
      </c>
      <c r="V13" s="49" t="n">
        <v>0</v>
      </c>
      <c r="W13" s="49" t="n">
        <v>800</v>
      </c>
      <c r="X13" s="49" t="n">
        <v>91.88</v>
      </c>
    </row>
    <row r="14">
      <c r="A14" s="49" t="inlineStr">
        <is>
          <t>Apricot shells</t>
        </is>
      </c>
      <c r="B14" s="49" t="n">
        <v>33.3</v>
      </c>
      <c r="C14" s="49" t="n">
        <v>27.8</v>
      </c>
      <c r="D14" s="49" t="n">
        <v>52</v>
      </c>
      <c r="E14" s="49" t="n">
        <v>73.84</v>
      </c>
      <c r="F14" s="49" t="n">
        <v>0.9399999999999999</v>
      </c>
      <c r="G14" s="49" t="n">
        <v>15.51</v>
      </c>
      <c r="H14" s="49" t="n">
        <v>46.88</v>
      </c>
      <c r="I14" s="49" t="n">
        <v>45.45</v>
      </c>
      <c r="J14" s="49" t="n">
        <v>6.38</v>
      </c>
      <c r="K14" s="49" t="n">
        <v>6</v>
      </c>
      <c r="L14" s="49" t="n">
        <v>5</v>
      </c>
      <c r="M14" s="49" t="n">
        <v>1</v>
      </c>
      <c r="N14" s="49" t="n">
        <v>1</v>
      </c>
      <c r="O14" s="49" t="n">
        <v>4</v>
      </c>
      <c r="P14" s="49" t="n">
        <v>136.003953350196</v>
      </c>
      <c r="Q14" s="49" t="n">
        <v>7.27898146834906</v>
      </c>
      <c r="R14" s="49" t="n">
        <v>1100</v>
      </c>
      <c r="S14" s="49" t="n">
        <v>1</v>
      </c>
      <c r="T14" s="49" t="n">
        <v>7</v>
      </c>
      <c r="U14" s="49" t="n">
        <v>120</v>
      </c>
      <c r="V14" s="49" t="n">
        <v>0</v>
      </c>
      <c r="W14" s="49" t="n">
        <v>800</v>
      </c>
      <c r="X14" s="49" t="n">
        <v>96.36</v>
      </c>
    </row>
    <row r="15">
      <c r="A15" s="49" t="inlineStr">
        <is>
          <t>Apricot shells</t>
        </is>
      </c>
      <c r="B15" s="49" t="n">
        <v>33.3</v>
      </c>
      <c r="C15" s="49" t="n">
        <v>27.8</v>
      </c>
      <c r="D15" s="49" t="n">
        <v>52</v>
      </c>
      <c r="E15" s="49" t="n">
        <v>73.84</v>
      </c>
      <c r="F15" s="49" t="n">
        <v>0.9399999999999999</v>
      </c>
      <c r="G15" s="49" t="n">
        <v>15.51</v>
      </c>
      <c r="H15" s="49" t="n">
        <v>46.88</v>
      </c>
      <c r="I15" s="49" t="n">
        <v>45.45</v>
      </c>
      <c r="J15" s="49" t="n">
        <v>6.38</v>
      </c>
      <c r="K15" s="49" t="n">
        <v>6</v>
      </c>
      <c r="L15" s="49" t="n">
        <v>5</v>
      </c>
      <c r="M15" s="49" t="n">
        <v>1</v>
      </c>
      <c r="N15" s="49" t="n">
        <v>1</v>
      </c>
      <c r="O15" s="49" t="n">
        <v>4</v>
      </c>
      <c r="P15" s="49" t="n">
        <v>178.954917593855</v>
      </c>
      <c r="Q15" s="49" t="n">
        <v>5</v>
      </c>
      <c r="R15" s="49" t="n">
        <v>1300</v>
      </c>
      <c r="S15" s="49" t="n">
        <v>1</v>
      </c>
      <c r="T15" s="49" t="n">
        <v>7</v>
      </c>
      <c r="U15" s="49" t="n">
        <v>120</v>
      </c>
      <c r="V15" s="49" t="n">
        <v>0</v>
      </c>
      <c r="W15" s="49" t="n">
        <v>800</v>
      </c>
      <c r="X15" s="49" t="n">
        <v>97.43000000000001</v>
      </c>
    </row>
    <row r="16">
      <c r="A16" s="49" t="inlineStr">
        <is>
          <t>Apricot shells</t>
        </is>
      </c>
      <c r="B16" s="49" t="n">
        <v>33.3</v>
      </c>
      <c r="C16" s="49" t="n">
        <v>27.8</v>
      </c>
      <c r="D16" s="49" t="n">
        <v>52</v>
      </c>
      <c r="E16" s="49" t="n">
        <v>73.84</v>
      </c>
      <c r="F16" s="49" t="n">
        <v>0.9399999999999999</v>
      </c>
      <c r="G16" s="49" t="n">
        <v>15.51</v>
      </c>
      <c r="H16" s="49" t="n">
        <v>46.88</v>
      </c>
      <c r="I16" s="49" t="n">
        <v>45.45</v>
      </c>
      <c r="J16" s="49" t="n">
        <v>6.38</v>
      </c>
      <c r="K16" s="49" t="n">
        <v>6</v>
      </c>
      <c r="L16" s="49" t="n">
        <v>5</v>
      </c>
      <c r="M16" s="49" t="n">
        <v>1</v>
      </c>
      <c r="N16" s="49" t="n">
        <v>1</v>
      </c>
      <c r="O16" s="49" t="n">
        <v>4</v>
      </c>
      <c r="P16" s="49" t="n">
        <v>180.724756715949</v>
      </c>
      <c r="Q16" s="49" t="n">
        <v>5</v>
      </c>
      <c r="R16" s="49" t="n">
        <v>1500</v>
      </c>
      <c r="S16" s="49" t="n">
        <v>1</v>
      </c>
      <c r="T16" s="49" t="n">
        <v>7</v>
      </c>
      <c r="U16" s="49" t="n">
        <v>120</v>
      </c>
      <c r="V16" s="49" t="n">
        <v>0</v>
      </c>
      <c r="W16" s="49" t="n">
        <v>800</v>
      </c>
      <c r="X16" s="49" t="n">
        <v>98.25</v>
      </c>
    </row>
    <row r="17">
      <c r="A17" s="49" t="inlineStr">
        <is>
          <t>Bamboo wood powder</t>
        </is>
      </c>
      <c r="B17" s="49" t="n">
        <v>35.9491071428571</v>
      </c>
      <c r="C17" s="49" t="n">
        <v>25.4800179372197</v>
      </c>
      <c r="D17" s="49" t="n">
        <v>23.0850224215247</v>
      </c>
      <c r="E17" s="49" t="n">
        <v>78.29692596570629</v>
      </c>
      <c r="F17" s="49" t="n">
        <v>6.67223262194471</v>
      </c>
      <c r="G17" s="49" t="n">
        <v>12.9206536072037</v>
      </c>
      <c r="H17" s="49" t="n">
        <v>43.2235075773895</v>
      </c>
      <c r="I17" s="49" t="n">
        <v>49.4839796339832</v>
      </c>
      <c r="J17" s="49" t="n">
        <v>4.95996666818032</v>
      </c>
      <c r="K17" s="49" t="n">
        <v>4</v>
      </c>
      <c r="L17" s="49" t="n">
        <v>5</v>
      </c>
      <c r="M17" s="49" t="n">
        <v>1</v>
      </c>
      <c r="N17" s="49" t="n">
        <v>1</v>
      </c>
      <c r="O17" s="49" t="n">
        <v>4</v>
      </c>
      <c r="P17" s="49" t="n">
        <v>240</v>
      </c>
      <c r="Q17" s="49" t="n">
        <v>2.5</v>
      </c>
      <c r="R17" s="49" t="n">
        <v>360</v>
      </c>
      <c r="S17" s="49" t="n">
        <v>1</v>
      </c>
      <c r="T17" s="49" t="n">
        <v>5</v>
      </c>
      <c r="U17" s="49" t="n">
        <v>120</v>
      </c>
      <c r="V17" s="49" t="n">
        <v>1.46710489270208</v>
      </c>
      <c r="W17" s="49" t="n">
        <v>1300</v>
      </c>
      <c r="X17" s="49" t="n">
        <v>89.81</v>
      </c>
    </row>
    <row r="18">
      <c r="A18" s="49" t="inlineStr">
        <is>
          <t>Banana peel</t>
        </is>
      </c>
      <c r="B18" s="49" t="n">
        <v>9.9</v>
      </c>
      <c r="C18" s="49" t="n">
        <v>41.38</v>
      </c>
      <c r="D18" s="49" t="n">
        <v>8.9</v>
      </c>
      <c r="E18" s="49" t="n">
        <v>88.02</v>
      </c>
      <c r="F18" s="49" t="n">
        <v>9.279999999999999</v>
      </c>
      <c r="G18" s="49" t="n">
        <v>2.7</v>
      </c>
      <c r="H18" s="49" t="n">
        <v>35.65</v>
      </c>
      <c r="I18" s="49" t="n">
        <v>45.94</v>
      </c>
      <c r="J18" s="49" t="n">
        <v>6.19</v>
      </c>
      <c r="K18" s="49" t="n">
        <v>6</v>
      </c>
      <c r="L18" s="49" t="n">
        <v>2</v>
      </c>
      <c r="M18" s="49" t="n">
        <v>0</v>
      </c>
      <c r="N18" s="49" t="n">
        <v>1</v>
      </c>
      <c r="O18" s="49" t="n">
        <v>4</v>
      </c>
      <c r="P18" s="49" t="n">
        <v>300</v>
      </c>
      <c r="Q18" s="49" t="n">
        <v>5</v>
      </c>
      <c r="R18" s="49" t="n">
        <v>800</v>
      </c>
      <c r="S18" s="49" t="n">
        <v>0</v>
      </c>
      <c r="T18" s="49" t="n">
        <v>5</v>
      </c>
      <c r="U18" s="49" t="n">
        <v>0</v>
      </c>
      <c r="V18" s="49" t="n">
        <v>0</v>
      </c>
      <c r="W18" s="49" t="n">
        <v>0</v>
      </c>
      <c r="X18" s="49" t="n">
        <v>82.44</v>
      </c>
    </row>
    <row r="19">
      <c r="A19" s="49" t="inlineStr">
        <is>
          <t>Banana peel</t>
        </is>
      </c>
      <c r="B19" s="49" t="n">
        <v>9.9</v>
      </c>
      <c r="C19" s="49" t="n">
        <v>41.38</v>
      </c>
      <c r="D19" s="49" t="n">
        <v>8.9</v>
      </c>
      <c r="E19" s="49" t="n">
        <v>88.02</v>
      </c>
      <c r="F19" s="49" t="n">
        <v>9.279999999999999</v>
      </c>
      <c r="G19" s="49" t="n">
        <v>2.7</v>
      </c>
      <c r="H19" s="49" t="n">
        <v>35.65</v>
      </c>
      <c r="I19" s="49" t="n">
        <v>45.94</v>
      </c>
      <c r="J19" s="49" t="n">
        <v>6.19</v>
      </c>
      <c r="K19" s="49" t="n">
        <v>6</v>
      </c>
      <c r="L19" s="49" t="n">
        <v>2</v>
      </c>
      <c r="M19" s="49" t="n">
        <v>0</v>
      </c>
      <c r="N19" s="49" t="n">
        <v>1</v>
      </c>
      <c r="O19" s="49" t="n">
        <v>4</v>
      </c>
      <c r="P19" s="49" t="n">
        <v>300</v>
      </c>
      <c r="Q19" s="49" t="n">
        <v>5</v>
      </c>
      <c r="R19" s="49" t="n">
        <v>800</v>
      </c>
      <c r="S19" s="49" t="n">
        <v>0</v>
      </c>
      <c r="T19" s="49" t="n">
        <v>5</v>
      </c>
      <c r="U19" s="49" t="n">
        <v>0</v>
      </c>
      <c r="V19" s="49" t="n">
        <v>0</v>
      </c>
      <c r="W19" s="49" t="n">
        <v>0</v>
      </c>
      <c r="X19" s="49" t="n">
        <v>82.44</v>
      </c>
    </row>
    <row r="20">
      <c r="A20" s="49" t="inlineStr">
        <is>
          <t>Banana peel</t>
        </is>
      </c>
      <c r="B20" s="49" t="n">
        <v>9.9</v>
      </c>
      <c r="C20" s="49" t="n">
        <v>41.38</v>
      </c>
      <c r="D20" s="49" t="n">
        <v>8.9</v>
      </c>
      <c r="E20" s="49" t="n">
        <v>88.02</v>
      </c>
      <c r="F20" s="49" t="n">
        <v>9.279999999999999</v>
      </c>
      <c r="G20" s="49" t="n">
        <v>2.7</v>
      </c>
      <c r="H20" s="49" t="n">
        <v>35.65</v>
      </c>
      <c r="I20" s="49" t="n">
        <v>45.94</v>
      </c>
      <c r="J20" s="49" t="n">
        <v>6.19</v>
      </c>
      <c r="K20" s="49" t="n">
        <v>6</v>
      </c>
      <c r="L20" s="49" t="n">
        <v>2</v>
      </c>
      <c r="M20" s="49" t="n">
        <v>0</v>
      </c>
      <c r="N20" s="49" t="n">
        <v>1</v>
      </c>
      <c r="O20" s="49" t="n">
        <v>4</v>
      </c>
      <c r="P20" s="49" t="n">
        <v>300</v>
      </c>
      <c r="Q20" s="49" t="n">
        <v>5</v>
      </c>
      <c r="R20" s="49" t="n">
        <v>1100</v>
      </c>
      <c r="S20" s="49" t="n">
        <v>0</v>
      </c>
      <c r="T20" s="49" t="n">
        <v>5</v>
      </c>
      <c r="U20" s="49" t="n">
        <v>0</v>
      </c>
      <c r="V20" s="49" t="n">
        <v>0</v>
      </c>
      <c r="W20" s="49" t="n">
        <v>0</v>
      </c>
      <c r="X20" s="49" t="n">
        <v>87.44</v>
      </c>
    </row>
    <row r="21">
      <c r="A21" s="49" t="inlineStr">
        <is>
          <t>Banana peel</t>
        </is>
      </c>
      <c r="B21" s="49" t="n">
        <v>9.9</v>
      </c>
      <c r="C21" s="49" t="n">
        <v>41.38</v>
      </c>
      <c r="D21" s="49" t="n">
        <v>8.9</v>
      </c>
      <c r="E21" s="49" t="n">
        <v>88.02</v>
      </c>
      <c r="F21" s="49" t="n">
        <v>9.279999999999999</v>
      </c>
      <c r="G21" s="49" t="n">
        <v>2.7</v>
      </c>
      <c r="H21" s="49" t="n">
        <v>35.65</v>
      </c>
      <c r="I21" s="49" t="n">
        <v>45.94</v>
      </c>
      <c r="J21" s="49" t="n">
        <v>6.19</v>
      </c>
      <c r="K21" s="49" t="n">
        <v>6</v>
      </c>
      <c r="L21" s="49" t="n">
        <v>2</v>
      </c>
      <c r="M21" s="49" t="n">
        <v>0</v>
      </c>
      <c r="N21" s="49" t="n">
        <v>1</v>
      </c>
      <c r="O21" s="49" t="n">
        <v>4</v>
      </c>
      <c r="P21" s="49" t="n">
        <v>300</v>
      </c>
      <c r="Q21" s="49" t="n">
        <v>5</v>
      </c>
      <c r="R21" s="49" t="n">
        <v>1100</v>
      </c>
      <c r="S21" s="49" t="n">
        <v>0</v>
      </c>
      <c r="T21" s="49" t="n">
        <v>5</v>
      </c>
      <c r="U21" s="49" t="n">
        <v>0</v>
      </c>
      <c r="V21" s="49" t="n">
        <v>0</v>
      </c>
      <c r="W21" s="49" t="n">
        <v>0</v>
      </c>
      <c r="X21" s="49" t="n">
        <v>87.44</v>
      </c>
    </row>
    <row r="22">
      <c r="A22" s="49" t="inlineStr">
        <is>
          <t>Banana peel</t>
        </is>
      </c>
      <c r="B22" s="49" t="n">
        <v>9.9</v>
      </c>
      <c r="C22" s="49" t="n">
        <v>41.38</v>
      </c>
      <c r="D22" s="49" t="n">
        <v>8.9</v>
      </c>
      <c r="E22" s="49" t="n">
        <v>88.02</v>
      </c>
      <c r="F22" s="49" t="n">
        <v>9.279999999999999</v>
      </c>
      <c r="G22" s="49" t="n">
        <v>2.7</v>
      </c>
      <c r="H22" s="49" t="n">
        <v>35.65</v>
      </c>
      <c r="I22" s="49" t="n">
        <v>45.94</v>
      </c>
      <c r="J22" s="49" t="n">
        <v>6.19</v>
      </c>
      <c r="K22" s="49" t="n">
        <v>6</v>
      </c>
      <c r="L22" s="49" t="n">
        <v>2</v>
      </c>
      <c r="M22" s="49" t="n">
        <v>0</v>
      </c>
      <c r="N22" s="49" t="n">
        <v>1</v>
      </c>
      <c r="O22" s="49" t="n">
        <v>4</v>
      </c>
      <c r="P22" s="49" t="n">
        <v>300</v>
      </c>
      <c r="Q22" s="49" t="n">
        <v>5</v>
      </c>
      <c r="R22" s="49" t="n">
        <v>1400</v>
      </c>
      <c r="S22" s="49" t="n">
        <v>0</v>
      </c>
      <c r="T22" s="49" t="n">
        <v>5</v>
      </c>
      <c r="U22" s="49" t="n">
        <v>0</v>
      </c>
      <c r="V22" s="49" t="n">
        <v>0</v>
      </c>
      <c r="W22" s="49" t="n">
        <v>0</v>
      </c>
      <c r="X22" s="49" t="n">
        <v>92.42</v>
      </c>
    </row>
    <row r="23">
      <c r="A23" s="49" t="inlineStr">
        <is>
          <t>Banana peel</t>
        </is>
      </c>
      <c r="B23" s="49" t="n">
        <v>9.9</v>
      </c>
      <c r="C23" s="49" t="n">
        <v>41.38</v>
      </c>
      <c r="D23" s="49" t="n">
        <v>8.9</v>
      </c>
      <c r="E23" s="49" t="n">
        <v>88.02</v>
      </c>
      <c r="F23" s="49" t="n">
        <v>9.279999999999999</v>
      </c>
      <c r="G23" s="49" t="n">
        <v>2.7</v>
      </c>
      <c r="H23" s="49" t="n">
        <v>35.65</v>
      </c>
      <c r="I23" s="49" t="n">
        <v>45.94</v>
      </c>
      <c r="J23" s="49" t="n">
        <v>6.19</v>
      </c>
      <c r="K23" s="49" t="n">
        <v>6</v>
      </c>
      <c r="L23" s="49" t="n">
        <v>2</v>
      </c>
      <c r="M23" s="49" t="n">
        <v>0</v>
      </c>
      <c r="N23" s="49" t="n">
        <v>1</v>
      </c>
      <c r="O23" s="49" t="n">
        <v>4</v>
      </c>
      <c r="P23" s="49" t="n">
        <v>300</v>
      </c>
      <c r="Q23" s="49" t="n">
        <v>5</v>
      </c>
      <c r="R23" s="49" t="n">
        <v>1400</v>
      </c>
      <c r="S23" s="49" t="n">
        <v>0</v>
      </c>
      <c r="T23" s="49" t="n">
        <v>5</v>
      </c>
      <c r="U23" s="49" t="n">
        <v>0</v>
      </c>
      <c r="V23" s="49" t="n">
        <v>0</v>
      </c>
      <c r="W23" s="49" t="n">
        <v>0</v>
      </c>
      <c r="X23" s="49" t="n">
        <v>92.42</v>
      </c>
    </row>
    <row r="24">
      <c r="A24" s="49" t="inlineStr">
        <is>
          <t>Banana peel</t>
        </is>
      </c>
      <c r="B24" s="49" t="n">
        <v>9.9</v>
      </c>
      <c r="C24" s="49" t="n">
        <v>41.38</v>
      </c>
      <c r="D24" s="49" t="n">
        <v>8.9</v>
      </c>
      <c r="E24" s="49" t="n">
        <v>88.02</v>
      </c>
      <c r="F24" s="49" t="n">
        <v>9.279999999999999</v>
      </c>
      <c r="G24" s="49" t="n">
        <v>2.7</v>
      </c>
      <c r="H24" s="49" t="n">
        <v>35.65</v>
      </c>
      <c r="I24" s="49" t="n">
        <v>45.94</v>
      </c>
      <c r="J24" s="49" t="n">
        <v>6.19</v>
      </c>
      <c r="K24" s="49" t="n">
        <v>6</v>
      </c>
      <c r="L24" s="49" t="n">
        <v>2</v>
      </c>
      <c r="M24" s="49" t="n">
        <v>1</v>
      </c>
      <c r="N24" s="49" t="n">
        <v>1</v>
      </c>
      <c r="O24" s="49" t="n">
        <v>4</v>
      </c>
      <c r="P24" s="49" t="n">
        <v>300</v>
      </c>
      <c r="Q24" s="49" t="n">
        <v>5</v>
      </c>
      <c r="R24" s="49" t="n">
        <v>800</v>
      </c>
      <c r="S24" s="49" t="n">
        <v>1</v>
      </c>
      <c r="T24" s="49" t="n">
        <v>6</v>
      </c>
      <c r="U24" s="49" t="n">
        <v>3</v>
      </c>
      <c r="V24" s="49" t="n">
        <v>5</v>
      </c>
      <c r="W24" s="49" t="n">
        <v>300</v>
      </c>
      <c r="X24" s="49" t="n">
        <v>83.42</v>
      </c>
    </row>
    <row r="25">
      <c r="A25" s="49" t="inlineStr">
        <is>
          <t>Banana peel</t>
        </is>
      </c>
      <c r="B25" s="49" t="n">
        <v>9.9</v>
      </c>
      <c r="C25" s="49" t="n">
        <v>41.38</v>
      </c>
      <c r="D25" s="49" t="n">
        <v>8.9</v>
      </c>
      <c r="E25" s="49" t="n">
        <v>88.02</v>
      </c>
      <c r="F25" s="49" t="n">
        <v>9.279999999999999</v>
      </c>
      <c r="G25" s="49" t="n">
        <v>2.7</v>
      </c>
      <c r="H25" s="49" t="n">
        <v>35.65</v>
      </c>
      <c r="I25" s="49" t="n">
        <v>45.94</v>
      </c>
      <c r="J25" s="49" t="n">
        <v>6.19</v>
      </c>
      <c r="K25" s="49" t="n">
        <v>6</v>
      </c>
      <c r="L25" s="49" t="n">
        <v>2</v>
      </c>
      <c r="M25" s="49" t="n">
        <v>1</v>
      </c>
      <c r="N25" s="49" t="n">
        <v>1</v>
      </c>
      <c r="O25" s="49" t="n">
        <v>4</v>
      </c>
      <c r="P25" s="49" t="n">
        <v>300</v>
      </c>
      <c r="Q25" s="49" t="n">
        <v>5</v>
      </c>
      <c r="R25" s="49" t="n">
        <v>800</v>
      </c>
      <c r="S25" s="49" t="n">
        <v>1</v>
      </c>
      <c r="T25" s="49" t="n">
        <v>6</v>
      </c>
      <c r="U25" s="49" t="n">
        <v>3</v>
      </c>
      <c r="V25" s="49" t="n">
        <v>5</v>
      </c>
      <c r="W25" s="49" t="n">
        <v>300</v>
      </c>
      <c r="X25" s="49" t="n">
        <v>83.42</v>
      </c>
    </row>
    <row r="26">
      <c r="A26" s="49" t="inlineStr">
        <is>
          <t>Banana peel</t>
        </is>
      </c>
      <c r="B26" s="49" t="n">
        <v>9.9</v>
      </c>
      <c r="C26" s="49" t="n">
        <v>41.38</v>
      </c>
      <c r="D26" s="49" t="n">
        <v>8.9</v>
      </c>
      <c r="E26" s="49" t="n">
        <v>88.02</v>
      </c>
      <c r="F26" s="49" t="n">
        <v>9.279999999999999</v>
      </c>
      <c r="G26" s="49" t="n">
        <v>2.7</v>
      </c>
      <c r="H26" s="49" t="n">
        <v>35.65</v>
      </c>
      <c r="I26" s="49" t="n">
        <v>45.94</v>
      </c>
      <c r="J26" s="49" t="n">
        <v>6.19</v>
      </c>
      <c r="K26" s="49" t="n">
        <v>6</v>
      </c>
      <c r="L26" s="49" t="n">
        <v>2</v>
      </c>
      <c r="M26" s="49" t="n">
        <v>1</v>
      </c>
      <c r="N26" s="49" t="n">
        <v>1</v>
      </c>
      <c r="O26" s="49" t="n">
        <v>4</v>
      </c>
      <c r="P26" s="49" t="n">
        <v>300</v>
      </c>
      <c r="Q26" s="49" t="n">
        <v>5</v>
      </c>
      <c r="R26" s="49" t="n">
        <v>1100</v>
      </c>
      <c r="S26" s="49" t="n">
        <v>1</v>
      </c>
      <c r="T26" s="49" t="n">
        <v>6</v>
      </c>
      <c r="U26" s="49" t="n">
        <v>3</v>
      </c>
      <c r="V26" s="49" t="n">
        <v>5</v>
      </c>
      <c r="W26" s="49" t="n">
        <v>300</v>
      </c>
      <c r="X26" s="49" t="n">
        <v>88.34</v>
      </c>
    </row>
    <row r="27">
      <c r="A27" s="49" t="inlineStr">
        <is>
          <t>Banana peel</t>
        </is>
      </c>
      <c r="B27" s="49" t="n">
        <v>9.9</v>
      </c>
      <c r="C27" s="49" t="n">
        <v>41.38</v>
      </c>
      <c r="D27" s="49" t="n">
        <v>8.9</v>
      </c>
      <c r="E27" s="49" t="n">
        <v>88.02</v>
      </c>
      <c r="F27" s="49" t="n">
        <v>9.279999999999999</v>
      </c>
      <c r="G27" s="49" t="n">
        <v>2.7</v>
      </c>
      <c r="H27" s="49" t="n">
        <v>35.65</v>
      </c>
      <c r="I27" s="49" t="n">
        <v>45.94</v>
      </c>
      <c r="J27" s="49" t="n">
        <v>6.19</v>
      </c>
      <c r="K27" s="49" t="n">
        <v>6</v>
      </c>
      <c r="L27" s="49" t="n">
        <v>2</v>
      </c>
      <c r="M27" s="49" t="n">
        <v>1</v>
      </c>
      <c r="N27" s="49" t="n">
        <v>1</v>
      </c>
      <c r="O27" s="49" t="n">
        <v>4</v>
      </c>
      <c r="P27" s="49" t="n">
        <v>300</v>
      </c>
      <c r="Q27" s="49" t="n">
        <v>5</v>
      </c>
      <c r="R27" s="49" t="n">
        <v>1100</v>
      </c>
      <c r="S27" s="49" t="n">
        <v>1</v>
      </c>
      <c r="T27" s="49" t="n">
        <v>6</v>
      </c>
      <c r="U27" s="49" t="n">
        <v>3</v>
      </c>
      <c r="V27" s="49" t="n">
        <v>5</v>
      </c>
      <c r="W27" s="49" t="n">
        <v>300</v>
      </c>
      <c r="X27" s="49" t="n">
        <v>88.34</v>
      </c>
    </row>
    <row r="28">
      <c r="A28" s="49" t="inlineStr">
        <is>
          <t>Banana peel</t>
        </is>
      </c>
      <c r="B28" s="49" t="n">
        <v>9.9</v>
      </c>
      <c r="C28" s="49" t="n">
        <v>41.38</v>
      </c>
      <c r="D28" s="49" t="n">
        <v>8.9</v>
      </c>
      <c r="E28" s="49" t="n">
        <v>88.02</v>
      </c>
      <c r="F28" s="49" t="n">
        <v>9.279999999999999</v>
      </c>
      <c r="G28" s="49" t="n">
        <v>2.7</v>
      </c>
      <c r="H28" s="49" t="n">
        <v>35.65</v>
      </c>
      <c r="I28" s="49" t="n">
        <v>45.94</v>
      </c>
      <c r="J28" s="49" t="n">
        <v>6.19</v>
      </c>
      <c r="K28" s="49" t="n">
        <v>6</v>
      </c>
      <c r="L28" s="49" t="n">
        <v>2</v>
      </c>
      <c r="M28" s="49" t="n">
        <v>1</v>
      </c>
      <c r="N28" s="49" t="n">
        <v>1</v>
      </c>
      <c r="O28" s="49" t="n">
        <v>4</v>
      </c>
      <c r="P28" s="49" t="n">
        <v>300</v>
      </c>
      <c r="Q28" s="49" t="n">
        <v>5</v>
      </c>
      <c r="R28" s="49" t="n">
        <v>1400</v>
      </c>
      <c r="S28" s="49" t="n">
        <v>1</v>
      </c>
      <c r="T28" s="49" t="n">
        <v>6</v>
      </c>
      <c r="U28" s="49" t="n">
        <v>3</v>
      </c>
      <c r="V28" s="49" t="n">
        <v>5</v>
      </c>
      <c r="W28" s="49" t="n">
        <v>300</v>
      </c>
      <c r="X28" s="49" t="n">
        <v>92.87</v>
      </c>
    </row>
    <row r="29">
      <c r="A29" s="49" t="inlineStr">
        <is>
          <t>Banana peel</t>
        </is>
      </c>
      <c r="B29" s="49" t="n">
        <v>9.9</v>
      </c>
      <c r="C29" s="49" t="n">
        <v>41.38</v>
      </c>
      <c r="D29" s="49" t="n">
        <v>8.9</v>
      </c>
      <c r="E29" s="49" t="n">
        <v>88.02</v>
      </c>
      <c r="F29" s="49" t="n">
        <v>9.279999999999999</v>
      </c>
      <c r="G29" s="49" t="n">
        <v>2.7</v>
      </c>
      <c r="H29" s="49" t="n">
        <v>35.65</v>
      </c>
      <c r="I29" s="49" t="n">
        <v>45.94</v>
      </c>
      <c r="J29" s="49" t="n">
        <v>6.19</v>
      </c>
      <c r="K29" s="49" t="n">
        <v>6</v>
      </c>
      <c r="L29" s="49" t="n">
        <v>2</v>
      </c>
      <c r="M29" s="49" t="n">
        <v>1</v>
      </c>
      <c r="N29" s="49" t="n">
        <v>1</v>
      </c>
      <c r="O29" s="49" t="n">
        <v>4</v>
      </c>
      <c r="P29" s="49" t="n">
        <v>300</v>
      </c>
      <c r="Q29" s="49" t="n">
        <v>5</v>
      </c>
      <c r="R29" s="49" t="n">
        <v>1400</v>
      </c>
      <c r="S29" s="49" t="n">
        <v>1</v>
      </c>
      <c r="T29" s="49" t="n">
        <v>6</v>
      </c>
      <c r="U29" s="49" t="n">
        <v>3</v>
      </c>
      <c r="V29" s="49" t="n">
        <v>5</v>
      </c>
      <c r="W29" s="49" t="n">
        <v>300</v>
      </c>
      <c r="X29" s="49" t="n">
        <v>92.87</v>
      </c>
    </row>
    <row r="30">
      <c r="A30" s="49" t="inlineStr">
        <is>
          <t>Beech wood</t>
        </is>
      </c>
      <c r="B30" s="49" t="n">
        <v>41.7</v>
      </c>
      <c r="C30" s="49" t="n">
        <v>37.1</v>
      </c>
      <c r="D30" s="49" t="n">
        <v>18.9</v>
      </c>
      <c r="E30" s="49" t="n">
        <v>77.90000000000001</v>
      </c>
      <c r="F30" s="49" t="n">
        <v>0.5</v>
      </c>
      <c r="G30" s="49" t="n">
        <v>21.4</v>
      </c>
      <c r="H30" s="49" t="n">
        <v>47.8</v>
      </c>
      <c r="I30" s="49" t="n">
        <v>45.1</v>
      </c>
      <c r="J30" s="49" t="n">
        <v>6.3</v>
      </c>
      <c r="K30" s="49" t="n">
        <v>4</v>
      </c>
      <c r="L30" s="49" t="n">
        <v>5</v>
      </c>
      <c r="M30" s="49" t="n">
        <v>0</v>
      </c>
      <c r="N30" s="49" t="n">
        <v>1</v>
      </c>
      <c r="O30" s="49" t="n">
        <v>4</v>
      </c>
      <c r="P30" s="49" t="n">
        <v>60</v>
      </c>
      <c r="Q30" s="49" t="n">
        <v>3.3</v>
      </c>
      <c r="R30" s="49" t="n">
        <v>1000</v>
      </c>
      <c r="S30" s="49" t="n">
        <v>0</v>
      </c>
      <c r="T30" s="49" t="n">
        <v>5</v>
      </c>
      <c r="U30" s="49" t="n">
        <v>0</v>
      </c>
      <c r="V30" s="49" t="n">
        <v>0</v>
      </c>
      <c r="W30" s="49" t="n">
        <v>0</v>
      </c>
      <c r="X30" s="49" t="n">
        <v>92.8</v>
      </c>
    </row>
    <row r="31">
      <c r="A31" s="49" t="inlineStr">
        <is>
          <t>Beech wood</t>
        </is>
      </c>
      <c r="B31" s="49" t="n">
        <v>41.7</v>
      </c>
      <c r="C31" s="49" t="n">
        <v>37.1</v>
      </c>
      <c r="D31" s="49" t="n">
        <v>18.9</v>
      </c>
      <c r="E31" s="49" t="n">
        <v>77.90000000000001</v>
      </c>
      <c r="F31" s="49" t="n">
        <v>0.5</v>
      </c>
      <c r="G31" s="49" t="n">
        <v>21.4</v>
      </c>
      <c r="H31" s="49" t="n">
        <v>47.8</v>
      </c>
      <c r="I31" s="49" t="n">
        <v>45.1</v>
      </c>
      <c r="J31" s="49" t="n">
        <v>6.3</v>
      </c>
      <c r="K31" s="49" t="n">
        <v>4</v>
      </c>
      <c r="L31" s="49" t="n">
        <v>5</v>
      </c>
      <c r="M31" s="49" t="n">
        <v>0</v>
      </c>
      <c r="N31" s="49" t="n">
        <v>1</v>
      </c>
      <c r="O31" s="49" t="n">
        <v>4</v>
      </c>
      <c r="P31" s="49" t="n">
        <v>60</v>
      </c>
      <c r="Q31" s="49" t="n">
        <v>3.3</v>
      </c>
      <c r="R31" s="49" t="n">
        <v>1200</v>
      </c>
      <c r="S31" s="49" t="n">
        <v>0</v>
      </c>
      <c r="T31" s="49" t="n">
        <v>5</v>
      </c>
      <c r="U31" s="49" t="n">
        <v>0</v>
      </c>
      <c r="V31" s="49" t="n">
        <v>0</v>
      </c>
      <c r="W31" s="49" t="n">
        <v>0</v>
      </c>
      <c r="X31" s="49" t="n">
        <v>92.2</v>
      </c>
    </row>
    <row r="32">
      <c r="A32" s="49" t="inlineStr">
        <is>
          <t>Beech wood</t>
        </is>
      </c>
      <c r="B32" s="49" t="n">
        <v>41.7</v>
      </c>
      <c r="C32" s="49" t="n">
        <v>37.1</v>
      </c>
      <c r="D32" s="49" t="n">
        <v>18.9</v>
      </c>
      <c r="E32" s="49" t="n">
        <v>77.90000000000001</v>
      </c>
      <c r="F32" s="49" t="n">
        <v>0.5</v>
      </c>
      <c r="G32" s="49" t="n">
        <v>21.4</v>
      </c>
      <c r="H32" s="49" t="n">
        <v>47.8</v>
      </c>
      <c r="I32" s="49" t="n">
        <v>45.1</v>
      </c>
      <c r="J32" s="49" t="n">
        <v>6.3</v>
      </c>
      <c r="K32" s="49" t="n">
        <v>4</v>
      </c>
      <c r="L32" s="49" t="n">
        <v>5</v>
      </c>
      <c r="M32" s="49" t="n">
        <v>0</v>
      </c>
      <c r="N32" s="49" t="n">
        <v>1</v>
      </c>
      <c r="O32" s="49" t="n">
        <v>4</v>
      </c>
      <c r="P32" s="49" t="n">
        <v>60</v>
      </c>
      <c r="Q32" s="49" t="n">
        <v>3.3</v>
      </c>
      <c r="R32" s="49" t="n">
        <v>1400</v>
      </c>
      <c r="S32" s="49" t="n">
        <v>0</v>
      </c>
      <c r="T32" s="49" t="n">
        <v>5</v>
      </c>
      <c r="U32" s="49" t="n">
        <v>0</v>
      </c>
      <c r="V32" s="49" t="n">
        <v>0</v>
      </c>
      <c r="W32" s="49" t="n">
        <v>0</v>
      </c>
      <c r="X32" s="49" t="n">
        <v>97</v>
      </c>
    </row>
    <row r="33">
      <c r="A33" s="49" t="inlineStr">
        <is>
          <t>Buckwheat hulls</t>
        </is>
      </c>
      <c r="B33" s="49" t="n">
        <v>20.4</v>
      </c>
      <c r="C33" s="49" t="n">
        <v>18.5</v>
      </c>
      <c r="D33" s="49" t="n">
        <v>27</v>
      </c>
      <c r="E33" s="49" t="n">
        <v>66.90000000000001</v>
      </c>
      <c r="F33" s="49" t="n">
        <v>2.6</v>
      </c>
      <c r="G33" s="49" t="n">
        <v>18.1</v>
      </c>
      <c r="H33" s="49" t="n">
        <v>47.5</v>
      </c>
      <c r="I33" s="49" t="n">
        <v>44.1</v>
      </c>
      <c r="J33" s="49" t="n">
        <v>5.8</v>
      </c>
      <c r="K33" s="49" t="n">
        <v>3</v>
      </c>
      <c r="L33" s="49" t="n">
        <v>5</v>
      </c>
      <c r="M33" s="49" t="n">
        <v>0</v>
      </c>
      <c r="N33" s="49" t="n">
        <v>1</v>
      </c>
      <c r="O33" s="49" t="n">
        <v>4</v>
      </c>
      <c r="P33" s="49" t="n">
        <v>105.43640569489</v>
      </c>
      <c r="Q33" s="49" t="n">
        <v>4.47974122799577</v>
      </c>
      <c r="R33" s="49" t="n">
        <v>700</v>
      </c>
      <c r="S33" s="49" t="n">
        <v>0</v>
      </c>
      <c r="T33" s="49" t="n">
        <v>5</v>
      </c>
      <c r="U33" s="49" t="n">
        <v>0</v>
      </c>
      <c r="V33" s="49" t="n">
        <v>0</v>
      </c>
      <c r="W33" s="49" t="n">
        <v>0</v>
      </c>
      <c r="X33" s="49" t="n">
        <v>94.20999999999999</v>
      </c>
    </row>
    <row r="34">
      <c r="A34" s="49" t="inlineStr">
        <is>
          <t>Buckwheat hulls</t>
        </is>
      </c>
      <c r="B34" s="49" t="n">
        <v>20.4</v>
      </c>
      <c r="C34" s="49" t="n">
        <v>18.5</v>
      </c>
      <c r="D34" s="49" t="n">
        <v>27</v>
      </c>
      <c r="E34" s="49" t="n">
        <v>66.90000000000001</v>
      </c>
      <c r="F34" s="49" t="n">
        <v>2.6</v>
      </c>
      <c r="G34" s="49" t="n">
        <v>18.1</v>
      </c>
      <c r="H34" s="49" t="n">
        <v>47.5</v>
      </c>
      <c r="I34" s="49" t="n">
        <v>44.1</v>
      </c>
      <c r="J34" s="49" t="n">
        <v>5.8</v>
      </c>
      <c r="K34" s="49" t="n">
        <v>3</v>
      </c>
      <c r="L34" s="49" t="n">
        <v>5</v>
      </c>
      <c r="M34" s="49" t="n">
        <v>0</v>
      </c>
      <c r="N34" s="49" t="n">
        <v>1</v>
      </c>
      <c r="O34" s="49" t="n">
        <v>4</v>
      </c>
      <c r="P34" s="49" t="n">
        <v>178.036802742275</v>
      </c>
      <c r="Q34" s="49" t="n">
        <v>4.847512626446</v>
      </c>
      <c r="R34" s="49" t="n">
        <v>900</v>
      </c>
      <c r="S34" s="49" t="n">
        <v>0</v>
      </c>
      <c r="T34" s="49" t="n">
        <v>5</v>
      </c>
      <c r="U34" s="49" t="n">
        <v>0</v>
      </c>
      <c r="V34" s="49" t="n">
        <v>0</v>
      </c>
      <c r="W34" s="49" t="n">
        <v>0</v>
      </c>
      <c r="X34" s="49" t="n">
        <v>95.33</v>
      </c>
    </row>
    <row r="35">
      <c r="A35" s="49" t="inlineStr">
        <is>
          <t>Buckwheat hulls</t>
        </is>
      </c>
      <c r="B35" s="49" t="n">
        <v>20.4</v>
      </c>
      <c r="C35" s="49" t="n">
        <v>18.5</v>
      </c>
      <c r="D35" s="49" t="n">
        <v>27</v>
      </c>
      <c r="E35" s="49" t="n">
        <v>66.90000000000001</v>
      </c>
      <c r="F35" s="49" t="n">
        <v>2.6</v>
      </c>
      <c r="G35" s="49" t="n">
        <v>18.1</v>
      </c>
      <c r="H35" s="49" t="n">
        <v>47.5</v>
      </c>
      <c r="I35" s="49" t="n">
        <v>44.1</v>
      </c>
      <c r="J35" s="49" t="n">
        <v>5.8</v>
      </c>
      <c r="K35" s="49" t="n">
        <v>3</v>
      </c>
      <c r="L35" s="49" t="n">
        <v>5</v>
      </c>
      <c r="M35" s="49" t="n">
        <v>0</v>
      </c>
      <c r="N35" s="49" t="n">
        <v>1</v>
      </c>
      <c r="O35" s="49" t="n">
        <v>4</v>
      </c>
      <c r="P35" s="49" t="n">
        <v>171.207616874643</v>
      </c>
      <c r="Q35" s="49" t="n">
        <v>5.87528449112203</v>
      </c>
      <c r="R35" s="49" t="n">
        <v>1100</v>
      </c>
      <c r="S35" s="49" t="n">
        <v>0</v>
      </c>
      <c r="T35" s="49" t="n">
        <v>5</v>
      </c>
      <c r="U35" s="49" t="n">
        <v>0</v>
      </c>
      <c r="V35" s="49" t="n">
        <v>0</v>
      </c>
      <c r="W35" s="49" t="n">
        <v>0</v>
      </c>
      <c r="X35" s="49" t="n">
        <v>95.86</v>
      </c>
    </row>
    <row r="36">
      <c r="A36" s="49" t="inlineStr">
        <is>
          <t>Buckwheat hulls</t>
        </is>
      </c>
      <c r="B36" s="49" t="n">
        <v>20.4</v>
      </c>
      <c r="C36" s="49" t="n">
        <v>18.5</v>
      </c>
      <c r="D36" s="49" t="n">
        <v>27</v>
      </c>
      <c r="E36" s="49" t="n">
        <v>66.90000000000001</v>
      </c>
      <c r="F36" s="49" t="n">
        <v>2.6</v>
      </c>
      <c r="G36" s="49" t="n">
        <v>18.1</v>
      </c>
      <c r="H36" s="49" t="n">
        <v>47.5</v>
      </c>
      <c r="I36" s="49" t="n">
        <v>44.1</v>
      </c>
      <c r="J36" s="49" t="n">
        <v>5.8</v>
      </c>
      <c r="K36" s="49" t="n">
        <v>3</v>
      </c>
      <c r="L36" s="49" t="n">
        <v>5</v>
      </c>
      <c r="M36" s="49" t="n">
        <v>0</v>
      </c>
      <c r="N36" s="49" t="n">
        <v>1</v>
      </c>
      <c r="O36" s="49" t="n">
        <v>4</v>
      </c>
      <c r="P36" s="49" t="n">
        <v>111.257038119938</v>
      </c>
      <c r="Q36" s="49" t="n">
        <v>5</v>
      </c>
      <c r="R36" s="49" t="n">
        <v>1300</v>
      </c>
      <c r="S36" s="49" t="n">
        <v>0</v>
      </c>
      <c r="T36" s="49" t="n">
        <v>5</v>
      </c>
      <c r="U36" s="49" t="n">
        <v>0</v>
      </c>
      <c r="V36" s="49" t="n">
        <v>0</v>
      </c>
      <c r="W36" s="49" t="n">
        <v>0</v>
      </c>
      <c r="X36" s="49" t="n">
        <v>96.03</v>
      </c>
    </row>
    <row r="37">
      <c r="A37" s="49" t="inlineStr">
        <is>
          <t>Cellulose</t>
        </is>
      </c>
      <c r="B37" s="49" t="n">
        <v>100</v>
      </c>
      <c r="C37" s="49" t="n">
        <v>0</v>
      </c>
      <c r="D37" s="49" t="n">
        <v>0</v>
      </c>
      <c r="E37" s="49" t="n">
        <v>71.5664095549364</v>
      </c>
      <c r="F37" s="49" t="n">
        <v>13.200941307608</v>
      </c>
      <c r="G37" s="49" t="n">
        <v>19.2780253173892</v>
      </c>
      <c r="H37" s="49" t="n">
        <v>41.9649099968715</v>
      </c>
      <c r="I37" s="49" t="n">
        <v>40.7600802805359</v>
      </c>
      <c r="J37" s="49" t="n">
        <v>4.1968066226563</v>
      </c>
      <c r="K37" s="49" t="n">
        <v>1</v>
      </c>
      <c r="L37" s="49" t="n">
        <v>5</v>
      </c>
      <c r="M37" s="49" t="n">
        <v>0</v>
      </c>
      <c r="N37" s="49" t="n">
        <v>1</v>
      </c>
      <c r="O37" s="49" t="n">
        <v>4</v>
      </c>
      <c r="P37" s="49" t="n">
        <v>120</v>
      </c>
      <c r="Q37" s="49" t="n">
        <v>5</v>
      </c>
      <c r="R37" s="49" t="n">
        <v>1000</v>
      </c>
      <c r="S37" s="49" t="n">
        <v>0</v>
      </c>
      <c r="T37" s="49" t="n">
        <v>5</v>
      </c>
      <c r="U37" s="49" t="n">
        <v>0</v>
      </c>
      <c r="V37" s="49" t="n">
        <v>0</v>
      </c>
      <c r="W37" s="49" t="n">
        <v>0</v>
      </c>
      <c r="X37" s="49" t="n">
        <v>89.2</v>
      </c>
    </row>
    <row r="38">
      <c r="A38" s="49" t="inlineStr">
        <is>
          <t>Cellulose</t>
        </is>
      </c>
      <c r="B38" s="49" t="n">
        <v>100</v>
      </c>
      <c r="C38" s="49" t="n">
        <v>0</v>
      </c>
      <c r="D38" s="49" t="n">
        <v>0</v>
      </c>
      <c r="E38" s="49" t="n">
        <v>72.1573405615047</v>
      </c>
      <c r="F38" s="49" t="n">
        <v>12.8430826579095</v>
      </c>
      <c r="G38" s="49" t="n">
        <v>18.7877153618497</v>
      </c>
      <c r="H38" s="49" t="n">
        <v>41.7926025184691</v>
      </c>
      <c r="I38" s="49" t="n">
        <v>41.4394723427853</v>
      </c>
      <c r="J38" s="49" t="n">
        <v>4.17662196311473</v>
      </c>
      <c r="K38" s="49" t="n">
        <v>1</v>
      </c>
      <c r="L38" s="49" t="n">
        <v>5</v>
      </c>
      <c r="M38" s="49" t="n">
        <v>0</v>
      </c>
      <c r="N38" s="49" t="n">
        <v>1</v>
      </c>
      <c r="O38" s="49" t="n">
        <v>4</v>
      </c>
      <c r="P38" s="49" t="n">
        <v>120</v>
      </c>
      <c r="Q38" s="49" t="n">
        <v>5</v>
      </c>
      <c r="R38" s="49" t="n">
        <v>1200</v>
      </c>
      <c r="S38" s="49" t="n">
        <v>0</v>
      </c>
      <c r="T38" s="49" t="n">
        <v>5</v>
      </c>
      <c r="U38" s="49" t="n">
        <v>0</v>
      </c>
      <c r="V38" s="49" t="n">
        <v>0</v>
      </c>
      <c r="W38" s="49" t="n">
        <v>0</v>
      </c>
      <c r="X38" s="49" t="n">
        <v>91.7</v>
      </c>
    </row>
    <row r="39">
      <c r="A39" s="49" t="inlineStr">
        <is>
          <t>Cellulose</t>
        </is>
      </c>
      <c r="B39" s="49" t="n">
        <v>100</v>
      </c>
      <c r="C39" s="49" t="n">
        <v>0</v>
      </c>
      <c r="D39" s="49" t="n">
        <v>0</v>
      </c>
      <c r="E39" s="49" t="n">
        <v>80.37392624986551</v>
      </c>
      <c r="F39" s="49" t="n">
        <v>5.06218836774912</v>
      </c>
      <c r="G39" s="49" t="n">
        <v>13.0515989369652</v>
      </c>
      <c r="H39" s="49" t="n">
        <v>45.060475057228</v>
      </c>
      <c r="I39" s="49" t="n">
        <v>42.7032337859087</v>
      </c>
      <c r="J39" s="49" t="n">
        <v>5.93354442326249</v>
      </c>
      <c r="K39" s="49" t="n">
        <v>1</v>
      </c>
      <c r="L39" s="49" t="n">
        <v>5</v>
      </c>
      <c r="M39" s="49" t="n">
        <v>0</v>
      </c>
      <c r="N39" s="49" t="n">
        <v>1</v>
      </c>
      <c r="O39" s="49" t="n">
        <v>4</v>
      </c>
      <c r="P39" s="49" t="n">
        <v>120</v>
      </c>
      <c r="Q39" s="49" t="n">
        <v>5</v>
      </c>
      <c r="R39" s="49" t="n">
        <v>1400</v>
      </c>
      <c r="S39" s="49" t="n">
        <v>0</v>
      </c>
      <c r="T39" s="49" t="n">
        <v>5</v>
      </c>
      <c r="U39" s="49" t="n">
        <v>0</v>
      </c>
      <c r="V39" s="49" t="n">
        <v>0</v>
      </c>
      <c r="W39" s="49" t="n">
        <v>0</v>
      </c>
      <c r="X39" s="49" t="n">
        <v>91.8</v>
      </c>
    </row>
    <row r="40">
      <c r="A40" s="49" t="inlineStr">
        <is>
          <t>Cellulose</t>
        </is>
      </c>
      <c r="B40" s="49" t="n">
        <v>100</v>
      </c>
      <c r="C40" s="49" t="n">
        <v>0</v>
      </c>
      <c r="D40" s="49" t="n">
        <v>0</v>
      </c>
      <c r="E40" s="49" t="n">
        <v>81.9497756778995</v>
      </c>
      <c r="F40" s="49" t="n">
        <v>4.20729967762455</v>
      </c>
      <c r="G40" s="49" t="n">
        <v>13.8091247988167</v>
      </c>
      <c r="H40" s="49" t="n">
        <v>48.3019831423537</v>
      </c>
      <c r="I40" s="49" t="n">
        <v>39.8196238852159</v>
      </c>
      <c r="J40" s="49" t="n">
        <v>10.0897833700187</v>
      </c>
      <c r="K40" s="49" t="n">
        <v>1</v>
      </c>
      <c r="L40" s="49" t="n">
        <v>5</v>
      </c>
      <c r="M40" s="49" t="n">
        <v>0</v>
      </c>
      <c r="N40" s="49" t="n">
        <v>1</v>
      </c>
      <c r="O40" s="49" t="n">
        <v>4</v>
      </c>
      <c r="P40" s="49" t="n">
        <v>120</v>
      </c>
      <c r="Q40" s="49" t="n">
        <v>5</v>
      </c>
      <c r="R40" s="49" t="n">
        <v>1600</v>
      </c>
      <c r="S40" s="49" t="n">
        <v>0</v>
      </c>
      <c r="T40" s="49" t="n">
        <v>5</v>
      </c>
      <c r="U40" s="49" t="n">
        <v>0</v>
      </c>
      <c r="V40" s="49" t="n">
        <v>0</v>
      </c>
      <c r="W40" s="49" t="n">
        <v>0</v>
      </c>
      <c r="X40" s="49" t="n">
        <v>92.5</v>
      </c>
    </row>
    <row r="41">
      <c r="A41" s="49" t="inlineStr">
        <is>
          <t>Cellulose</t>
        </is>
      </c>
      <c r="B41" s="49" t="n">
        <v>100</v>
      </c>
      <c r="C41" s="49" t="n">
        <v>0</v>
      </c>
      <c r="D41" s="49" t="n">
        <v>0</v>
      </c>
      <c r="E41" s="49" t="n">
        <v>83.6996429801459</v>
      </c>
      <c r="F41" s="49" t="n">
        <v>2.17431465017092</v>
      </c>
      <c r="G41" s="49" t="n">
        <v>14.0761831016512</v>
      </c>
      <c r="H41" s="49" t="n">
        <v>47.9182934437069</v>
      </c>
      <c r="I41" s="49" t="n">
        <v>43.822809795726</v>
      </c>
      <c r="J41" s="49" t="n">
        <v>6.42650142217708</v>
      </c>
      <c r="K41" s="49" t="n">
        <v>1</v>
      </c>
      <c r="L41" s="49" t="n">
        <v>5</v>
      </c>
      <c r="M41" s="49" t="n">
        <v>0</v>
      </c>
      <c r="N41" s="49" t="n">
        <v>1</v>
      </c>
      <c r="O41" s="49" t="n">
        <v>4</v>
      </c>
      <c r="P41" s="49" t="n">
        <v>120</v>
      </c>
      <c r="Q41" s="49" t="n">
        <v>5</v>
      </c>
      <c r="R41" s="49" t="n">
        <v>1800</v>
      </c>
      <c r="S41" s="49" t="n">
        <v>0</v>
      </c>
      <c r="T41" s="49" t="n">
        <v>5</v>
      </c>
      <c r="U41" s="49" t="n">
        <v>0</v>
      </c>
      <c r="V41" s="49" t="n">
        <v>0</v>
      </c>
      <c r="W41" s="49" t="n">
        <v>0</v>
      </c>
      <c r="X41" s="49" t="n">
        <v>96.09999999999999</v>
      </c>
    </row>
    <row r="42">
      <c r="A42" s="49" t="inlineStr">
        <is>
          <t>Cellulose</t>
        </is>
      </c>
      <c r="B42" s="49" t="n">
        <v>101</v>
      </c>
      <c r="C42" s="49" t="n">
        <v>1</v>
      </c>
      <c r="D42" s="49" t="n">
        <v>1</v>
      </c>
      <c r="E42" s="49" t="n">
        <v>85.62818221969501</v>
      </c>
      <c r="F42" s="49" t="n">
        <v>0.342538347243912</v>
      </c>
      <c r="G42" s="49" t="n">
        <v>10.5391352794644</v>
      </c>
      <c r="H42" s="49" t="n">
        <v>47.0077266704575</v>
      </c>
      <c r="I42" s="49" t="n">
        <v>44.9922733295425</v>
      </c>
      <c r="J42" s="49" t="n">
        <v>6.1249558303831</v>
      </c>
      <c r="K42" s="49" t="n">
        <v>1</v>
      </c>
      <c r="L42" s="49" t="n">
        <v>5</v>
      </c>
      <c r="M42" s="49" t="n">
        <v>1</v>
      </c>
      <c r="N42" s="49" t="n">
        <v>1</v>
      </c>
      <c r="O42" s="49" t="n">
        <v>4</v>
      </c>
      <c r="P42" s="49" t="n">
        <v>60</v>
      </c>
      <c r="Q42" s="49" t="n">
        <v>10</v>
      </c>
      <c r="R42" s="49" t="n">
        <v>800</v>
      </c>
      <c r="S42" s="49" t="n">
        <v>1</v>
      </c>
      <c r="T42" s="49" t="n">
        <v>5</v>
      </c>
      <c r="U42" s="49" t="n">
        <v>480</v>
      </c>
      <c r="V42" s="49" t="n">
        <v>10</v>
      </c>
      <c r="W42" s="49" t="n">
        <v>1300</v>
      </c>
      <c r="X42" s="49" t="n">
        <v>95.2</v>
      </c>
    </row>
    <row r="43">
      <c r="A43" s="49" t="inlineStr">
        <is>
          <t>Chrysanthemum</t>
        </is>
      </c>
      <c r="B43" s="49" t="n">
        <v>21.55</v>
      </c>
      <c r="C43" s="49" t="n">
        <v>25.4800179372197</v>
      </c>
      <c r="D43" s="49" t="n">
        <v>23.03</v>
      </c>
      <c r="E43" s="49" t="n">
        <v>69.45999999999999</v>
      </c>
      <c r="F43" s="49" t="n">
        <v>11.82</v>
      </c>
      <c r="G43" s="49" t="n">
        <v>18.69</v>
      </c>
      <c r="H43" s="49" t="n">
        <v>46.3275280898876</v>
      </c>
      <c r="I43" s="49" t="n">
        <v>42.3111173184358</v>
      </c>
      <c r="J43" s="49" t="n">
        <v>6.10067643877727</v>
      </c>
      <c r="K43" s="49" t="n">
        <v>6</v>
      </c>
      <c r="L43" s="49" t="n">
        <v>7</v>
      </c>
      <c r="M43" s="49" t="n">
        <v>0</v>
      </c>
      <c r="N43" s="49" t="n">
        <v>1</v>
      </c>
      <c r="O43" s="49" t="n">
        <v>1</v>
      </c>
      <c r="P43" s="49" t="n">
        <v>60</v>
      </c>
      <c r="Q43" s="49" t="n">
        <v>5</v>
      </c>
      <c r="R43" s="49" t="n">
        <v>700</v>
      </c>
      <c r="S43" s="49" t="n">
        <v>0</v>
      </c>
      <c r="T43" s="49" t="n">
        <v>5</v>
      </c>
      <c r="U43" s="49" t="n">
        <v>0</v>
      </c>
      <c r="V43" s="49" t="n">
        <v>0</v>
      </c>
      <c r="W43" s="49" t="n">
        <v>0</v>
      </c>
      <c r="X43" s="49" t="n">
        <v>93.59999999999999</v>
      </c>
    </row>
    <row r="44">
      <c r="A44" s="49" t="inlineStr">
        <is>
          <t>Coconut shells</t>
        </is>
      </c>
      <c r="B44" s="49" t="n">
        <v>17.89</v>
      </c>
      <c r="C44" s="49" t="n">
        <v>56.29</v>
      </c>
      <c r="D44" s="49" t="n">
        <v>25.82</v>
      </c>
      <c r="E44" s="49" t="n">
        <v>83.98220245</v>
      </c>
      <c r="F44" s="49" t="n">
        <v>3.56</v>
      </c>
      <c r="G44" s="49" t="n">
        <v>12.46</v>
      </c>
      <c r="H44" s="49" t="n">
        <v>64.23</v>
      </c>
      <c r="I44" s="49" t="n">
        <v>27.61</v>
      </c>
      <c r="J44" s="49" t="n">
        <v>6.89</v>
      </c>
      <c r="K44" s="49" t="n">
        <v>4</v>
      </c>
      <c r="L44" s="49" t="n">
        <v>3</v>
      </c>
      <c r="M44" s="49" t="n">
        <v>0</v>
      </c>
      <c r="N44" s="49" t="n">
        <v>1</v>
      </c>
      <c r="O44" s="49" t="n">
        <v>4</v>
      </c>
      <c r="P44" s="49" t="n">
        <v>100</v>
      </c>
      <c r="Q44" s="49" t="n">
        <v>5</v>
      </c>
      <c r="R44" s="49" t="n">
        <v>1300</v>
      </c>
      <c r="S44" s="49" t="n">
        <v>0</v>
      </c>
      <c r="T44" s="49" t="n">
        <v>5</v>
      </c>
      <c r="U44" s="49" t="n">
        <v>0</v>
      </c>
      <c r="V44" s="49" t="n">
        <v>0</v>
      </c>
      <c r="W44" s="49" t="n">
        <v>0</v>
      </c>
      <c r="X44" s="49" t="n">
        <v>96.40000000000001</v>
      </c>
    </row>
    <row r="45">
      <c r="A45" s="49" t="inlineStr">
        <is>
          <t>Coconut shells</t>
        </is>
      </c>
      <c r="B45" s="49" t="n">
        <v>17.89</v>
      </c>
      <c r="C45" s="49" t="n">
        <v>56.29</v>
      </c>
      <c r="D45" s="49" t="n">
        <v>25.82</v>
      </c>
      <c r="E45" s="49" t="n">
        <v>83.98220245</v>
      </c>
      <c r="F45" s="49" t="n">
        <v>3.56</v>
      </c>
      <c r="G45" s="49" t="n">
        <v>12.46</v>
      </c>
      <c r="H45" s="49" t="n">
        <v>64.23</v>
      </c>
      <c r="I45" s="49" t="n">
        <v>27.61</v>
      </c>
      <c r="J45" s="49" t="n">
        <v>6.89</v>
      </c>
      <c r="K45" s="49" t="n">
        <v>4</v>
      </c>
      <c r="L45" s="49" t="n">
        <v>1</v>
      </c>
      <c r="M45" s="49" t="n">
        <v>0</v>
      </c>
      <c r="N45" s="49" t="n">
        <v>1</v>
      </c>
      <c r="O45" s="49" t="n">
        <v>4</v>
      </c>
      <c r="P45" s="49" t="n">
        <v>60</v>
      </c>
      <c r="Q45" s="49" t="n">
        <v>5</v>
      </c>
      <c r="R45" s="49" t="n">
        <v>1300</v>
      </c>
      <c r="S45" s="49" t="n">
        <v>0</v>
      </c>
      <c r="T45" s="49" t="n">
        <v>5</v>
      </c>
      <c r="U45" s="49" t="n">
        <v>0</v>
      </c>
      <c r="V45" s="49" t="n">
        <v>0</v>
      </c>
      <c r="W45" s="49" t="n">
        <v>0</v>
      </c>
      <c r="X45" s="49" t="n">
        <v>89.5</v>
      </c>
    </row>
    <row r="46">
      <c r="A46" s="49" t="inlineStr">
        <is>
          <t>Coconut shells</t>
        </is>
      </c>
      <c r="B46" s="49" t="n">
        <v>17.89</v>
      </c>
      <c r="C46" s="49" t="n">
        <v>56.29</v>
      </c>
      <c r="D46" s="49" t="n">
        <v>25.82</v>
      </c>
      <c r="E46" s="49" t="n">
        <v>83.98220245</v>
      </c>
      <c r="F46" s="49" t="n">
        <v>3.56</v>
      </c>
      <c r="G46" s="49" t="n">
        <v>12.46</v>
      </c>
      <c r="H46" s="49" t="n">
        <v>64.23</v>
      </c>
      <c r="I46" s="49" t="n">
        <v>27.61</v>
      </c>
      <c r="J46" s="49" t="n">
        <v>6.89</v>
      </c>
      <c r="K46" s="49" t="n">
        <v>4</v>
      </c>
      <c r="L46" s="49" t="n">
        <v>5</v>
      </c>
      <c r="M46" s="49" t="n">
        <v>1</v>
      </c>
      <c r="N46" s="49" t="n">
        <v>1</v>
      </c>
      <c r="O46" s="49" t="n">
        <v>4</v>
      </c>
      <c r="P46" s="49" t="n">
        <v>120</v>
      </c>
      <c r="Q46" s="49" t="n">
        <v>5</v>
      </c>
      <c r="R46" s="49" t="n">
        <v>1300</v>
      </c>
      <c r="S46" s="49" t="n">
        <v>1</v>
      </c>
      <c r="T46" s="49" t="n">
        <v>4</v>
      </c>
      <c r="U46" s="49" t="n">
        <v>120</v>
      </c>
      <c r="V46" s="49" t="n">
        <v>5</v>
      </c>
      <c r="W46" s="49" t="n">
        <v>300</v>
      </c>
      <c r="X46" s="49" t="n">
        <v>82.78</v>
      </c>
    </row>
    <row r="47">
      <c r="A47" s="49" t="inlineStr">
        <is>
          <t>Coconut shells</t>
        </is>
      </c>
      <c r="B47" s="49" t="n">
        <v>17.89</v>
      </c>
      <c r="C47" s="49" t="n">
        <v>56.29</v>
      </c>
      <c r="D47" s="49" t="n">
        <v>25.82</v>
      </c>
      <c r="E47" s="49" t="n">
        <v>83.98220245</v>
      </c>
      <c r="F47" s="49" t="n">
        <v>3.56</v>
      </c>
      <c r="G47" s="49" t="n">
        <v>12.46</v>
      </c>
      <c r="H47" s="49" t="n">
        <v>64.23</v>
      </c>
      <c r="I47" s="49" t="n">
        <v>27.61</v>
      </c>
      <c r="J47" s="49" t="n">
        <v>6.89</v>
      </c>
      <c r="K47" s="49" t="n">
        <v>4</v>
      </c>
      <c r="L47" s="49" t="n">
        <v>5</v>
      </c>
      <c r="M47" s="49" t="n">
        <v>1</v>
      </c>
      <c r="N47" s="49" t="n">
        <v>1</v>
      </c>
      <c r="O47" s="49" t="n">
        <v>4</v>
      </c>
      <c r="P47" s="49" t="n">
        <v>120</v>
      </c>
      <c r="Q47" s="49" t="n">
        <v>5</v>
      </c>
      <c r="R47" s="49" t="n">
        <v>1300</v>
      </c>
      <c r="S47" s="49" t="n">
        <v>1</v>
      </c>
      <c r="T47" s="49" t="n">
        <v>4</v>
      </c>
      <c r="U47" s="49" t="n">
        <v>120</v>
      </c>
      <c r="V47" s="49" t="n">
        <v>5</v>
      </c>
      <c r="W47" s="49" t="n">
        <v>300</v>
      </c>
      <c r="X47" s="49" t="n">
        <v>93.98</v>
      </c>
    </row>
    <row r="48">
      <c r="A48" s="49" t="inlineStr">
        <is>
          <t>Coffee ground</t>
        </is>
      </c>
      <c r="B48" s="49" t="n">
        <v>12.4</v>
      </c>
      <c r="C48" s="49" t="n">
        <v>39.1</v>
      </c>
      <c r="D48" s="49" t="n">
        <v>23.9</v>
      </c>
      <c r="E48" s="49" t="n">
        <v>83.3</v>
      </c>
      <c r="F48" s="49" t="n">
        <v>15.3</v>
      </c>
      <c r="G48" s="49" t="n">
        <v>1.5</v>
      </c>
      <c r="H48" s="49" t="n">
        <v>54.2</v>
      </c>
      <c r="I48" s="49" t="n">
        <v>33.1</v>
      </c>
      <c r="J48" s="49" t="n">
        <v>7</v>
      </c>
      <c r="K48" s="49" t="n">
        <v>4</v>
      </c>
      <c r="L48" s="49" t="n">
        <v>1</v>
      </c>
      <c r="M48" s="49" t="n">
        <v>1</v>
      </c>
      <c r="N48" s="49" t="n">
        <v>1</v>
      </c>
      <c r="O48" s="49" t="n">
        <v>4</v>
      </c>
      <c r="P48" s="49" t="n">
        <v>120</v>
      </c>
      <c r="Q48" s="49" t="n">
        <v>3</v>
      </c>
      <c r="R48" s="49" t="n">
        <v>400</v>
      </c>
      <c r="S48" s="49" t="n">
        <v>1</v>
      </c>
      <c r="T48" s="49" t="n">
        <v>5</v>
      </c>
      <c r="U48" s="49" t="n">
        <v>120</v>
      </c>
      <c r="V48" s="49" t="n">
        <v>5</v>
      </c>
      <c r="W48" s="49" t="n">
        <v>1000</v>
      </c>
      <c r="X48" s="49" t="n">
        <v>87.26000000000001</v>
      </c>
    </row>
    <row r="49">
      <c r="A49" s="49" t="inlineStr">
        <is>
          <t>Coir</t>
        </is>
      </c>
      <c r="B49" s="49" t="n">
        <v>37.8320012588651</v>
      </c>
      <c r="C49" s="49" t="n">
        <v>18.6544531618108</v>
      </c>
      <c r="D49" s="49" t="n">
        <v>21.654463117422</v>
      </c>
      <c r="E49" s="49" t="n">
        <v>69.2</v>
      </c>
      <c r="F49" s="49" t="n">
        <v>15.1</v>
      </c>
      <c r="G49" s="49" t="n">
        <v>21.6</v>
      </c>
      <c r="H49" s="49" t="n">
        <v>40.8</v>
      </c>
      <c r="I49" s="49" t="n">
        <v>40.3</v>
      </c>
      <c r="J49" s="49" t="n">
        <v>3.5</v>
      </c>
      <c r="K49" s="49" t="n">
        <v>5</v>
      </c>
      <c r="L49" s="49" t="n">
        <v>2</v>
      </c>
      <c r="M49" s="49" t="n">
        <v>0</v>
      </c>
      <c r="N49" s="49" t="n">
        <v>1</v>
      </c>
      <c r="O49" s="49" t="n">
        <v>4</v>
      </c>
      <c r="P49" s="49" t="n">
        <v>190.001420245725</v>
      </c>
      <c r="Q49" s="49" t="n">
        <v>5</v>
      </c>
      <c r="R49" s="49" t="n">
        <v>800</v>
      </c>
      <c r="S49" s="49" t="n">
        <v>0</v>
      </c>
      <c r="T49" s="49" t="n">
        <v>5</v>
      </c>
      <c r="U49" s="49" t="n">
        <v>0</v>
      </c>
      <c r="V49" s="49" t="n">
        <v>0</v>
      </c>
      <c r="W49" s="49" t="n">
        <v>0</v>
      </c>
      <c r="X49" s="49" t="n">
        <v>85.67</v>
      </c>
    </row>
    <row r="50">
      <c r="A50" s="49" t="inlineStr">
        <is>
          <t>Coir</t>
        </is>
      </c>
      <c r="B50" s="49" t="n">
        <v>45.1682295899045</v>
      </c>
      <c r="C50" s="49" t="n">
        <v>6.35520424895822</v>
      </c>
      <c r="D50" s="49" t="n">
        <v>33.4892676475443</v>
      </c>
      <c r="E50" s="49" t="n">
        <v>69.2</v>
      </c>
      <c r="F50" s="49" t="n">
        <v>15.1</v>
      </c>
      <c r="G50" s="49" t="n">
        <v>21.6</v>
      </c>
      <c r="H50" s="49" t="n">
        <v>40.8</v>
      </c>
      <c r="I50" s="49" t="n">
        <v>40.3</v>
      </c>
      <c r="J50" s="49" t="n">
        <v>3.5</v>
      </c>
      <c r="K50" s="49" t="n">
        <v>5</v>
      </c>
      <c r="L50" s="49" t="n">
        <v>2</v>
      </c>
      <c r="M50" s="49" t="n">
        <v>0</v>
      </c>
      <c r="N50" s="49" t="n">
        <v>1</v>
      </c>
      <c r="O50" s="49" t="n">
        <v>4</v>
      </c>
      <c r="P50" s="49" t="n">
        <v>133.023266501902</v>
      </c>
      <c r="Q50" s="49" t="n">
        <v>4.80969465165642</v>
      </c>
      <c r="R50" s="49" t="n">
        <v>1000</v>
      </c>
      <c r="S50" s="49" t="n">
        <v>0</v>
      </c>
      <c r="T50" s="49" t="n">
        <v>5</v>
      </c>
      <c r="U50" s="49" t="n">
        <v>0</v>
      </c>
      <c r="V50" s="49" t="n">
        <v>0</v>
      </c>
      <c r="W50" s="49" t="n">
        <v>0</v>
      </c>
      <c r="X50" s="49" t="n">
        <v>90.31999999999999</v>
      </c>
    </row>
    <row r="51">
      <c r="A51" s="49" t="inlineStr">
        <is>
          <t>Coir</t>
        </is>
      </c>
      <c r="B51" s="49" t="n">
        <v>44.1314472342842</v>
      </c>
      <c r="C51" s="49" t="n">
        <v>8.122166368255639</v>
      </c>
      <c r="D51" s="49" t="n">
        <v>37.5224042477766</v>
      </c>
      <c r="E51" s="49" t="n">
        <v>69.2</v>
      </c>
      <c r="F51" s="49" t="n">
        <v>15.1</v>
      </c>
      <c r="G51" s="49" t="n">
        <v>21.6</v>
      </c>
      <c r="H51" s="49" t="n">
        <v>40.8</v>
      </c>
      <c r="I51" s="49" t="n">
        <v>40.3</v>
      </c>
      <c r="J51" s="49" t="n">
        <v>3.5</v>
      </c>
      <c r="K51" s="49" t="n">
        <v>5</v>
      </c>
      <c r="L51" s="49" t="n">
        <v>2</v>
      </c>
      <c r="M51" s="49" t="n">
        <v>0</v>
      </c>
      <c r="N51" s="49" t="n">
        <v>1</v>
      </c>
      <c r="O51" s="49" t="n">
        <v>4</v>
      </c>
      <c r="P51" s="49" t="n">
        <v>157.495231581647</v>
      </c>
      <c r="Q51" s="49" t="n">
        <v>4.81616626747945</v>
      </c>
      <c r="R51" s="49" t="n">
        <v>1200</v>
      </c>
      <c r="S51" s="49" t="n">
        <v>0</v>
      </c>
      <c r="T51" s="49" t="n">
        <v>5</v>
      </c>
      <c r="U51" s="49" t="n">
        <v>0</v>
      </c>
      <c r="V51" s="49" t="n">
        <v>0</v>
      </c>
      <c r="W51" s="49" t="n">
        <v>0</v>
      </c>
      <c r="X51" s="49" t="n">
        <v>89.94</v>
      </c>
    </row>
    <row r="52">
      <c r="A52" s="49" t="inlineStr">
        <is>
          <t>Cork</t>
        </is>
      </c>
      <c r="B52" s="49" t="n">
        <v>37.3916251053653</v>
      </c>
      <c r="C52" s="49" t="n">
        <v>28.1507666408219</v>
      </c>
      <c r="D52" s="49" t="n">
        <v>24.5725599743952</v>
      </c>
      <c r="E52" s="49" t="n">
        <v>69.2</v>
      </c>
      <c r="F52" s="49" t="n">
        <v>15.1</v>
      </c>
      <c r="G52" s="49" t="n">
        <v>21.6</v>
      </c>
      <c r="H52" s="49" t="n">
        <v>40.8</v>
      </c>
      <c r="I52" s="49" t="n">
        <v>40.3</v>
      </c>
      <c r="J52" s="49" t="n">
        <v>3.5</v>
      </c>
      <c r="K52" s="49" t="n">
        <v>4</v>
      </c>
      <c r="L52" s="49" t="n">
        <v>5</v>
      </c>
      <c r="M52" s="49" t="n">
        <v>0</v>
      </c>
      <c r="N52" s="49" t="n">
        <v>1</v>
      </c>
      <c r="O52" s="49" t="n">
        <v>4</v>
      </c>
      <c r="P52" s="49" t="n">
        <v>120</v>
      </c>
      <c r="Q52" s="49" t="n">
        <v>2</v>
      </c>
      <c r="R52" s="49" t="n">
        <v>1500</v>
      </c>
      <c r="S52" s="49" t="n">
        <v>0</v>
      </c>
      <c r="T52" s="49" t="n">
        <v>5</v>
      </c>
      <c r="U52" s="49" t="n">
        <v>0</v>
      </c>
      <c r="V52" s="49" t="n">
        <v>0</v>
      </c>
      <c r="W52" s="49" t="n">
        <v>0</v>
      </c>
      <c r="X52" s="49" t="n">
        <v>94.38</v>
      </c>
    </row>
    <row r="53">
      <c r="A53" s="49" t="inlineStr">
        <is>
          <t>Corn silk</t>
        </is>
      </c>
      <c r="B53" s="49" t="n">
        <v>33.803201995282</v>
      </c>
      <c r="C53" s="49" t="n">
        <v>15.3692975228009</v>
      </c>
      <c r="D53" s="49" t="n">
        <v>25.4673979179847</v>
      </c>
      <c r="E53" s="49" t="n">
        <v>72.2</v>
      </c>
      <c r="F53" s="49" t="n">
        <v>5.4</v>
      </c>
      <c r="G53" s="49" t="n">
        <v>22.4</v>
      </c>
      <c r="H53" s="49" t="n">
        <v>45.86</v>
      </c>
      <c r="I53" s="49" t="n">
        <v>46.43</v>
      </c>
      <c r="J53" s="49" t="n">
        <v>5.9698357597328</v>
      </c>
      <c r="K53" s="49" t="n">
        <v>4</v>
      </c>
      <c r="L53" s="49" t="n">
        <v>3</v>
      </c>
      <c r="M53" s="49" t="n">
        <v>0</v>
      </c>
      <c r="N53" s="49" t="n">
        <v>1</v>
      </c>
      <c r="O53" s="49" t="n">
        <v>4</v>
      </c>
      <c r="P53" s="49" t="n">
        <v>60</v>
      </c>
      <c r="Q53" s="49" t="n">
        <v>5</v>
      </c>
      <c r="R53" s="49" t="n">
        <v>1300</v>
      </c>
      <c r="S53" s="49" t="n">
        <v>0</v>
      </c>
      <c r="T53" s="49" t="n">
        <v>5</v>
      </c>
      <c r="U53" s="49" t="n">
        <v>0</v>
      </c>
      <c r="V53" s="49" t="n">
        <v>0</v>
      </c>
      <c r="W53" s="49" t="n">
        <v>0</v>
      </c>
      <c r="X53" s="49" t="n">
        <v>90.2</v>
      </c>
    </row>
    <row r="54">
      <c r="A54" s="49" t="inlineStr">
        <is>
          <t>Corn silk</t>
        </is>
      </c>
      <c r="B54" s="49" t="n">
        <v>33.9687272495748</v>
      </c>
      <c r="C54" s="49" t="n">
        <v>15.2053290410893</v>
      </c>
      <c r="D54" s="49" t="n">
        <v>25.3202733129013</v>
      </c>
      <c r="E54" s="49" t="n">
        <v>72.2</v>
      </c>
      <c r="F54" s="49" t="n">
        <v>5.4</v>
      </c>
      <c r="G54" s="49" t="n">
        <v>22.4</v>
      </c>
      <c r="H54" s="49" t="n">
        <v>45.86</v>
      </c>
      <c r="I54" s="49" t="n">
        <v>46.43</v>
      </c>
      <c r="J54" s="49" t="n">
        <v>5.96696048646298</v>
      </c>
      <c r="K54" s="49" t="n">
        <v>4</v>
      </c>
      <c r="L54" s="49" t="n">
        <v>1</v>
      </c>
      <c r="M54" s="49" t="n">
        <v>0</v>
      </c>
      <c r="N54" s="49" t="n">
        <v>1</v>
      </c>
      <c r="O54" s="49" t="n">
        <v>4</v>
      </c>
      <c r="P54" s="49" t="n">
        <v>60</v>
      </c>
      <c r="Q54" s="49" t="n">
        <v>5</v>
      </c>
      <c r="R54" s="49" t="n">
        <v>1300</v>
      </c>
      <c r="S54" s="49" t="n">
        <v>0</v>
      </c>
      <c r="T54" s="49" t="n">
        <v>5</v>
      </c>
      <c r="U54" s="49" t="n">
        <v>0</v>
      </c>
      <c r="V54" s="49" t="n">
        <v>0</v>
      </c>
      <c r="W54" s="49" t="n">
        <v>0</v>
      </c>
      <c r="X54" s="49" t="n">
        <v>90.2</v>
      </c>
    </row>
    <row r="55">
      <c r="A55" s="49" t="inlineStr">
        <is>
          <t>Corn Stalks</t>
        </is>
      </c>
      <c r="B55" s="49" t="n">
        <v>31.31</v>
      </c>
      <c r="C55" s="49" t="n">
        <v>40.13</v>
      </c>
      <c r="D55" s="49" t="n">
        <v>4.74</v>
      </c>
      <c r="E55" s="49" t="n">
        <v>77.48</v>
      </c>
      <c r="F55" s="49" t="n">
        <v>7.92</v>
      </c>
      <c r="G55" s="49" t="n">
        <v>6.14</v>
      </c>
      <c r="H55" s="49" t="n">
        <v>44.17</v>
      </c>
      <c r="I55" s="49" t="n">
        <v>49.07</v>
      </c>
      <c r="J55" s="49" t="n">
        <v>5.65</v>
      </c>
      <c r="K55" s="49" t="n">
        <v>4</v>
      </c>
      <c r="L55" s="49" t="n">
        <v>5</v>
      </c>
      <c r="M55" s="49" t="n">
        <v>0</v>
      </c>
      <c r="N55" s="49" t="n">
        <v>1</v>
      </c>
      <c r="O55" s="49" t="n">
        <v>4</v>
      </c>
      <c r="P55" s="49" t="n">
        <v>120</v>
      </c>
      <c r="Q55" s="49" t="n">
        <v>3.63469846948472</v>
      </c>
      <c r="R55" s="49" t="n">
        <v>1200</v>
      </c>
      <c r="S55" s="49" t="n">
        <v>0</v>
      </c>
      <c r="T55" s="49" t="n">
        <v>5</v>
      </c>
      <c r="U55" s="49" t="n">
        <v>0</v>
      </c>
      <c r="V55" s="49" t="n">
        <v>0</v>
      </c>
      <c r="W55" s="49" t="n">
        <v>0</v>
      </c>
      <c r="X55" s="49" t="n">
        <v>70</v>
      </c>
    </row>
    <row r="56">
      <c r="A56" s="49" t="inlineStr">
        <is>
          <t>Corn Stalks</t>
        </is>
      </c>
      <c r="B56" s="49" t="n">
        <v>31.31</v>
      </c>
      <c r="C56" s="49" t="n">
        <v>40.13</v>
      </c>
      <c r="D56" s="49" t="n">
        <v>4.74</v>
      </c>
      <c r="E56" s="49" t="n">
        <v>77.48</v>
      </c>
      <c r="F56" s="49" t="n">
        <v>7.92</v>
      </c>
      <c r="G56" s="49" t="n">
        <v>6.14</v>
      </c>
      <c r="H56" s="49" t="n">
        <v>44.17</v>
      </c>
      <c r="I56" s="49" t="n">
        <v>49.07</v>
      </c>
      <c r="J56" s="49" t="n">
        <v>5.65</v>
      </c>
      <c r="K56" s="49" t="n">
        <v>4</v>
      </c>
      <c r="L56" s="49" t="n">
        <v>5</v>
      </c>
      <c r="M56" s="49" t="n">
        <v>0</v>
      </c>
      <c r="N56" s="49" t="n">
        <v>1</v>
      </c>
      <c r="O56" s="49" t="n">
        <v>4</v>
      </c>
      <c r="P56" s="49" t="n">
        <v>120</v>
      </c>
      <c r="Q56" s="49" t="n">
        <v>3.63541400515183</v>
      </c>
      <c r="R56" s="49" t="n">
        <v>1200</v>
      </c>
      <c r="S56" s="49" t="n">
        <v>0</v>
      </c>
      <c r="T56" s="49" t="n">
        <v>5</v>
      </c>
      <c r="U56" s="49" t="n">
        <v>0</v>
      </c>
      <c r="V56" s="49" t="n">
        <v>0</v>
      </c>
      <c r="W56" s="49" t="n">
        <v>0</v>
      </c>
      <c r="X56" s="49" t="n">
        <v>73.12</v>
      </c>
    </row>
    <row r="57">
      <c r="A57" s="49" t="inlineStr">
        <is>
          <t>Corn straw pith</t>
        </is>
      </c>
      <c r="B57" s="49" t="n">
        <v>57.6</v>
      </c>
      <c r="C57" s="49" t="n">
        <v>21.3</v>
      </c>
      <c r="D57" s="49" t="n">
        <v>6.1</v>
      </c>
      <c r="E57" s="49" t="n">
        <v>80.56999999999999</v>
      </c>
      <c r="F57" s="49" t="n">
        <v>5.49</v>
      </c>
      <c r="G57" s="49" t="n">
        <v>13.89</v>
      </c>
      <c r="H57" s="49" t="n">
        <v>44.69</v>
      </c>
      <c r="I57" s="49" t="n">
        <v>49.1</v>
      </c>
      <c r="J57" s="49" t="n">
        <v>5.93</v>
      </c>
      <c r="K57" s="49" t="n">
        <v>4</v>
      </c>
      <c r="L57" s="49" t="n">
        <v>5</v>
      </c>
      <c r="M57" s="49" t="n">
        <v>0</v>
      </c>
      <c r="N57" s="49" t="n">
        <v>1</v>
      </c>
      <c r="O57" s="49" t="n">
        <v>4</v>
      </c>
      <c r="P57" s="49" t="n">
        <v>120</v>
      </c>
      <c r="Q57" s="49" t="n">
        <v>3.69272856957501</v>
      </c>
      <c r="R57" s="49" t="n">
        <v>1200</v>
      </c>
      <c r="S57" s="49" t="n">
        <v>0</v>
      </c>
      <c r="T57" s="49" t="n">
        <v>5</v>
      </c>
      <c r="U57" s="49" t="n">
        <v>0</v>
      </c>
      <c r="V57" s="49" t="n">
        <v>0</v>
      </c>
      <c r="W57" s="49" t="n">
        <v>0</v>
      </c>
      <c r="X57" s="49" t="n">
        <v>87.17</v>
      </c>
    </row>
    <row r="58">
      <c r="A58" s="49" t="inlineStr">
        <is>
          <t>Corn straw pith</t>
        </is>
      </c>
      <c r="B58" s="49" t="n">
        <v>57.6</v>
      </c>
      <c r="C58" s="49" t="n">
        <v>21.3</v>
      </c>
      <c r="D58" s="49" t="n">
        <v>6.1</v>
      </c>
      <c r="E58" s="49" t="n">
        <v>80.56999999999999</v>
      </c>
      <c r="F58" s="49" t="n">
        <v>5.49</v>
      </c>
      <c r="G58" s="49" t="n">
        <v>13.89</v>
      </c>
      <c r="H58" s="49" t="n">
        <v>44.69</v>
      </c>
      <c r="I58" s="49" t="n">
        <v>49.1</v>
      </c>
      <c r="J58" s="49" t="n">
        <v>5.93</v>
      </c>
      <c r="K58" s="49" t="n">
        <v>4</v>
      </c>
      <c r="L58" s="49" t="n">
        <v>5</v>
      </c>
      <c r="M58" s="49" t="n">
        <v>0</v>
      </c>
      <c r="N58" s="49" t="n">
        <v>1</v>
      </c>
      <c r="O58" s="49" t="n">
        <v>4</v>
      </c>
      <c r="P58" s="49" t="n">
        <v>120</v>
      </c>
      <c r="Q58" s="49" t="n">
        <v>3.69326272120316</v>
      </c>
      <c r="R58" s="49" t="n">
        <v>1400</v>
      </c>
      <c r="S58" s="49" t="n">
        <v>0</v>
      </c>
      <c r="T58" s="49" t="n">
        <v>5</v>
      </c>
      <c r="U58" s="49" t="n">
        <v>0</v>
      </c>
      <c r="V58" s="49" t="n">
        <v>0</v>
      </c>
      <c r="W58" s="49" t="n">
        <v>0</v>
      </c>
      <c r="X58" s="49" t="n">
        <v>88.5</v>
      </c>
    </row>
    <row r="59">
      <c r="A59" s="49" t="inlineStr">
        <is>
          <t>Corn straw pith</t>
        </is>
      </c>
      <c r="B59" s="49" t="n">
        <v>57.6</v>
      </c>
      <c r="C59" s="49" t="n">
        <v>21.3</v>
      </c>
      <c r="D59" s="49" t="n">
        <v>6.1</v>
      </c>
      <c r="E59" s="49" t="n">
        <v>80.56999999999999</v>
      </c>
      <c r="F59" s="49" t="n">
        <v>5.49</v>
      </c>
      <c r="G59" s="49" t="n">
        <v>13.89</v>
      </c>
      <c r="H59" s="49" t="n">
        <v>44.69</v>
      </c>
      <c r="I59" s="49" t="n">
        <v>49.1</v>
      </c>
      <c r="J59" s="49" t="n">
        <v>5.93</v>
      </c>
      <c r="K59" s="49" t="n">
        <v>4</v>
      </c>
      <c r="L59" s="49" t="n">
        <v>5</v>
      </c>
      <c r="M59" s="49" t="n">
        <v>0</v>
      </c>
      <c r="N59" s="49" t="n">
        <v>1</v>
      </c>
      <c r="O59" s="49" t="n">
        <v>4</v>
      </c>
      <c r="P59" s="49" t="n">
        <v>120</v>
      </c>
      <c r="Q59" s="49" t="n">
        <v>4.52879663642656</v>
      </c>
      <c r="R59" s="49" t="n">
        <v>1600</v>
      </c>
      <c r="S59" s="49" t="n">
        <v>0</v>
      </c>
      <c r="T59" s="49" t="n">
        <v>5</v>
      </c>
      <c r="U59" s="49" t="n">
        <v>0</v>
      </c>
      <c r="V59" s="49" t="n">
        <v>0</v>
      </c>
      <c r="W59" s="49" t="n">
        <v>0</v>
      </c>
      <c r="X59" s="49" t="n">
        <v>92.31</v>
      </c>
    </row>
    <row r="60">
      <c r="A60" s="49" t="inlineStr">
        <is>
          <t>Corncob</t>
        </is>
      </c>
      <c r="B60" s="49" t="n">
        <v>45.88</v>
      </c>
      <c r="C60" s="49" t="n">
        <v>39.4</v>
      </c>
      <c r="D60" s="49" t="n">
        <v>11.32</v>
      </c>
      <c r="E60" s="49" t="n">
        <v>87.76000000000001</v>
      </c>
      <c r="F60" s="49" t="n">
        <v>1.05</v>
      </c>
      <c r="G60" s="49" t="n">
        <v>11.19</v>
      </c>
      <c r="H60" s="49" t="n">
        <v>43.81</v>
      </c>
      <c r="I60" s="49" t="n">
        <v>48.19</v>
      </c>
      <c r="J60" s="49" t="n">
        <v>6.54</v>
      </c>
      <c r="K60" s="49" t="n">
        <v>1</v>
      </c>
      <c r="L60" s="49" t="n">
        <v>5</v>
      </c>
      <c r="M60" s="49" t="n">
        <v>0</v>
      </c>
      <c r="N60" s="49" t="n">
        <v>1</v>
      </c>
      <c r="O60" s="49" t="n">
        <v>4</v>
      </c>
      <c r="P60" s="49" t="n">
        <v>120</v>
      </c>
      <c r="Q60" s="49" t="n">
        <v>4</v>
      </c>
      <c r="R60" s="49" t="n">
        <v>1300</v>
      </c>
      <c r="S60" s="49" t="n">
        <v>0</v>
      </c>
      <c r="T60" s="49" t="n">
        <v>5</v>
      </c>
      <c r="U60" s="49" t="n">
        <v>0</v>
      </c>
      <c r="V60" s="49" t="n">
        <v>0</v>
      </c>
      <c r="W60" s="49" t="n">
        <v>0</v>
      </c>
      <c r="X60" s="49" t="n">
        <v>93.3</v>
      </c>
    </row>
    <row r="61">
      <c r="A61" s="49" t="inlineStr">
        <is>
          <t>Corncob</t>
        </is>
      </c>
      <c r="B61" s="49" t="n">
        <v>45.88</v>
      </c>
      <c r="C61" s="49" t="n">
        <v>39.4</v>
      </c>
      <c r="D61" s="49" t="n">
        <v>11.32</v>
      </c>
      <c r="E61" s="49" t="n">
        <v>87.76000000000001</v>
      </c>
      <c r="F61" s="49" t="n">
        <v>1.05</v>
      </c>
      <c r="G61" s="49" t="n">
        <v>11.19</v>
      </c>
      <c r="H61" s="49" t="n">
        <v>43.81</v>
      </c>
      <c r="I61" s="49" t="n">
        <v>48.19</v>
      </c>
      <c r="J61" s="49" t="n">
        <v>6.54</v>
      </c>
      <c r="K61" s="49" t="n">
        <v>4</v>
      </c>
      <c r="L61" s="49" t="n">
        <v>1</v>
      </c>
      <c r="M61" s="49" t="n">
        <v>1</v>
      </c>
      <c r="N61" s="49" t="n">
        <v>1</v>
      </c>
      <c r="O61" s="49" t="n">
        <v>4</v>
      </c>
      <c r="P61" s="49" t="n">
        <v>120</v>
      </c>
      <c r="Q61" s="49" t="n">
        <v>3</v>
      </c>
      <c r="R61" s="49" t="n">
        <v>500</v>
      </c>
      <c r="S61" s="49" t="n">
        <v>1</v>
      </c>
      <c r="T61" s="49" t="n">
        <v>5</v>
      </c>
      <c r="U61" s="49" t="n">
        <v>120</v>
      </c>
      <c r="V61" s="49" t="n">
        <v>5</v>
      </c>
      <c r="W61" s="49" t="n">
        <v>1000</v>
      </c>
      <c r="X61" s="49" t="n">
        <v>92.37</v>
      </c>
    </row>
    <row r="62">
      <c r="A62" s="49" t="inlineStr">
        <is>
          <t>Corncob</t>
        </is>
      </c>
      <c r="B62" s="49" t="n">
        <v>45.88</v>
      </c>
      <c r="C62" s="49" t="n">
        <v>39.4</v>
      </c>
      <c r="D62" s="49" t="n">
        <v>11.32</v>
      </c>
      <c r="E62" s="49" t="n">
        <v>87.76000000000001</v>
      </c>
      <c r="F62" s="49" t="n">
        <v>1.05</v>
      </c>
      <c r="G62" s="49" t="n">
        <v>11.19</v>
      </c>
      <c r="H62" s="49" t="n">
        <v>43.81</v>
      </c>
      <c r="I62" s="49" t="n">
        <v>48.19</v>
      </c>
      <c r="J62" s="49" t="n">
        <v>6.54</v>
      </c>
      <c r="K62" s="49" t="n">
        <v>4</v>
      </c>
      <c r="L62" s="49" t="n">
        <v>1</v>
      </c>
      <c r="M62" s="49" t="n">
        <v>1</v>
      </c>
      <c r="N62" s="49" t="n">
        <v>1</v>
      </c>
      <c r="O62" s="49" t="n">
        <v>4</v>
      </c>
      <c r="P62" s="49" t="n">
        <v>120</v>
      </c>
      <c r="Q62" s="49" t="n">
        <v>3</v>
      </c>
      <c r="R62" s="49" t="n">
        <v>500</v>
      </c>
      <c r="S62" s="49" t="n">
        <v>1</v>
      </c>
      <c r="T62" s="49" t="n">
        <v>5</v>
      </c>
      <c r="U62" s="49" t="n">
        <v>120</v>
      </c>
      <c r="V62" s="49" t="n">
        <v>5</v>
      </c>
      <c r="W62" s="49" t="n">
        <v>1200</v>
      </c>
      <c r="X62" s="49" t="n">
        <v>93.94</v>
      </c>
    </row>
    <row r="63">
      <c r="A63" s="49" t="inlineStr">
        <is>
          <t>Corncob</t>
        </is>
      </c>
      <c r="B63" s="49" t="n">
        <v>45.88</v>
      </c>
      <c r="C63" s="49" t="n">
        <v>39.4</v>
      </c>
      <c r="D63" s="49" t="n">
        <v>11.32</v>
      </c>
      <c r="E63" s="49" t="n">
        <v>87.76000000000001</v>
      </c>
      <c r="F63" s="49" t="n">
        <v>1.05</v>
      </c>
      <c r="G63" s="49" t="n">
        <v>11.19</v>
      </c>
      <c r="H63" s="49" t="n">
        <v>43.81</v>
      </c>
      <c r="I63" s="49" t="n">
        <v>48.19</v>
      </c>
      <c r="J63" s="49" t="n">
        <v>6.54</v>
      </c>
      <c r="K63" s="49" t="n">
        <v>4</v>
      </c>
      <c r="L63" s="49" t="n">
        <v>1</v>
      </c>
      <c r="M63" s="49" t="n">
        <v>1</v>
      </c>
      <c r="N63" s="49" t="n">
        <v>1</v>
      </c>
      <c r="O63" s="49" t="n">
        <v>4</v>
      </c>
      <c r="P63" s="49" t="n">
        <v>120</v>
      </c>
      <c r="Q63" s="49" t="n">
        <v>3</v>
      </c>
      <c r="R63" s="49" t="n">
        <v>500</v>
      </c>
      <c r="S63" s="49" t="n">
        <v>1</v>
      </c>
      <c r="T63" s="49" t="n">
        <v>5</v>
      </c>
      <c r="U63" s="49" t="n">
        <v>120</v>
      </c>
      <c r="V63" s="49" t="n">
        <v>5</v>
      </c>
      <c r="W63" s="49" t="n">
        <v>1400</v>
      </c>
      <c r="X63" s="49" t="n">
        <v>95.45</v>
      </c>
    </row>
    <row r="64">
      <c r="A64" s="49" t="inlineStr">
        <is>
          <t>Corncob</t>
        </is>
      </c>
      <c r="B64" s="49" t="n">
        <v>45.88</v>
      </c>
      <c r="C64" s="49" t="n">
        <v>39.4</v>
      </c>
      <c r="D64" s="49" t="n">
        <v>11.32</v>
      </c>
      <c r="E64" s="49" t="n">
        <v>87.76000000000001</v>
      </c>
      <c r="F64" s="49" t="n">
        <v>1.05</v>
      </c>
      <c r="G64" s="49" t="n">
        <v>11.19</v>
      </c>
      <c r="H64" s="49" t="n">
        <v>43.81</v>
      </c>
      <c r="I64" s="49" t="n">
        <v>48.19</v>
      </c>
      <c r="J64" s="49" t="n">
        <v>6.54</v>
      </c>
      <c r="K64" s="49" t="n">
        <v>4</v>
      </c>
      <c r="L64" s="49" t="n">
        <v>1</v>
      </c>
      <c r="M64" s="49" t="n">
        <v>1</v>
      </c>
      <c r="N64" s="49" t="n">
        <v>1</v>
      </c>
      <c r="O64" s="49" t="n">
        <v>4</v>
      </c>
      <c r="P64" s="49" t="n">
        <v>120</v>
      </c>
      <c r="Q64" s="49" t="n">
        <v>3</v>
      </c>
      <c r="R64" s="49" t="n">
        <v>500</v>
      </c>
      <c r="S64" s="49" t="n">
        <v>1</v>
      </c>
      <c r="T64" s="49" t="n">
        <v>5</v>
      </c>
      <c r="U64" s="49" t="n">
        <v>120</v>
      </c>
      <c r="V64" s="49" t="n">
        <v>5</v>
      </c>
      <c r="W64" s="49" t="n">
        <v>1600</v>
      </c>
      <c r="X64" s="49" t="n">
        <v>94.89</v>
      </c>
    </row>
    <row r="65">
      <c r="A65" s="49" t="inlineStr">
        <is>
          <t>Corncob</t>
        </is>
      </c>
      <c r="B65" s="49" t="n">
        <v>45.88</v>
      </c>
      <c r="C65" s="49" t="n">
        <v>39.4</v>
      </c>
      <c r="D65" s="49" t="n">
        <v>11.32</v>
      </c>
      <c r="E65" s="49" t="n">
        <v>87.76000000000001</v>
      </c>
      <c r="F65" s="49" t="n">
        <v>1.05</v>
      </c>
      <c r="G65" s="49" t="n">
        <v>11.19</v>
      </c>
      <c r="H65" s="49" t="n">
        <v>43.81</v>
      </c>
      <c r="I65" s="49" t="n">
        <v>48.19</v>
      </c>
      <c r="J65" s="49" t="n">
        <v>6.54</v>
      </c>
      <c r="K65" s="49" t="n">
        <v>1</v>
      </c>
      <c r="L65" s="49" t="n">
        <v>5</v>
      </c>
      <c r="M65" s="49" t="n">
        <v>1</v>
      </c>
      <c r="N65" s="49" t="n">
        <v>1</v>
      </c>
      <c r="O65" s="49" t="n">
        <v>4</v>
      </c>
      <c r="P65" s="49" t="n">
        <v>120</v>
      </c>
      <c r="Q65" s="49" t="n">
        <v>4</v>
      </c>
      <c r="R65" s="49" t="n">
        <v>400</v>
      </c>
      <c r="S65" s="49" t="n">
        <v>1</v>
      </c>
      <c r="T65" s="49" t="n">
        <v>5</v>
      </c>
      <c r="U65" s="49" t="n">
        <v>120</v>
      </c>
      <c r="V65" s="49" t="n">
        <v>5</v>
      </c>
      <c r="W65" s="49" t="n">
        <v>1300</v>
      </c>
      <c r="X65" s="49" t="n">
        <v>93.8</v>
      </c>
    </row>
    <row r="66">
      <c r="A66" s="49" t="inlineStr">
        <is>
          <t>Corncob</t>
        </is>
      </c>
      <c r="B66" s="49" t="n">
        <v>45.88</v>
      </c>
      <c r="C66" s="49" t="n">
        <v>39.4</v>
      </c>
      <c r="D66" s="49" t="n">
        <v>11.32</v>
      </c>
      <c r="E66" s="49" t="n">
        <v>87.76000000000001</v>
      </c>
      <c r="F66" s="49" t="n">
        <v>1.05</v>
      </c>
      <c r="G66" s="49" t="n">
        <v>11.19</v>
      </c>
      <c r="H66" s="49" t="n">
        <v>43.81</v>
      </c>
      <c r="I66" s="49" t="n">
        <v>48.19</v>
      </c>
      <c r="J66" s="49" t="n">
        <v>6.54</v>
      </c>
      <c r="K66" s="49" t="n">
        <v>1</v>
      </c>
      <c r="L66" s="49" t="n">
        <v>5</v>
      </c>
      <c r="M66" s="49" t="n">
        <v>1</v>
      </c>
      <c r="N66" s="49" t="n">
        <v>1</v>
      </c>
      <c r="O66" s="49" t="n">
        <v>4</v>
      </c>
      <c r="P66" s="49" t="n">
        <v>120</v>
      </c>
      <c r="Q66" s="49" t="n">
        <v>4</v>
      </c>
      <c r="R66" s="49" t="n">
        <v>500</v>
      </c>
      <c r="S66" s="49" t="n">
        <v>1</v>
      </c>
      <c r="T66" s="49" t="n">
        <v>5</v>
      </c>
      <c r="U66" s="49" t="n">
        <v>120</v>
      </c>
      <c r="V66" s="49" t="n">
        <v>5</v>
      </c>
      <c r="W66" s="49" t="n">
        <v>1300</v>
      </c>
      <c r="X66" s="49" t="n">
        <v>95.3</v>
      </c>
    </row>
    <row r="67">
      <c r="A67" s="49" t="inlineStr">
        <is>
          <t>Corncob</t>
        </is>
      </c>
      <c r="B67" s="49" t="n">
        <v>45.88</v>
      </c>
      <c r="C67" s="49" t="n">
        <v>39.4</v>
      </c>
      <c r="D67" s="49" t="n">
        <v>11.32</v>
      </c>
      <c r="E67" s="49" t="n">
        <v>87.76000000000001</v>
      </c>
      <c r="F67" s="49" t="n">
        <v>1.05</v>
      </c>
      <c r="G67" s="49" t="n">
        <v>11.19</v>
      </c>
      <c r="H67" s="49" t="n">
        <v>43.81</v>
      </c>
      <c r="I67" s="49" t="n">
        <v>48.19</v>
      </c>
      <c r="J67" s="49" t="n">
        <v>6.54</v>
      </c>
      <c r="K67" s="49" t="n">
        <v>1</v>
      </c>
      <c r="L67" s="49" t="n">
        <v>5</v>
      </c>
      <c r="M67" s="49" t="n">
        <v>1</v>
      </c>
      <c r="N67" s="49" t="n">
        <v>1</v>
      </c>
      <c r="O67" s="49" t="n">
        <v>4</v>
      </c>
      <c r="P67" s="49" t="n">
        <v>120</v>
      </c>
      <c r="Q67" s="49" t="n">
        <v>4</v>
      </c>
      <c r="R67" s="49" t="n">
        <v>600</v>
      </c>
      <c r="S67" s="49" t="n">
        <v>1</v>
      </c>
      <c r="T67" s="49" t="n">
        <v>5</v>
      </c>
      <c r="U67" s="49" t="n">
        <v>120</v>
      </c>
      <c r="V67" s="49" t="n">
        <v>5</v>
      </c>
      <c r="W67" s="49" t="n">
        <v>1300</v>
      </c>
      <c r="X67" s="49" t="n">
        <v>93.90000000000001</v>
      </c>
    </row>
    <row r="68">
      <c r="A68" s="49" t="inlineStr">
        <is>
          <t>Corncob</t>
        </is>
      </c>
      <c r="B68" s="49" t="n">
        <v>45.88</v>
      </c>
      <c r="C68" s="49" t="n">
        <v>39.4</v>
      </c>
      <c r="D68" s="49" t="n">
        <v>11.32</v>
      </c>
      <c r="E68" s="49" t="n">
        <v>87.76000000000001</v>
      </c>
      <c r="F68" s="49" t="n">
        <v>1.05</v>
      </c>
      <c r="G68" s="49" t="n">
        <v>11.19</v>
      </c>
      <c r="H68" s="49" t="n">
        <v>43.81</v>
      </c>
      <c r="I68" s="49" t="n">
        <v>48.19</v>
      </c>
      <c r="J68" s="49" t="n">
        <v>6.54</v>
      </c>
      <c r="K68" s="49" t="n">
        <v>4</v>
      </c>
      <c r="L68" s="49" t="n">
        <v>1</v>
      </c>
      <c r="M68" s="49" t="n">
        <v>1</v>
      </c>
      <c r="N68" s="49" t="n">
        <v>1</v>
      </c>
      <c r="O68" s="49" t="n">
        <v>4</v>
      </c>
      <c r="P68" s="49" t="n">
        <v>120</v>
      </c>
      <c r="Q68" s="49" t="n">
        <v>5</v>
      </c>
      <c r="R68" s="49" t="n">
        <v>500</v>
      </c>
      <c r="S68" s="49" t="n">
        <v>1</v>
      </c>
      <c r="T68" s="49" t="n">
        <v>5</v>
      </c>
      <c r="U68" s="49" t="n">
        <v>120</v>
      </c>
      <c r="V68" s="49" t="n">
        <v>5</v>
      </c>
      <c r="W68" s="49" t="n">
        <v>1000</v>
      </c>
      <c r="X68" s="49" t="n">
        <v>90.33</v>
      </c>
    </row>
    <row r="69">
      <c r="A69" s="49" t="inlineStr">
        <is>
          <t>Corncob</t>
        </is>
      </c>
      <c r="B69" s="49" t="n">
        <v>45.88</v>
      </c>
      <c r="C69" s="49" t="n">
        <v>39.4</v>
      </c>
      <c r="D69" s="49" t="n">
        <v>11.32</v>
      </c>
      <c r="E69" s="49" t="n">
        <v>87.76000000000001</v>
      </c>
      <c r="F69" s="49" t="n">
        <v>1.05</v>
      </c>
      <c r="G69" s="49" t="n">
        <v>11.19</v>
      </c>
      <c r="H69" s="49" t="n">
        <v>43.81</v>
      </c>
      <c r="I69" s="49" t="n">
        <v>48.19</v>
      </c>
      <c r="J69" s="49" t="n">
        <v>6.54</v>
      </c>
      <c r="K69" s="49" t="n">
        <v>4</v>
      </c>
      <c r="L69" s="49" t="n">
        <v>1</v>
      </c>
      <c r="M69" s="49" t="n">
        <v>1</v>
      </c>
      <c r="N69" s="49" t="n">
        <v>1</v>
      </c>
      <c r="O69" s="49" t="n">
        <v>4</v>
      </c>
      <c r="P69" s="49" t="n">
        <v>120</v>
      </c>
      <c r="Q69" s="49" t="n">
        <v>5</v>
      </c>
      <c r="R69" s="49" t="n">
        <v>500</v>
      </c>
      <c r="S69" s="49" t="n">
        <v>1</v>
      </c>
      <c r="T69" s="49" t="n">
        <v>5</v>
      </c>
      <c r="U69" s="49" t="n">
        <v>120</v>
      </c>
      <c r="V69" s="49" t="n">
        <v>5</v>
      </c>
      <c r="W69" s="49" t="n">
        <v>1200</v>
      </c>
      <c r="X69" s="49" t="n">
        <v>91.26000000000001</v>
      </c>
    </row>
    <row r="70">
      <c r="A70" s="49" t="inlineStr">
        <is>
          <t>Corncob</t>
        </is>
      </c>
      <c r="B70" s="49" t="n">
        <v>45.88</v>
      </c>
      <c r="C70" s="49" t="n">
        <v>39.4</v>
      </c>
      <c r="D70" s="49" t="n">
        <v>11.32</v>
      </c>
      <c r="E70" s="49" t="n">
        <v>87.76000000000001</v>
      </c>
      <c r="F70" s="49" t="n">
        <v>1.05</v>
      </c>
      <c r="G70" s="49" t="n">
        <v>11.19</v>
      </c>
      <c r="H70" s="49" t="n">
        <v>43.81</v>
      </c>
      <c r="I70" s="49" t="n">
        <v>48.19</v>
      </c>
      <c r="J70" s="49" t="n">
        <v>6.54</v>
      </c>
      <c r="K70" s="49" t="n">
        <v>4</v>
      </c>
      <c r="L70" s="49" t="n">
        <v>1</v>
      </c>
      <c r="M70" s="49" t="n">
        <v>1</v>
      </c>
      <c r="N70" s="49" t="n">
        <v>1</v>
      </c>
      <c r="O70" s="49" t="n">
        <v>4</v>
      </c>
      <c r="P70" s="49" t="n">
        <v>120</v>
      </c>
      <c r="Q70" s="49" t="n">
        <v>5</v>
      </c>
      <c r="R70" s="49" t="n">
        <v>500</v>
      </c>
      <c r="S70" s="49" t="n">
        <v>1</v>
      </c>
      <c r="T70" s="49" t="n">
        <v>5</v>
      </c>
      <c r="U70" s="49" t="n">
        <v>120</v>
      </c>
      <c r="V70" s="49" t="n">
        <v>5</v>
      </c>
      <c r="W70" s="49" t="n">
        <v>1400</v>
      </c>
      <c r="X70" s="49" t="n">
        <v>92.87</v>
      </c>
    </row>
    <row r="71">
      <c r="A71" s="49" t="inlineStr">
        <is>
          <t>Corncob</t>
        </is>
      </c>
      <c r="B71" s="49" t="n">
        <v>45.88</v>
      </c>
      <c r="C71" s="49" t="n">
        <v>39.4</v>
      </c>
      <c r="D71" s="49" t="n">
        <v>11.32</v>
      </c>
      <c r="E71" s="49" t="n">
        <v>87.76000000000001</v>
      </c>
      <c r="F71" s="49" t="n">
        <v>1.05</v>
      </c>
      <c r="G71" s="49" t="n">
        <v>11.19</v>
      </c>
      <c r="H71" s="49" t="n">
        <v>43.81</v>
      </c>
      <c r="I71" s="49" t="n">
        <v>48.19</v>
      </c>
      <c r="J71" s="49" t="n">
        <v>6.54</v>
      </c>
      <c r="K71" s="49" t="n">
        <v>4</v>
      </c>
      <c r="L71" s="49" t="n">
        <v>1</v>
      </c>
      <c r="M71" s="49" t="n">
        <v>1</v>
      </c>
      <c r="N71" s="49" t="n">
        <v>1</v>
      </c>
      <c r="O71" s="49" t="n">
        <v>4</v>
      </c>
      <c r="P71" s="49" t="n">
        <v>120</v>
      </c>
      <c r="Q71" s="49" t="n">
        <v>5</v>
      </c>
      <c r="R71" s="49" t="n">
        <v>500</v>
      </c>
      <c r="S71" s="49" t="n">
        <v>1</v>
      </c>
      <c r="T71" s="49" t="n">
        <v>5</v>
      </c>
      <c r="U71" s="49" t="n">
        <v>120</v>
      </c>
      <c r="V71" s="49" t="n">
        <v>5</v>
      </c>
      <c r="W71" s="49" t="n">
        <v>1600</v>
      </c>
      <c r="X71" s="49" t="n">
        <v>94.5</v>
      </c>
    </row>
    <row r="72">
      <c r="A72" s="49" t="inlineStr">
        <is>
          <t>Cucumber stem</t>
        </is>
      </c>
      <c r="B72" s="49" t="n">
        <v>16.13</v>
      </c>
      <c r="C72" s="49" t="n">
        <v>4.33</v>
      </c>
      <c r="D72" s="49" t="n">
        <v>4.51</v>
      </c>
      <c r="E72" s="49" t="n">
        <v>83.88939852469881</v>
      </c>
      <c r="F72" s="49" t="n">
        <v>2.2183704143711</v>
      </c>
      <c r="G72" s="49" t="n">
        <v>13.8922310609301</v>
      </c>
      <c r="H72" s="49" t="n">
        <v>45.3019191445046</v>
      </c>
      <c r="I72" s="49" t="n">
        <v>45.9790836774209</v>
      </c>
      <c r="J72" s="49" t="n">
        <v>6.03670197534783</v>
      </c>
      <c r="K72" s="49" t="n">
        <v>4</v>
      </c>
      <c r="L72" s="49" t="n">
        <v>2</v>
      </c>
      <c r="M72" s="49" t="n">
        <v>1</v>
      </c>
      <c r="N72" s="49" t="n">
        <v>1</v>
      </c>
      <c r="O72" s="49" t="n">
        <v>4</v>
      </c>
      <c r="P72" s="49" t="n">
        <v>420</v>
      </c>
      <c r="Q72" s="49" t="n">
        <v>5</v>
      </c>
      <c r="R72" s="49" t="n">
        <v>600</v>
      </c>
      <c r="S72" s="49" t="n">
        <v>1</v>
      </c>
      <c r="T72" s="49" t="n">
        <v>5</v>
      </c>
      <c r="U72" s="49" t="n">
        <v>120</v>
      </c>
      <c r="V72" s="49" t="n">
        <v>5</v>
      </c>
      <c r="W72" s="49" t="n">
        <v>900</v>
      </c>
      <c r="X72" s="49" t="n">
        <v>86.03</v>
      </c>
    </row>
    <row r="73">
      <c r="A73" s="49" t="inlineStr">
        <is>
          <t>Cucumber stem</t>
        </is>
      </c>
      <c r="B73" s="49" t="n">
        <v>16.13</v>
      </c>
      <c r="C73" s="49" t="n">
        <v>4.33</v>
      </c>
      <c r="D73" s="49" t="n">
        <v>4.51</v>
      </c>
      <c r="E73" s="49" t="n">
        <v>84.78827821140121</v>
      </c>
      <c r="F73" s="49" t="n">
        <v>4.67813234032806</v>
      </c>
      <c r="G73" s="49" t="n">
        <v>10.5891231669099</v>
      </c>
      <c r="H73" s="49" t="n">
        <v>46.1230061699066</v>
      </c>
      <c r="I73" s="49" t="n">
        <v>45.2187733519606</v>
      </c>
      <c r="J73" s="49" t="n">
        <v>6.25768512393683</v>
      </c>
      <c r="K73" s="49" t="n">
        <v>4</v>
      </c>
      <c r="L73" s="49" t="n">
        <v>2</v>
      </c>
      <c r="M73" s="49" t="n">
        <v>1</v>
      </c>
      <c r="N73" s="49" t="n">
        <v>1</v>
      </c>
      <c r="O73" s="49" t="n">
        <v>4</v>
      </c>
      <c r="P73" s="49" t="n">
        <v>420</v>
      </c>
      <c r="Q73" s="49" t="n">
        <v>5</v>
      </c>
      <c r="R73" s="49" t="n">
        <v>600</v>
      </c>
      <c r="S73" s="49" t="n">
        <v>1</v>
      </c>
      <c r="T73" s="49" t="n">
        <v>5</v>
      </c>
      <c r="U73" s="49" t="n">
        <v>120</v>
      </c>
      <c r="V73" s="49" t="n">
        <v>5</v>
      </c>
      <c r="W73" s="49" t="n">
        <v>1000</v>
      </c>
      <c r="X73" s="49" t="n">
        <v>87.05</v>
      </c>
    </row>
    <row r="74">
      <c r="A74" s="49" t="inlineStr">
        <is>
          <t>Cucumber stem</t>
        </is>
      </c>
      <c r="B74" s="49" t="n">
        <v>16.13</v>
      </c>
      <c r="C74" s="49" t="n">
        <v>4.33</v>
      </c>
      <c r="D74" s="49" t="n">
        <v>4.51</v>
      </c>
      <c r="E74" s="49" t="n">
        <v>85.17325823405049</v>
      </c>
      <c r="F74" s="49" t="n">
        <v>1.83082762284854</v>
      </c>
      <c r="G74" s="49" t="n">
        <v>12.995914143101</v>
      </c>
      <c r="H74" s="49" t="n">
        <v>44.8070568107143</v>
      </c>
      <c r="I74" s="49" t="n">
        <v>46.7124338829174</v>
      </c>
      <c r="J74" s="49" t="n">
        <v>6.20364348554217</v>
      </c>
      <c r="K74" s="49" t="n">
        <v>4</v>
      </c>
      <c r="L74" s="49" t="n">
        <v>2</v>
      </c>
      <c r="M74" s="49" t="n">
        <v>1</v>
      </c>
      <c r="N74" s="49" t="n">
        <v>1</v>
      </c>
      <c r="O74" s="49" t="n">
        <v>4</v>
      </c>
      <c r="P74" s="49" t="n">
        <v>420</v>
      </c>
      <c r="Q74" s="49" t="n">
        <v>5</v>
      </c>
      <c r="R74" s="49" t="n">
        <v>600</v>
      </c>
      <c r="S74" s="49" t="n">
        <v>1</v>
      </c>
      <c r="T74" s="49" t="n">
        <v>5</v>
      </c>
      <c r="U74" s="49" t="n">
        <v>120</v>
      </c>
      <c r="V74" s="49" t="n">
        <v>5</v>
      </c>
      <c r="W74" s="49" t="n">
        <v>1100</v>
      </c>
      <c r="X74" s="49" t="n">
        <v>90.27</v>
      </c>
    </row>
    <row r="75">
      <c r="A75" s="49" t="inlineStr">
        <is>
          <t>Cucumber stem</t>
        </is>
      </c>
      <c r="B75" s="49" t="n">
        <v>16.13</v>
      </c>
      <c r="C75" s="49" t="n">
        <v>4.33</v>
      </c>
      <c r="D75" s="49" t="n">
        <v>4.51</v>
      </c>
      <c r="E75" s="49" t="n">
        <v>79.06159598513339</v>
      </c>
      <c r="F75" s="49" t="n">
        <v>6.23844613032164</v>
      </c>
      <c r="G75" s="49" t="n">
        <v>12.7508285439154</v>
      </c>
      <c r="H75" s="49" t="n">
        <v>47.7272441089611</v>
      </c>
      <c r="I75" s="49" t="n">
        <v>44.1010168815137</v>
      </c>
      <c r="J75" s="49" t="n">
        <v>6.06826812957987</v>
      </c>
      <c r="K75" s="49" t="n">
        <v>4</v>
      </c>
      <c r="L75" s="49" t="n">
        <v>1</v>
      </c>
      <c r="M75" s="49" t="n">
        <v>1</v>
      </c>
      <c r="N75" s="49" t="n">
        <v>0</v>
      </c>
      <c r="O75" s="49" t="n">
        <v>4</v>
      </c>
      <c r="P75" s="49" t="n">
        <v>360</v>
      </c>
      <c r="Q75" s="49" t="n">
        <v>3</v>
      </c>
      <c r="R75" s="49" t="n">
        <v>150</v>
      </c>
      <c r="S75" s="49" t="n">
        <v>1</v>
      </c>
      <c r="T75" s="49" t="n">
        <v>5</v>
      </c>
      <c r="U75" s="49" t="n">
        <v>120</v>
      </c>
      <c r="V75" s="49" t="n">
        <v>5</v>
      </c>
      <c r="W75" s="49" t="n">
        <v>1000</v>
      </c>
      <c r="X75" s="49" t="n">
        <v>94.11</v>
      </c>
    </row>
    <row r="76">
      <c r="A76" s="49" t="inlineStr">
        <is>
          <t>Cucumber stem</t>
        </is>
      </c>
      <c r="B76" s="49" t="n">
        <v>16.13</v>
      </c>
      <c r="C76" s="49" t="n">
        <v>4.33</v>
      </c>
      <c r="D76" s="49" t="n">
        <v>4.51</v>
      </c>
      <c r="E76" s="49" t="n">
        <v>83.88945217889371</v>
      </c>
      <c r="F76" s="49" t="n">
        <v>2.21835421844542</v>
      </c>
      <c r="G76" s="49" t="n">
        <v>13.8921936026609</v>
      </c>
      <c r="H76" s="49" t="n">
        <v>45.3018984635534</v>
      </c>
      <c r="I76" s="49" t="n">
        <v>45.9791143250956</v>
      </c>
      <c r="J76" s="49" t="n">
        <v>6.03670895205428</v>
      </c>
      <c r="K76" s="49" t="n">
        <v>2</v>
      </c>
      <c r="L76" s="49" t="n">
        <v>5</v>
      </c>
      <c r="M76" s="49" t="n">
        <v>1</v>
      </c>
      <c r="N76" s="49" t="n">
        <v>1</v>
      </c>
      <c r="O76" s="49" t="n">
        <v>4</v>
      </c>
      <c r="P76" s="49" t="n">
        <v>420</v>
      </c>
      <c r="Q76" s="49" t="n">
        <v>1</v>
      </c>
      <c r="R76" s="49" t="n">
        <v>600</v>
      </c>
      <c r="S76" s="49" t="n">
        <v>1</v>
      </c>
      <c r="T76" s="49" t="n">
        <v>5</v>
      </c>
      <c r="U76" s="49" t="n">
        <v>120</v>
      </c>
      <c r="V76" s="49" t="n">
        <v>5</v>
      </c>
      <c r="W76" s="49" t="n">
        <v>900</v>
      </c>
      <c r="X76" s="49" t="n">
        <v>86.03</v>
      </c>
    </row>
    <row r="77">
      <c r="A77" s="49" t="inlineStr">
        <is>
          <t>Cucumber stem</t>
        </is>
      </c>
      <c r="B77" s="49" t="n">
        <v>16.13</v>
      </c>
      <c r="C77" s="49" t="n">
        <v>4.33</v>
      </c>
      <c r="D77" s="49" t="n">
        <v>4.51</v>
      </c>
      <c r="E77" s="49" t="n">
        <v>84.7882766512529</v>
      </c>
      <c r="F77" s="49" t="n">
        <v>4.6782587678995</v>
      </c>
      <c r="G77" s="49" t="n">
        <v>10.5890008530059</v>
      </c>
      <c r="H77" s="49" t="n">
        <v>46.1230607673673</v>
      </c>
      <c r="I77" s="49" t="n">
        <v>45.2187134078272</v>
      </c>
      <c r="J77" s="49" t="n">
        <v>6.25768974802179</v>
      </c>
      <c r="K77" s="49" t="n">
        <v>2</v>
      </c>
      <c r="L77" s="49" t="n">
        <v>5</v>
      </c>
      <c r="M77" s="49" t="n">
        <v>1</v>
      </c>
      <c r="N77" s="49" t="n">
        <v>1</v>
      </c>
      <c r="O77" s="49" t="n">
        <v>4</v>
      </c>
      <c r="P77" s="49" t="n">
        <v>420</v>
      </c>
      <c r="Q77" s="49" t="n">
        <v>1</v>
      </c>
      <c r="R77" s="49" t="n">
        <v>600</v>
      </c>
      <c r="S77" s="49" t="n">
        <v>1</v>
      </c>
      <c r="T77" s="49" t="n">
        <v>5</v>
      </c>
      <c r="U77" s="49" t="n">
        <v>120</v>
      </c>
      <c r="V77" s="49" t="n">
        <v>5</v>
      </c>
      <c r="W77" s="49" t="n">
        <v>1000</v>
      </c>
      <c r="X77" s="49" t="n">
        <v>87.05</v>
      </c>
    </row>
    <row r="78">
      <c r="A78" s="49" t="inlineStr">
        <is>
          <t>Cucumber stem</t>
        </is>
      </c>
      <c r="B78" s="49" t="n">
        <v>16.13</v>
      </c>
      <c r="C78" s="49" t="n">
        <v>4.33</v>
      </c>
      <c r="D78" s="49" t="n">
        <v>4.51</v>
      </c>
      <c r="E78" s="49" t="n">
        <v>85.1732959531317</v>
      </c>
      <c r="F78" s="49" t="n">
        <v>1.83081623705776</v>
      </c>
      <c r="G78" s="49" t="n">
        <v>12.9958878098105</v>
      </c>
      <c r="H78" s="49" t="n">
        <v>44.8070422719353</v>
      </c>
      <c r="I78" s="49" t="n">
        <v>46.7124554283369</v>
      </c>
      <c r="J78" s="49" t="n">
        <v>6.2036483901905</v>
      </c>
      <c r="K78" s="49" t="n">
        <v>2</v>
      </c>
      <c r="L78" s="49" t="n">
        <v>5</v>
      </c>
      <c r="M78" s="49" t="n">
        <v>1</v>
      </c>
      <c r="N78" s="49" t="n">
        <v>1</v>
      </c>
      <c r="O78" s="49" t="n">
        <v>4</v>
      </c>
      <c r="P78" s="49" t="n">
        <v>420</v>
      </c>
      <c r="Q78" s="49" t="n">
        <v>1</v>
      </c>
      <c r="R78" s="49" t="n">
        <v>600</v>
      </c>
      <c r="S78" s="49" t="n">
        <v>1</v>
      </c>
      <c r="T78" s="49" t="n">
        <v>5</v>
      </c>
      <c r="U78" s="49" t="n">
        <v>120</v>
      </c>
      <c r="V78" s="49" t="n">
        <v>5</v>
      </c>
      <c r="W78" s="49" t="n">
        <v>1100</v>
      </c>
      <c r="X78" s="49" t="n">
        <v>90.27</v>
      </c>
    </row>
    <row r="79">
      <c r="A79" s="49" t="inlineStr">
        <is>
          <t>Cucumber stem</t>
        </is>
      </c>
      <c r="B79" s="49" t="n">
        <v>16.13</v>
      </c>
      <c r="C79" s="49" t="n">
        <v>4.33</v>
      </c>
      <c r="D79" s="49" t="n">
        <v>4.51</v>
      </c>
      <c r="E79" s="49" t="n">
        <v>77.437728640833</v>
      </c>
      <c r="F79" s="49" t="n">
        <v>3.27308989408251</v>
      </c>
      <c r="G79" s="49" t="n">
        <v>15.2708587378703</v>
      </c>
      <c r="H79" s="49" t="n">
        <v>44.5444221094696</v>
      </c>
      <c r="I79" s="49" t="n">
        <v>47.2699117828369</v>
      </c>
      <c r="J79" s="49" t="n">
        <v>5.76632183142004</v>
      </c>
      <c r="K79" s="49" t="n">
        <v>2</v>
      </c>
      <c r="L79" s="49" t="n">
        <v>5</v>
      </c>
      <c r="M79" s="49" t="n">
        <v>1</v>
      </c>
      <c r="N79" s="49" t="n">
        <v>0</v>
      </c>
      <c r="O79" s="49" t="n">
        <v>1</v>
      </c>
      <c r="P79" s="49" t="n">
        <v>480</v>
      </c>
      <c r="Q79" s="49" t="n">
        <v>3</v>
      </c>
      <c r="R79" s="49" t="n">
        <v>150</v>
      </c>
      <c r="S79" s="49" t="n">
        <v>1</v>
      </c>
      <c r="T79" s="49" t="n">
        <v>5</v>
      </c>
      <c r="U79" s="49" t="n">
        <v>120</v>
      </c>
      <c r="V79" s="49" t="n">
        <v>5</v>
      </c>
      <c r="W79" s="49" t="n">
        <v>1000</v>
      </c>
      <c r="X79" s="49" t="n">
        <v>94.11</v>
      </c>
    </row>
    <row r="80">
      <c r="A80" s="49" t="inlineStr">
        <is>
          <t>Eucalyptus</t>
        </is>
      </c>
      <c r="B80" s="49" t="n">
        <v>57.3</v>
      </c>
      <c r="C80" s="49" t="n">
        <v>16.8</v>
      </c>
      <c r="D80" s="49" t="n">
        <v>25.9</v>
      </c>
      <c r="E80" s="49" t="n">
        <v>74.62</v>
      </c>
      <c r="F80" s="49" t="n">
        <v>5.55</v>
      </c>
      <c r="G80" s="49" t="n">
        <v>19.83</v>
      </c>
      <c r="H80" s="49" t="n">
        <v>42.55</v>
      </c>
      <c r="I80" s="49" t="n">
        <v>46.76</v>
      </c>
      <c r="J80" s="49" t="n">
        <v>6.01</v>
      </c>
      <c r="K80" s="49" t="n">
        <v>4</v>
      </c>
      <c r="L80" s="49" t="n">
        <v>5</v>
      </c>
      <c r="M80" s="49" t="n">
        <v>0</v>
      </c>
      <c r="N80" s="49" t="n">
        <v>1</v>
      </c>
      <c r="O80" s="49" t="n">
        <v>4</v>
      </c>
      <c r="P80" s="49" t="n">
        <v>127.579077409026</v>
      </c>
      <c r="Q80" s="49" t="n">
        <v>3.77868513164727</v>
      </c>
      <c r="R80" s="49" t="n">
        <v>1000</v>
      </c>
      <c r="S80" s="49" t="n">
        <v>0</v>
      </c>
      <c r="T80" s="49" t="n">
        <v>5</v>
      </c>
      <c r="U80" s="49" t="n">
        <v>0</v>
      </c>
      <c r="V80" s="49" t="n">
        <v>0</v>
      </c>
      <c r="W80" s="49" t="n">
        <v>0</v>
      </c>
      <c r="X80" s="49" t="n">
        <v>97.68000000000001</v>
      </c>
    </row>
    <row r="81">
      <c r="A81" s="49" t="inlineStr">
        <is>
          <t>Fir wood</t>
        </is>
      </c>
      <c r="B81" s="49" t="n">
        <v>45.81</v>
      </c>
      <c r="C81" s="49" t="n">
        <v>26.78</v>
      </c>
      <c r="D81" s="49" t="n">
        <v>28.24</v>
      </c>
      <c r="E81" s="49" t="n">
        <v>85.5</v>
      </c>
      <c r="F81" s="49" t="n">
        <v>0.3</v>
      </c>
      <c r="G81" s="49" t="n">
        <v>10.5</v>
      </c>
      <c r="H81" s="49" t="n">
        <v>47.2</v>
      </c>
      <c r="I81" s="49" t="n">
        <v>44.8</v>
      </c>
      <c r="J81" s="49" t="n">
        <v>6.1</v>
      </c>
      <c r="K81" s="49" t="n">
        <v>4</v>
      </c>
      <c r="L81" s="49" t="n">
        <v>5</v>
      </c>
      <c r="M81" s="49" t="n">
        <v>0</v>
      </c>
      <c r="N81" s="49" t="n">
        <v>1</v>
      </c>
      <c r="O81" s="49" t="n">
        <v>4</v>
      </c>
      <c r="P81" s="49" t="n">
        <v>480</v>
      </c>
      <c r="Q81" s="49" t="n">
        <v>10</v>
      </c>
      <c r="R81" s="49" t="n">
        <v>1100</v>
      </c>
      <c r="S81" s="49" t="n">
        <v>0</v>
      </c>
      <c r="T81" s="49" t="n">
        <v>5</v>
      </c>
      <c r="U81" s="49" t="n">
        <v>0</v>
      </c>
      <c r="V81" s="49" t="n">
        <v>0</v>
      </c>
      <c r="W81" s="49" t="n">
        <v>0</v>
      </c>
      <c r="X81" s="49" t="n">
        <v>94.08</v>
      </c>
    </row>
    <row r="82">
      <c r="A82" s="49" t="inlineStr">
        <is>
          <t>Fir wood</t>
        </is>
      </c>
      <c r="B82" s="49" t="n">
        <v>45.81</v>
      </c>
      <c r="C82" s="49" t="n">
        <v>26.78</v>
      </c>
      <c r="D82" s="49" t="n">
        <v>28.24</v>
      </c>
      <c r="E82" s="49" t="n">
        <v>85.5</v>
      </c>
      <c r="F82" s="49" t="n">
        <v>0.3</v>
      </c>
      <c r="G82" s="49" t="n">
        <v>10.5</v>
      </c>
      <c r="H82" s="49" t="n">
        <v>47.2</v>
      </c>
      <c r="I82" s="49" t="n">
        <v>44.8</v>
      </c>
      <c r="J82" s="49" t="n">
        <v>6.1</v>
      </c>
      <c r="K82" s="49" t="n">
        <v>4</v>
      </c>
      <c r="L82" s="49" t="n">
        <v>5</v>
      </c>
      <c r="M82" s="49" t="n">
        <v>0</v>
      </c>
      <c r="N82" s="49" t="n">
        <v>1</v>
      </c>
      <c r="O82" s="49" t="n">
        <v>4</v>
      </c>
      <c r="P82" s="49" t="n">
        <v>480</v>
      </c>
      <c r="Q82" s="49" t="n">
        <v>10</v>
      </c>
      <c r="R82" s="49" t="n">
        <v>1300</v>
      </c>
      <c r="S82" s="49" t="n">
        <v>0</v>
      </c>
      <c r="T82" s="49" t="n">
        <v>5</v>
      </c>
      <c r="U82" s="49" t="n">
        <v>0</v>
      </c>
      <c r="V82" s="49" t="n">
        <v>0</v>
      </c>
      <c r="W82" s="49" t="n">
        <v>0</v>
      </c>
      <c r="X82" s="49" t="n">
        <v>95.59</v>
      </c>
    </row>
    <row r="83">
      <c r="A83" s="49" t="inlineStr">
        <is>
          <t>Fir wood</t>
        </is>
      </c>
      <c r="B83" s="49" t="n">
        <v>45.81</v>
      </c>
      <c r="C83" s="49" t="n">
        <v>26.78</v>
      </c>
      <c r="D83" s="49" t="n">
        <v>28.24</v>
      </c>
      <c r="E83" s="49" t="n">
        <v>85.5</v>
      </c>
      <c r="F83" s="49" t="n">
        <v>0.3</v>
      </c>
      <c r="G83" s="49" t="n">
        <v>10.5</v>
      </c>
      <c r="H83" s="49" t="n">
        <v>47.2</v>
      </c>
      <c r="I83" s="49" t="n">
        <v>44.8</v>
      </c>
      <c r="J83" s="49" t="n">
        <v>6.1</v>
      </c>
      <c r="K83" s="49" t="n">
        <v>4</v>
      </c>
      <c r="L83" s="49" t="n">
        <v>5</v>
      </c>
      <c r="M83" s="49" t="n">
        <v>0</v>
      </c>
      <c r="N83" s="49" t="n">
        <v>1</v>
      </c>
      <c r="O83" s="49" t="n">
        <v>4</v>
      </c>
      <c r="P83" s="49" t="n">
        <v>480</v>
      </c>
      <c r="Q83" s="49" t="n">
        <v>10</v>
      </c>
      <c r="R83" s="49" t="n">
        <v>1500</v>
      </c>
      <c r="S83" s="49" t="n">
        <v>0</v>
      </c>
      <c r="T83" s="49" t="n">
        <v>5</v>
      </c>
      <c r="U83" s="49" t="n">
        <v>0</v>
      </c>
      <c r="V83" s="49" t="n">
        <v>0</v>
      </c>
      <c r="W83" s="49" t="n">
        <v>0</v>
      </c>
      <c r="X83" s="49" t="n">
        <v>99.97</v>
      </c>
    </row>
    <row r="84">
      <c r="A84" s="49" t="inlineStr">
        <is>
          <t>Fir wood</t>
        </is>
      </c>
      <c r="B84" s="49" t="n">
        <v>45.81</v>
      </c>
      <c r="C84" s="49" t="n">
        <v>26.78</v>
      </c>
      <c r="D84" s="49" t="n">
        <v>28.24</v>
      </c>
      <c r="E84" s="49" t="n">
        <v>85.5</v>
      </c>
      <c r="F84" s="49" t="n">
        <v>0.3</v>
      </c>
      <c r="G84" s="49" t="n">
        <v>10.5</v>
      </c>
      <c r="H84" s="49" t="n">
        <v>47.2</v>
      </c>
      <c r="I84" s="49" t="n">
        <v>44.8</v>
      </c>
      <c r="J84" s="49" t="n">
        <v>6.1</v>
      </c>
      <c r="K84" s="49" t="n">
        <v>1</v>
      </c>
      <c r="L84" s="49" t="n">
        <v>5</v>
      </c>
      <c r="M84" s="49" t="n">
        <v>1</v>
      </c>
      <c r="N84" s="49" t="n">
        <v>1</v>
      </c>
      <c r="O84" s="49" t="n">
        <v>4</v>
      </c>
      <c r="P84" s="49" t="n">
        <v>60</v>
      </c>
      <c r="Q84" s="49" t="n">
        <v>10</v>
      </c>
      <c r="R84" s="49" t="n">
        <v>800</v>
      </c>
      <c r="S84" s="49" t="n">
        <v>0</v>
      </c>
      <c r="T84" s="49" t="n">
        <v>5</v>
      </c>
      <c r="U84" s="49" t="n">
        <v>300</v>
      </c>
      <c r="V84" s="49" t="n">
        <v>6.25</v>
      </c>
      <c r="W84" s="49" t="n">
        <v>812.5</v>
      </c>
      <c r="X84" s="49" t="n">
        <v>89.94</v>
      </c>
    </row>
    <row r="85">
      <c r="A85" s="49" t="inlineStr">
        <is>
          <t>Fir wood</t>
        </is>
      </c>
      <c r="B85" s="49" t="n">
        <v>45.81</v>
      </c>
      <c r="C85" s="49" t="n">
        <v>26.78</v>
      </c>
      <c r="D85" s="49" t="n">
        <v>28.24</v>
      </c>
      <c r="E85" s="49" t="n">
        <v>85.5</v>
      </c>
      <c r="F85" s="49" t="n">
        <v>0.3</v>
      </c>
      <c r="G85" s="49" t="n">
        <v>10.5</v>
      </c>
      <c r="H85" s="49" t="n">
        <v>47.2</v>
      </c>
      <c r="I85" s="49" t="n">
        <v>44.8</v>
      </c>
      <c r="J85" s="49" t="n">
        <v>6.1</v>
      </c>
      <c r="K85" s="49" t="n">
        <v>1</v>
      </c>
      <c r="L85" s="49" t="n">
        <v>5</v>
      </c>
      <c r="M85" s="49" t="n">
        <v>1</v>
      </c>
      <c r="N85" s="49" t="n">
        <v>1</v>
      </c>
      <c r="O85" s="49" t="n">
        <v>4</v>
      </c>
      <c r="P85" s="49" t="n">
        <v>60</v>
      </c>
      <c r="Q85" s="49" t="n">
        <v>10</v>
      </c>
      <c r="R85" s="49" t="n">
        <v>800</v>
      </c>
      <c r="S85" s="49" t="n">
        <v>1</v>
      </c>
      <c r="T85" s="49" t="n">
        <v>5</v>
      </c>
      <c r="U85" s="49" t="n">
        <v>480</v>
      </c>
      <c r="V85" s="49" t="n">
        <v>10</v>
      </c>
      <c r="W85" s="49" t="n">
        <v>1100</v>
      </c>
      <c r="X85" s="49" t="n">
        <v>94.04000000000001</v>
      </c>
    </row>
    <row r="86">
      <c r="A86" s="49" t="inlineStr">
        <is>
          <t>Fir wood</t>
        </is>
      </c>
      <c r="B86" s="49" t="n">
        <v>45.81</v>
      </c>
      <c r="C86" s="49" t="n">
        <v>26.78</v>
      </c>
      <c r="D86" s="49" t="n">
        <v>28.24</v>
      </c>
      <c r="E86" s="49" t="n">
        <v>85.5</v>
      </c>
      <c r="F86" s="49" t="n">
        <v>0.3</v>
      </c>
      <c r="G86" s="49" t="n">
        <v>10.5</v>
      </c>
      <c r="H86" s="49" t="n">
        <v>47.2</v>
      </c>
      <c r="I86" s="49" t="n">
        <v>44.8</v>
      </c>
      <c r="J86" s="49" t="n">
        <v>6.1</v>
      </c>
      <c r="K86" s="49" t="n">
        <v>1</v>
      </c>
      <c r="L86" s="49" t="n">
        <v>5</v>
      </c>
      <c r="M86" s="49" t="n">
        <v>1</v>
      </c>
      <c r="N86" s="49" t="n">
        <v>1</v>
      </c>
      <c r="O86" s="49" t="n">
        <v>4</v>
      </c>
      <c r="P86" s="49" t="n">
        <v>60</v>
      </c>
      <c r="Q86" s="49" t="n">
        <v>10</v>
      </c>
      <c r="R86" s="49" t="n">
        <v>800</v>
      </c>
      <c r="S86" s="49" t="n">
        <v>1</v>
      </c>
      <c r="T86" s="49" t="n">
        <v>5</v>
      </c>
      <c r="U86" s="49" t="n">
        <v>480</v>
      </c>
      <c r="V86" s="49" t="n">
        <v>10</v>
      </c>
      <c r="W86" s="49" t="n">
        <v>1300</v>
      </c>
      <c r="X86" s="49" t="n">
        <v>95.59999999999999</v>
      </c>
    </row>
    <row r="87">
      <c r="A87" s="49" t="inlineStr">
        <is>
          <t>Fir wood</t>
        </is>
      </c>
      <c r="B87" s="49" t="n">
        <v>45.81</v>
      </c>
      <c r="C87" s="49" t="n">
        <v>26.78</v>
      </c>
      <c r="D87" s="49" t="n">
        <v>28.24</v>
      </c>
      <c r="E87" s="49" t="n">
        <v>85.5</v>
      </c>
      <c r="F87" s="49" t="n">
        <v>0.3</v>
      </c>
      <c r="G87" s="49" t="n">
        <v>10.5</v>
      </c>
      <c r="H87" s="49" t="n">
        <v>47.2</v>
      </c>
      <c r="I87" s="49" t="n">
        <v>44.8</v>
      </c>
      <c r="J87" s="49" t="n">
        <v>6.1</v>
      </c>
      <c r="K87" s="49" t="n">
        <v>1</v>
      </c>
      <c r="L87" s="49" t="n">
        <v>5</v>
      </c>
      <c r="M87" s="49" t="n">
        <v>1</v>
      </c>
      <c r="N87" s="49" t="n">
        <v>1</v>
      </c>
      <c r="O87" s="49" t="n">
        <v>4</v>
      </c>
      <c r="P87" s="49" t="n">
        <v>60</v>
      </c>
      <c r="Q87" s="49" t="n">
        <v>10</v>
      </c>
      <c r="R87" s="49" t="n">
        <v>800</v>
      </c>
      <c r="S87" s="49" t="n">
        <v>1</v>
      </c>
      <c r="T87" s="49" t="n">
        <v>5</v>
      </c>
      <c r="U87" s="49" t="n">
        <v>480</v>
      </c>
      <c r="V87" s="49" t="n">
        <v>10</v>
      </c>
      <c r="W87" s="49" t="n">
        <v>1500</v>
      </c>
      <c r="X87" s="49" t="n">
        <v>99.97</v>
      </c>
    </row>
    <row r="88">
      <c r="A88" s="49" t="inlineStr">
        <is>
          <t>Fir wood</t>
        </is>
      </c>
      <c r="B88" s="49" t="n">
        <v>45.81</v>
      </c>
      <c r="C88" s="49" t="n">
        <v>26.78</v>
      </c>
      <c r="D88" s="49" t="n">
        <v>28.24</v>
      </c>
      <c r="E88" s="49" t="n">
        <v>85.5</v>
      </c>
      <c r="F88" s="49" t="n">
        <v>0.3</v>
      </c>
      <c r="G88" s="49" t="n">
        <v>10.5</v>
      </c>
      <c r="H88" s="49" t="n">
        <v>47.2</v>
      </c>
      <c r="I88" s="49" t="n">
        <v>44.8</v>
      </c>
      <c r="J88" s="49" t="n">
        <v>6.1</v>
      </c>
      <c r="K88" s="49" t="n">
        <v>1</v>
      </c>
      <c r="L88" s="49" t="n">
        <v>5</v>
      </c>
      <c r="M88" s="49" t="n">
        <v>1</v>
      </c>
      <c r="N88" s="49" t="n">
        <v>1</v>
      </c>
      <c r="O88" s="49" t="n">
        <v>4</v>
      </c>
      <c r="P88" s="49" t="n">
        <v>60</v>
      </c>
      <c r="Q88" s="49" t="n">
        <v>10</v>
      </c>
      <c r="R88" s="49" t="n">
        <v>800</v>
      </c>
      <c r="S88" s="49" t="n">
        <v>1</v>
      </c>
      <c r="T88" s="49" t="n">
        <v>5</v>
      </c>
      <c r="U88" s="49" t="n">
        <v>480</v>
      </c>
      <c r="V88" s="49" t="n">
        <v>10</v>
      </c>
      <c r="W88" s="49" t="n">
        <v>1300</v>
      </c>
      <c r="X88" s="49" t="n">
        <v>91.39</v>
      </c>
    </row>
    <row r="89">
      <c r="A89" s="49" t="inlineStr">
        <is>
          <t>Gourd shell</t>
        </is>
      </c>
      <c r="B89" s="49" t="n">
        <v>63.4</v>
      </c>
      <c r="C89" s="49" t="n">
        <v>15.3</v>
      </c>
      <c r="D89" s="49" t="n">
        <v>14.7</v>
      </c>
      <c r="E89" s="49" t="n">
        <v>83.8203804535534</v>
      </c>
      <c r="F89" s="49" t="n">
        <v>0.553905584350181</v>
      </c>
      <c r="G89" s="49" t="n">
        <v>11.5290140522163</v>
      </c>
      <c r="H89" s="49" t="n">
        <v>46.5152208492825</v>
      </c>
      <c r="I89" s="49" t="n">
        <v>45.5441496613984</v>
      </c>
      <c r="J89" s="49" t="n">
        <v>6.23178247387026</v>
      </c>
      <c r="K89" s="49" t="n">
        <v>4</v>
      </c>
      <c r="L89" s="49" t="n">
        <v>1</v>
      </c>
      <c r="M89" s="49" t="n">
        <v>1</v>
      </c>
      <c r="N89" s="49" t="n">
        <v>1</v>
      </c>
      <c r="O89" s="49" t="n">
        <v>4</v>
      </c>
      <c r="P89" s="49" t="n">
        <v>1</v>
      </c>
      <c r="Q89" s="49" t="n">
        <v>10</v>
      </c>
      <c r="R89" s="49" t="n">
        <v>1000</v>
      </c>
      <c r="S89" s="49" t="n">
        <v>1</v>
      </c>
      <c r="T89" s="49" t="n">
        <v>5</v>
      </c>
      <c r="U89" s="49" t="n">
        <v>180</v>
      </c>
      <c r="V89" s="49" t="n">
        <v>5</v>
      </c>
      <c r="W89" s="49" t="n">
        <v>1200</v>
      </c>
      <c r="X89" s="49" t="n">
        <v>93.59999999999999</v>
      </c>
    </row>
    <row r="90">
      <c r="A90" s="49" t="inlineStr">
        <is>
          <t>Gourd shell</t>
        </is>
      </c>
      <c r="B90" s="49" t="n">
        <v>63.4</v>
      </c>
      <c r="C90" s="49" t="n">
        <v>15.3</v>
      </c>
      <c r="D90" s="49" t="n">
        <v>14.7</v>
      </c>
      <c r="E90" s="49" t="n">
        <v>85.92244646153409</v>
      </c>
      <c r="F90" s="49" t="n">
        <v>0.44019240980114</v>
      </c>
      <c r="G90" s="49" t="n">
        <v>10.628977017017</v>
      </c>
      <c r="H90" s="49" t="n">
        <v>46.5663303076988</v>
      </c>
      <c r="I90" s="49" t="n">
        <v>45.4336696923011</v>
      </c>
      <c r="J90" s="49" t="n">
        <v>6.18224621375</v>
      </c>
      <c r="K90" s="49" t="n">
        <v>4</v>
      </c>
      <c r="L90" s="49" t="n">
        <v>1</v>
      </c>
      <c r="M90" s="49" t="n">
        <v>1</v>
      </c>
      <c r="N90" s="49" t="n">
        <v>1</v>
      </c>
      <c r="O90" s="49" t="n">
        <v>4</v>
      </c>
      <c r="P90" s="49" t="n">
        <v>1</v>
      </c>
      <c r="Q90" s="49" t="n">
        <v>10</v>
      </c>
      <c r="R90" s="49" t="n">
        <v>1000</v>
      </c>
      <c r="S90" s="49" t="n">
        <v>1</v>
      </c>
      <c r="T90" s="49" t="n">
        <v>5</v>
      </c>
      <c r="U90" s="49" t="n">
        <v>180</v>
      </c>
      <c r="V90" s="49" t="n">
        <v>5</v>
      </c>
      <c r="W90" s="49" t="n">
        <v>1400</v>
      </c>
      <c r="X90" s="49" t="n">
        <v>91.2</v>
      </c>
    </row>
    <row r="91">
      <c r="A91" s="49" t="inlineStr">
        <is>
          <t>Gourd shell</t>
        </is>
      </c>
      <c r="B91" s="49" t="n">
        <v>63.4</v>
      </c>
      <c r="C91" s="49" t="n">
        <v>15.3</v>
      </c>
      <c r="D91" s="49" t="n">
        <v>14.7</v>
      </c>
      <c r="E91" s="49" t="n">
        <v>86.3137805083542</v>
      </c>
      <c r="F91" s="49" t="n">
        <v>0.570059903214904</v>
      </c>
      <c r="G91" s="49" t="n">
        <v>10.7484551109577</v>
      </c>
      <c r="H91" s="49" t="n">
        <v>45.9793292374686</v>
      </c>
      <c r="I91" s="49" t="n">
        <v>46.0206707625314</v>
      </c>
      <c r="J91" s="49" t="n">
        <v>6.25843514321941</v>
      </c>
      <c r="K91" s="49" t="n">
        <v>4</v>
      </c>
      <c r="L91" s="49" t="n">
        <v>1</v>
      </c>
      <c r="M91" s="49" t="n">
        <v>1</v>
      </c>
      <c r="N91" s="49" t="n">
        <v>1</v>
      </c>
      <c r="O91" s="49" t="n">
        <v>4</v>
      </c>
      <c r="P91" s="49" t="n">
        <v>1</v>
      </c>
      <c r="Q91" s="49" t="n">
        <v>10</v>
      </c>
      <c r="R91" s="49" t="n">
        <v>1000</v>
      </c>
      <c r="S91" s="49" t="n">
        <v>1</v>
      </c>
      <c r="T91" s="49" t="n">
        <v>5</v>
      </c>
      <c r="U91" s="49" t="n">
        <v>180</v>
      </c>
      <c r="V91" s="49" t="n">
        <v>5</v>
      </c>
      <c r="W91" s="49" t="n">
        <v>1600</v>
      </c>
      <c r="X91" s="49" t="n">
        <v>86.90000000000001</v>
      </c>
    </row>
    <row r="92">
      <c r="A92" s="49" t="inlineStr">
        <is>
          <t>Grape waste</t>
        </is>
      </c>
      <c r="B92" s="49" t="n">
        <v>25.3</v>
      </c>
      <c r="C92" s="49" t="n">
        <v>13.95</v>
      </c>
      <c r="D92" s="49" t="n">
        <v>47.3</v>
      </c>
      <c r="E92" s="49" t="n">
        <v>64.3</v>
      </c>
      <c r="F92" s="49" t="n">
        <v>4.1</v>
      </c>
      <c r="G92" s="49" t="n">
        <v>23.3</v>
      </c>
      <c r="H92" s="49" t="n">
        <v>48.6</v>
      </c>
      <c r="I92" s="49" t="n">
        <v>33.2</v>
      </c>
      <c r="J92" s="49" t="n">
        <v>7</v>
      </c>
      <c r="K92" s="49" t="n">
        <v>4</v>
      </c>
      <c r="L92" s="49" t="n">
        <v>5</v>
      </c>
      <c r="M92" s="49" t="n">
        <v>0</v>
      </c>
      <c r="N92" s="49" t="n">
        <v>1</v>
      </c>
      <c r="O92" s="49" t="n">
        <v>4</v>
      </c>
      <c r="P92" s="49" t="n">
        <v>60</v>
      </c>
      <c r="Q92" s="49" t="n">
        <v>5</v>
      </c>
      <c r="R92" s="49" t="n">
        <v>1300</v>
      </c>
      <c r="S92" s="49" t="n">
        <v>0</v>
      </c>
      <c r="T92" s="49" t="n">
        <v>5</v>
      </c>
      <c r="U92" s="49" t="n">
        <v>0</v>
      </c>
      <c r="V92" s="49" t="n">
        <v>0</v>
      </c>
      <c r="W92" s="49" t="n">
        <v>0</v>
      </c>
      <c r="X92" s="49" t="n">
        <v>82.8</v>
      </c>
    </row>
    <row r="93">
      <c r="A93" s="49" t="inlineStr">
        <is>
          <t>Grape waste</t>
        </is>
      </c>
      <c r="B93" s="49" t="n">
        <v>25.3</v>
      </c>
      <c r="C93" s="49" t="n">
        <v>13.95</v>
      </c>
      <c r="D93" s="49" t="n">
        <v>47.3</v>
      </c>
      <c r="E93" s="49" t="n">
        <v>64.3</v>
      </c>
      <c r="F93" s="49" t="n">
        <v>4.1</v>
      </c>
      <c r="G93" s="49" t="n">
        <v>23.3</v>
      </c>
      <c r="H93" s="49" t="n">
        <v>48.6</v>
      </c>
      <c r="I93" s="49" t="n">
        <v>33.2</v>
      </c>
      <c r="J93" s="49" t="n">
        <v>7</v>
      </c>
      <c r="K93" s="49" t="n">
        <v>1</v>
      </c>
      <c r="L93" s="49" t="n">
        <v>5</v>
      </c>
      <c r="M93" s="49" t="n">
        <v>0</v>
      </c>
      <c r="N93" s="49" t="n">
        <v>1</v>
      </c>
      <c r="O93" s="49" t="n">
        <v>4</v>
      </c>
      <c r="P93" s="49" t="n">
        <v>60</v>
      </c>
      <c r="Q93" s="49" t="n">
        <v>5</v>
      </c>
      <c r="R93" s="49" t="n">
        <v>1300</v>
      </c>
      <c r="S93" s="49" t="n">
        <v>0</v>
      </c>
      <c r="T93" s="49" t="n">
        <v>5</v>
      </c>
      <c r="U93" s="49" t="n">
        <v>0</v>
      </c>
      <c r="V93" s="49" t="n">
        <v>0</v>
      </c>
      <c r="W93" s="49" t="n">
        <v>0</v>
      </c>
      <c r="X93" s="49" t="n">
        <v>68.09999999999999</v>
      </c>
    </row>
    <row r="94">
      <c r="A94" s="49" t="inlineStr">
        <is>
          <t>Hemp hurd</t>
        </is>
      </c>
      <c r="B94" s="49" t="n">
        <v>32</v>
      </c>
      <c r="C94" s="49" t="n">
        <v>38.1</v>
      </c>
      <c r="D94" s="49" t="n">
        <v>23.8</v>
      </c>
      <c r="E94" s="49" t="n">
        <v>81.3</v>
      </c>
      <c r="F94" s="49" t="n">
        <v>3</v>
      </c>
      <c r="G94" s="49" t="n">
        <v>15.7</v>
      </c>
      <c r="H94" s="49" t="n">
        <v>46.3</v>
      </c>
      <c r="I94" s="49" t="n">
        <v>44.5</v>
      </c>
      <c r="J94" s="49" t="n">
        <v>5.7</v>
      </c>
      <c r="K94" s="49" t="n">
        <v>4</v>
      </c>
      <c r="L94" s="49" t="n">
        <v>1</v>
      </c>
      <c r="M94" s="49" t="n">
        <v>1</v>
      </c>
      <c r="N94" s="49" t="n">
        <v>1</v>
      </c>
      <c r="O94" s="49" t="n">
        <v>4</v>
      </c>
      <c r="P94" s="49" t="n">
        <v>720</v>
      </c>
      <c r="Q94" s="49" t="n">
        <v>5</v>
      </c>
      <c r="R94" s="49" t="n">
        <v>500</v>
      </c>
      <c r="S94" s="49" t="n">
        <v>1</v>
      </c>
      <c r="T94" s="49" t="n">
        <v>1</v>
      </c>
      <c r="U94" s="49" t="n">
        <v>60</v>
      </c>
      <c r="V94" s="49" t="n">
        <v>1</v>
      </c>
      <c r="W94" s="49" t="n">
        <v>700</v>
      </c>
      <c r="X94" s="49" t="n">
        <v>88.8</v>
      </c>
    </row>
    <row r="95">
      <c r="A95" s="49" t="inlineStr">
        <is>
          <t>Hemp hurd</t>
        </is>
      </c>
      <c r="B95" s="49" t="n">
        <v>32</v>
      </c>
      <c r="C95" s="49" t="n">
        <v>38.1</v>
      </c>
      <c r="D95" s="49" t="n">
        <v>23.8</v>
      </c>
      <c r="E95" s="49" t="n">
        <v>81.3</v>
      </c>
      <c r="F95" s="49" t="n">
        <v>3</v>
      </c>
      <c r="G95" s="49" t="n">
        <v>15.7</v>
      </c>
      <c r="H95" s="49" t="n">
        <v>46.3</v>
      </c>
      <c r="I95" s="49" t="n">
        <v>44.5</v>
      </c>
      <c r="J95" s="49" t="n">
        <v>5.7</v>
      </c>
      <c r="K95" s="49" t="n">
        <v>4</v>
      </c>
      <c r="L95" s="49" t="n">
        <v>1</v>
      </c>
      <c r="M95" s="49" t="n">
        <v>1</v>
      </c>
      <c r="N95" s="49" t="n">
        <v>1</v>
      </c>
      <c r="O95" s="49" t="n">
        <v>4</v>
      </c>
      <c r="P95" s="49" t="n">
        <v>720</v>
      </c>
      <c r="Q95" s="49" t="n">
        <v>5</v>
      </c>
      <c r="R95" s="49" t="n">
        <v>500</v>
      </c>
      <c r="S95" s="49" t="n">
        <v>1</v>
      </c>
      <c r="T95" s="49" t="n">
        <v>1</v>
      </c>
      <c r="U95" s="49" t="n">
        <v>60</v>
      </c>
      <c r="V95" s="49" t="n">
        <v>1</v>
      </c>
      <c r="W95" s="49" t="n">
        <v>700</v>
      </c>
      <c r="X95" s="49" t="n">
        <v>92.09999999999999</v>
      </c>
    </row>
    <row r="96">
      <c r="A96" s="49" t="inlineStr">
        <is>
          <t>Hemp hurd</t>
        </is>
      </c>
      <c r="B96" s="49" t="n">
        <v>32</v>
      </c>
      <c r="C96" s="49" t="n">
        <v>38.1</v>
      </c>
      <c r="D96" s="49" t="n">
        <v>23.8</v>
      </c>
      <c r="E96" s="49" t="n">
        <v>81.3</v>
      </c>
      <c r="F96" s="49" t="n">
        <v>3</v>
      </c>
      <c r="G96" s="49" t="n">
        <v>15.7</v>
      </c>
      <c r="H96" s="49" t="n">
        <v>46.3</v>
      </c>
      <c r="I96" s="49" t="n">
        <v>44.5</v>
      </c>
      <c r="J96" s="49" t="n">
        <v>5.7</v>
      </c>
      <c r="K96" s="49" t="n">
        <v>4</v>
      </c>
      <c r="L96" s="49" t="n">
        <v>1</v>
      </c>
      <c r="M96" s="49" t="n">
        <v>1</v>
      </c>
      <c r="N96" s="49" t="n">
        <v>1</v>
      </c>
      <c r="O96" s="49" t="n">
        <v>4</v>
      </c>
      <c r="P96" s="49" t="n">
        <v>720</v>
      </c>
      <c r="Q96" s="49" t="n">
        <v>5</v>
      </c>
      <c r="R96" s="49" t="n">
        <v>500</v>
      </c>
      <c r="S96" s="49" t="n">
        <v>1</v>
      </c>
      <c r="T96" s="49" t="n">
        <v>1</v>
      </c>
      <c r="U96" s="49" t="n">
        <v>60</v>
      </c>
      <c r="V96" s="49" t="n">
        <v>1</v>
      </c>
      <c r="W96" s="49" t="n">
        <v>700</v>
      </c>
      <c r="X96" s="49" t="n">
        <v>83.09999999999999</v>
      </c>
    </row>
    <row r="97">
      <c r="A97" s="49" t="inlineStr">
        <is>
          <t>Hemp hurd</t>
        </is>
      </c>
      <c r="B97" s="49" t="n">
        <v>32</v>
      </c>
      <c r="C97" s="49" t="n">
        <v>38.1</v>
      </c>
      <c r="D97" s="49" t="n">
        <v>23.8</v>
      </c>
      <c r="E97" s="49" t="n">
        <v>81.3</v>
      </c>
      <c r="F97" s="49" t="n">
        <v>3</v>
      </c>
      <c r="G97" s="49" t="n">
        <v>15.7</v>
      </c>
      <c r="H97" s="49" t="n">
        <v>46.3</v>
      </c>
      <c r="I97" s="49" t="n">
        <v>44.5</v>
      </c>
      <c r="J97" s="49" t="n">
        <v>5.7</v>
      </c>
      <c r="K97" s="49" t="n">
        <v>4</v>
      </c>
      <c r="L97" s="49" t="n">
        <v>1</v>
      </c>
      <c r="M97" s="49" t="n">
        <v>1</v>
      </c>
      <c r="N97" s="49" t="n">
        <v>1</v>
      </c>
      <c r="O97" s="49" t="n">
        <v>4</v>
      </c>
      <c r="P97" s="49" t="n">
        <v>720</v>
      </c>
      <c r="Q97" s="49" t="n">
        <v>5</v>
      </c>
      <c r="R97" s="49" t="n">
        <v>500</v>
      </c>
      <c r="S97" s="49" t="n">
        <v>1</v>
      </c>
      <c r="T97" s="49" t="n">
        <v>1</v>
      </c>
      <c r="U97" s="49" t="n">
        <v>60</v>
      </c>
      <c r="V97" s="49" t="n">
        <v>1</v>
      </c>
      <c r="W97" s="49" t="n">
        <v>800</v>
      </c>
      <c r="X97" s="49" t="n">
        <v>89.3</v>
      </c>
    </row>
    <row r="98">
      <c r="A98" s="49" t="inlineStr">
        <is>
          <t>Hemp hurd</t>
        </is>
      </c>
      <c r="B98" s="49" t="n">
        <v>32</v>
      </c>
      <c r="C98" s="49" t="n">
        <v>38.1</v>
      </c>
      <c r="D98" s="49" t="n">
        <v>23.8</v>
      </c>
      <c r="E98" s="49" t="n">
        <v>81.3</v>
      </c>
      <c r="F98" s="49" t="n">
        <v>3</v>
      </c>
      <c r="G98" s="49" t="n">
        <v>15.7</v>
      </c>
      <c r="H98" s="49" t="n">
        <v>46.3</v>
      </c>
      <c r="I98" s="49" t="n">
        <v>44.5</v>
      </c>
      <c r="J98" s="49" t="n">
        <v>5.7</v>
      </c>
      <c r="K98" s="49" t="n">
        <v>4</v>
      </c>
      <c r="L98" s="49" t="n">
        <v>1</v>
      </c>
      <c r="M98" s="49" t="n">
        <v>1</v>
      </c>
      <c r="N98" s="49" t="n">
        <v>1</v>
      </c>
      <c r="O98" s="49" t="n">
        <v>4</v>
      </c>
      <c r="P98" s="49" t="n">
        <v>720</v>
      </c>
      <c r="Q98" s="49" t="n">
        <v>5</v>
      </c>
      <c r="R98" s="49" t="n">
        <v>500</v>
      </c>
      <c r="S98" s="49" t="n">
        <v>1</v>
      </c>
      <c r="T98" s="49" t="n">
        <v>1</v>
      </c>
      <c r="U98" s="49" t="n">
        <v>60</v>
      </c>
      <c r="V98" s="49" t="n">
        <v>1</v>
      </c>
      <c r="W98" s="49" t="n">
        <v>800</v>
      </c>
      <c r="X98" s="49" t="n">
        <v>91.09999999999999</v>
      </c>
    </row>
    <row r="99">
      <c r="A99" s="49" t="inlineStr">
        <is>
          <t>Hemp hurd</t>
        </is>
      </c>
      <c r="B99" s="49" t="n">
        <v>32</v>
      </c>
      <c r="C99" s="49" t="n">
        <v>38.1</v>
      </c>
      <c r="D99" s="49" t="n">
        <v>23.8</v>
      </c>
      <c r="E99" s="49" t="n">
        <v>81.3</v>
      </c>
      <c r="F99" s="49" t="n">
        <v>3</v>
      </c>
      <c r="G99" s="49" t="n">
        <v>15.7</v>
      </c>
      <c r="H99" s="49" t="n">
        <v>46.3</v>
      </c>
      <c r="I99" s="49" t="n">
        <v>44.5</v>
      </c>
      <c r="J99" s="49" t="n">
        <v>5.7</v>
      </c>
      <c r="K99" s="49" t="n">
        <v>4</v>
      </c>
      <c r="L99" s="49" t="n">
        <v>1</v>
      </c>
      <c r="M99" s="49" t="n">
        <v>1</v>
      </c>
      <c r="N99" s="49" t="n">
        <v>1</v>
      </c>
      <c r="O99" s="49" t="n">
        <v>4</v>
      </c>
      <c r="P99" s="49" t="n">
        <v>720</v>
      </c>
      <c r="Q99" s="49" t="n">
        <v>5</v>
      </c>
      <c r="R99" s="49" t="n">
        <v>500</v>
      </c>
      <c r="S99" s="49" t="n">
        <v>1</v>
      </c>
      <c r="T99" s="49" t="n">
        <v>1</v>
      </c>
      <c r="U99" s="49" t="n">
        <v>60</v>
      </c>
      <c r="V99" s="49" t="n">
        <v>1</v>
      </c>
      <c r="W99" s="49" t="n">
        <v>800</v>
      </c>
      <c r="X99" s="49" t="n">
        <v>84.90000000000001</v>
      </c>
    </row>
    <row r="100">
      <c r="A100" s="49" t="inlineStr">
        <is>
          <t>Hemp hurd</t>
        </is>
      </c>
      <c r="B100" s="49" t="n">
        <v>32</v>
      </c>
      <c r="C100" s="49" t="n">
        <v>38.1</v>
      </c>
      <c r="D100" s="49" t="n">
        <v>23.8</v>
      </c>
      <c r="E100" s="49" t="n">
        <v>81.3</v>
      </c>
      <c r="F100" s="49" t="n">
        <v>3</v>
      </c>
      <c r="G100" s="49" t="n">
        <v>15.7</v>
      </c>
      <c r="H100" s="49" t="n">
        <v>46.3</v>
      </c>
      <c r="I100" s="49" t="n">
        <v>44.5</v>
      </c>
      <c r="J100" s="49" t="n">
        <v>5.7</v>
      </c>
      <c r="K100" s="49" t="n">
        <v>4</v>
      </c>
      <c r="L100" s="49" t="n">
        <v>1</v>
      </c>
      <c r="M100" s="49" t="n">
        <v>1</v>
      </c>
      <c r="N100" s="49" t="n">
        <v>1</v>
      </c>
      <c r="O100" s="49" t="n">
        <v>4</v>
      </c>
      <c r="P100" s="49" t="n">
        <v>720</v>
      </c>
      <c r="Q100" s="49" t="n">
        <v>5</v>
      </c>
      <c r="R100" s="49" t="n">
        <v>500</v>
      </c>
      <c r="S100" s="49" t="n">
        <v>1</v>
      </c>
      <c r="T100" s="49" t="n">
        <v>5</v>
      </c>
      <c r="U100" s="49" t="n">
        <v>120</v>
      </c>
      <c r="V100" s="49" t="n">
        <v>5</v>
      </c>
      <c r="W100" s="49" t="n">
        <v>800</v>
      </c>
      <c r="X100" s="49" t="n">
        <v>89.40000000000001</v>
      </c>
    </row>
    <row r="101">
      <c r="A101" s="49" t="inlineStr">
        <is>
          <t>Hemp hurd</t>
        </is>
      </c>
      <c r="B101" s="49" t="n">
        <v>32</v>
      </c>
      <c r="C101" s="49" t="n">
        <v>38.1</v>
      </c>
      <c r="D101" s="49" t="n">
        <v>23.8</v>
      </c>
      <c r="E101" s="49" t="n">
        <v>81.3</v>
      </c>
      <c r="F101" s="49" t="n">
        <v>3</v>
      </c>
      <c r="G101" s="49" t="n">
        <v>15.7</v>
      </c>
      <c r="H101" s="49" t="n">
        <v>46.3</v>
      </c>
      <c r="I101" s="49" t="n">
        <v>44.5</v>
      </c>
      <c r="J101" s="49" t="n">
        <v>5.7</v>
      </c>
      <c r="K101" s="49" t="n">
        <v>4</v>
      </c>
      <c r="L101" s="49" t="n">
        <v>1</v>
      </c>
      <c r="M101" s="49" t="n">
        <v>1</v>
      </c>
      <c r="N101" s="49" t="n">
        <v>0</v>
      </c>
      <c r="O101" s="49" t="n">
        <v>0</v>
      </c>
      <c r="P101" s="49" t="n">
        <v>720</v>
      </c>
      <c r="Q101" s="49" t="n">
        <v>5</v>
      </c>
      <c r="R101" s="49" t="n">
        <v>180</v>
      </c>
      <c r="S101" s="49" t="n">
        <v>1</v>
      </c>
      <c r="T101" s="49" t="n">
        <v>5</v>
      </c>
      <c r="U101" s="49" t="n">
        <v>120</v>
      </c>
      <c r="V101" s="49" t="n">
        <v>5</v>
      </c>
      <c r="W101" s="49" t="n">
        <v>800</v>
      </c>
      <c r="X101" s="49" t="n">
        <v>94.40000000000001</v>
      </c>
    </row>
    <row r="102">
      <c r="A102" s="49" t="inlineStr">
        <is>
          <t>Hemp hurd</t>
        </is>
      </c>
      <c r="B102" s="49" t="n">
        <v>32</v>
      </c>
      <c r="C102" s="49" t="n">
        <v>38.1</v>
      </c>
      <c r="D102" s="49" t="n">
        <v>23.8</v>
      </c>
      <c r="E102" s="49" t="n">
        <v>81.3</v>
      </c>
      <c r="F102" s="49" t="n">
        <v>3</v>
      </c>
      <c r="G102" s="49" t="n">
        <v>15.7</v>
      </c>
      <c r="H102" s="49" t="n">
        <v>46.3</v>
      </c>
      <c r="I102" s="49" t="n">
        <v>44.5</v>
      </c>
      <c r="J102" s="49" t="n">
        <v>5.7</v>
      </c>
      <c r="K102" s="49" t="n">
        <v>4</v>
      </c>
      <c r="L102" s="49" t="n">
        <v>1</v>
      </c>
      <c r="M102" s="49" t="n">
        <v>1</v>
      </c>
      <c r="N102" s="49" t="n">
        <v>0</v>
      </c>
      <c r="O102" s="49" t="n">
        <v>0</v>
      </c>
      <c r="P102" s="49" t="n">
        <v>720</v>
      </c>
      <c r="Q102" s="49" t="n">
        <v>5</v>
      </c>
      <c r="R102" s="49" t="n">
        <v>180</v>
      </c>
      <c r="S102" s="49" t="n">
        <v>1</v>
      </c>
      <c r="T102" s="49" t="n">
        <v>5</v>
      </c>
      <c r="U102" s="49" t="n">
        <v>120</v>
      </c>
      <c r="V102" s="49" t="n">
        <v>5</v>
      </c>
      <c r="W102" s="49" t="n">
        <v>800</v>
      </c>
      <c r="X102" s="49" t="n">
        <v>90.59999999999999</v>
      </c>
    </row>
    <row r="103">
      <c r="A103" s="49" t="inlineStr">
        <is>
          <t>Hemp hurd</t>
        </is>
      </c>
      <c r="B103" s="49" t="n">
        <v>32</v>
      </c>
      <c r="C103" s="49" t="n">
        <v>38.1</v>
      </c>
      <c r="D103" s="49" t="n">
        <v>23.8</v>
      </c>
      <c r="E103" s="49" t="n">
        <v>81.3</v>
      </c>
      <c r="F103" s="49" t="n">
        <v>3</v>
      </c>
      <c r="G103" s="49" t="n">
        <v>15.7</v>
      </c>
      <c r="H103" s="49" t="n">
        <v>46.3</v>
      </c>
      <c r="I103" s="49" t="n">
        <v>44.5</v>
      </c>
      <c r="J103" s="49" t="n">
        <v>5.7</v>
      </c>
      <c r="K103" s="49" t="n">
        <v>4</v>
      </c>
      <c r="L103" s="49" t="n">
        <v>1</v>
      </c>
      <c r="M103" s="49" t="n">
        <v>1</v>
      </c>
      <c r="N103" s="49" t="n">
        <v>1</v>
      </c>
      <c r="O103" s="49" t="n">
        <v>4</v>
      </c>
      <c r="P103" s="49" t="n">
        <v>720</v>
      </c>
      <c r="Q103" s="49" t="n">
        <v>5</v>
      </c>
      <c r="R103" s="49" t="n">
        <v>500</v>
      </c>
      <c r="S103" s="49" t="n">
        <v>1</v>
      </c>
      <c r="T103" s="49" t="n">
        <v>5</v>
      </c>
      <c r="U103" s="49" t="n">
        <v>120</v>
      </c>
      <c r="V103" s="49" t="n">
        <v>5</v>
      </c>
      <c r="W103" s="49" t="n">
        <v>1000</v>
      </c>
      <c r="X103" s="49" t="n">
        <v>93</v>
      </c>
    </row>
    <row r="104">
      <c r="A104" s="49" t="inlineStr">
        <is>
          <t>Hemp hurd</t>
        </is>
      </c>
      <c r="B104" s="49" t="n">
        <v>32</v>
      </c>
      <c r="C104" s="49" t="n">
        <v>38.1</v>
      </c>
      <c r="D104" s="49" t="n">
        <v>23.8</v>
      </c>
      <c r="E104" s="49" t="n">
        <v>81.3</v>
      </c>
      <c r="F104" s="49" t="n">
        <v>3</v>
      </c>
      <c r="G104" s="49" t="n">
        <v>15.7</v>
      </c>
      <c r="H104" s="49" t="n">
        <v>46.3</v>
      </c>
      <c r="I104" s="49" t="n">
        <v>44.5</v>
      </c>
      <c r="J104" s="49" t="n">
        <v>5.7</v>
      </c>
      <c r="K104" s="49" t="n">
        <v>4</v>
      </c>
      <c r="L104" s="49" t="n">
        <v>1</v>
      </c>
      <c r="M104" s="49" t="n">
        <v>1</v>
      </c>
      <c r="N104" s="49" t="n">
        <v>0</v>
      </c>
      <c r="O104" s="49" t="n">
        <v>0</v>
      </c>
      <c r="P104" s="49" t="n">
        <v>720</v>
      </c>
      <c r="Q104" s="49" t="n">
        <v>5</v>
      </c>
      <c r="R104" s="49" t="n">
        <v>180</v>
      </c>
      <c r="S104" s="49" t="n">
        <v>1</v>
      </c>
      <c r="T104" s="49" t="n">
        <v>5</v>
      </c>
      <c r="U104" s="49" t="n">
        <v>120</v>
      </c>
      <c r="V104" s="49" t="n">
        <v>5</v>
      </c>
      <c r="W104" s="49" t="n">
        <v>1000</v>
      </c>
      <c r="X104" s="49" t="n">
        <v>95.59999999999999</v>
      </c>
    </row>
    <row r="105">
      <c r="A105" s="49" t="inlineStr">
        <is>
          <t>Hemp hurd</t>
        </is>
      </c>
      <c r="B105" s="49" t="n">
        <v>32</v>
      </c>
      <c r="C105" s="49" t="n">
        <v>38.1</v>
      </c>
      <c r="D105" s="49" t="n">
        <v>23.8</v>
      </c>
      <c r="E105" s="49" t="n">
        <v>81.3</v>
      </c>
      <c r="F105" s="49" t="n">
        <v>3</v>
      </c>
      <c r="G105" s="49" t="n">
        <v>15.7</v>
      </c>
      <c r="H105" s="49" t="n">
        <v>46.3</v>
      </c>
      <c r="I105" s="49" t="n">
        <v>44.5</v>
      </c>
      <c r="J105" s="49" t="n">
        <v>5.7</v>
      </c>
      <c r="K105" s="49" t="n">
        <v>4</v>
      </c>
      <c r="L105" s="49" t="n">
        <v>1</v>
      </c>
      <c r="M105" s="49" t="n">
        <v>1</v>
      </c>
      <c r="N105" s="49" t="n">
        <v>0</v>
      </c>
      <c r="O105" s="49" t="n">
        <v>0</v>
      </c>
      <c r="P105" s="49" t="n">
        <v>720</v>
      </c>
      <c r="Q105" s="49" t="n">
        <v>5</v>
      </c>
      <c r="R105" s="49" t="n">
        <v>180</v>
      </c>
      <c r="S105" s="49" t="n">
        <v>1</v>
      </c>
      <c r="T105" s="49" t="n">
        <v>5</v>
      </c>
      <c r="U105" s="49" t="n">
        <v>120</v>
      </c>
      <c r="V105" s="49" t="n">
        <v>5</v>
      </c>
      <c r="W105" s="49" t="n">
        <v>1000</v>
      </c>
      <c r="X105" s="49" t="n">
        <v>97.2</v>
      </c>
    </row>
    <row r="106">
      <c r="A106" s="49" t="inlineStr">
        <is>
          <t>Hemp hurd</t>
        </is>
      </c>
      <c r="B106" s="49" t="n">
        <v>32</v>
      </c>
      <c r="C106" s="49" t="n">
        <v>38.1</v>
      </c>
      <c r="D106" s="49" t="n">
        <v>23.8</v>
      </c>
      <c r="E106" s="49" t="n">
        <v>81.3</v>
      </c>
      <c r="F106" s="49" t="n">
        <v>3</v>
      </c>
      <c r="G106" s="49" t="n">
        <v>15.7</v>
      </c>
      <c r="H106" s="49" t="n">
        <v>46.3</v>
      </c>
      <c r="I106" s="49" t="n">
        <v>44.5</v>
      </c>
      <c r="J106" s="49" t="n">
        <v>5.7</v>
      </c>
      <c r="K106" s="49" t="n">
        <v>4</v>
      </c>
      <c r="L106" s="49" t="n">
        <v>1</v>
      </c>
      <c r="M106" s="49" t="n">
        <v>1</v>
      </c>
      <c r="N106" s="49" t="n">
        <v>1</v>
      </c>
      <c r="O106" s="49" t="n">
        <v>4</v>
      </c>
      <c r="P106" s="49" t="n">
        <v>720</v>
      </c>
      <c r="Q106" s="49" t="n">
        <v>5</v>
      </c>
      <c r="R106" s="49" t="n">
        <v>500</v>
      </c>
      <c r="S106" s="49" t="n">
        <v>1</v>
      </c>
      <c r="T106" s="49" t="n">
        <v>5</v>
      </c>
      <c r="U106" s="49" t="n">
        <v>120</v>
      </c>
      <c r="V106" s="49" t="n">
        <v>5</v>
      </c>
      <c r="W106" s="49" t="n">
        <v>1200</v>
      </c>
      <c r="X106" s="49" t="n">
        <v>91.2</v>
      </c>
    </row>
    <row r="107">
      <c r="A107" s="49" t="inlineStr">
        <is>
          <t>Hemp hurd</t>
        </is>
      </c>
      <c r="B107" s="49" t="n">
        <v>32</v>
      </c>
      <c r="C107" s="49" t="n">
        <v>38.1</v>
      </c>
      <c r="D107" s="49" t="n">
        <v>23.8</v>
      </c>
      <c r="E107" s="49" t="n">
        <v>81.3</v>
      </c>
      <c r="F107" s="49" t="n">
        <v>3</v>
      </c>
      <c r="G107" s="49" t="n">
        <v>15.7</v>
      </c>
      <c r="H107" s="49" t="n">
        <v>46.3</v>
      </c>
      <c r="I107" s="49" t="n">
        <v>44.5</v>
      </c>
      <c r="J107" s="49" t="n">
        <v>5.7</v>
      </c>
      <c r="K107" s="49" t="n">
        <v>4</v>
      </c>
      <c r="L107" s="49" t="n">
        <v>1</v>
      </c>
      <c r="M107" s="49" t="n">
        <v>1</v>
      </c>
      <c r="N107" s="49" t="n">
        <v>0</v>
      </c>
      <c r="O107" s="49" t="n">
        <v>0</v>
      </c>
      <c r="P107" s="49" t="n">
        <v>720</v>
      </c>
      <c r="Q107" s="49" t="n">
        <v>5</v>
      </c>
      <c r="R107" s="49" t="n">
        <v>180</v>
      </c>
      <c r="S107" s="49" t="n">
        <v>1</v>
      </c>
      <c r="T107" s="49" t="n">
        <v>5</v>
      </c>
      <c r="U107" s="49" t="n">
        <v>120</v>
      </c>
      <c r="V107" s="49" t="n">
        <v>5</v>
      </c>
      <c r="W107" s="49" t="n">
        <v>1200</v>
      </c>
      <c r="X107" s="49" t="n">
        <v>96.7</v>
      </c>
    </row>
    <row r="108">
      <c r="A108" s="49" t="inlineStr">
        <is>
          <t>Hemp hurd</t>
        </is>
      </c>
      <c r="B108" s="49" t="n">
        <v>32</v>
      </c>
      <c r="C108" s="49" t="n">
        <v>38.1</v>
      </c>
      <c r="D108" s="49" t="n">
        <v>23.8</v>
      </c>
      <c r="E108" s="49" t="n">
        <v>81.3</v>
      </c>
      <c r="F108" s="49" t="n">
        <v>3</v>
      </c>
      <c r="G108" s="49" t="n">
        <v>15.7</v>
      </c>
      <c r="H108" s="49" t="n">
        <v>46.3</v>
      </c>
      <c r="I108" s="49" t="n">
        <v>44.5</v>
      </c>
      <c r="J108" s="49" t="n">
        <v>5.7</v>
      </c>
      <c r="K108" s="49" t="n">
        <v>4</v>
      </c>
      <c r="L108" s="49" t="n">
        <v>1</v>
      </c>
      <c r="M108" s="49" t="n">
        <v>1</v>
      </c>
      <c r="N108" s="49" t="n">
        <v>0</v>
      </c>
      <c r="O108" s="49" t="n">
        <v>0</v>
      </c>
      <c r="P108" s="49" t="n">
        <v>720</v>
      </c>
      <c r="Q108" s="49" t="n">
        <v>5</v>
      </c>
      <c r="R108" s="49" t="n">
        <v>180</v>
      </c>
      <c r="S108" s="49" t="n">
        <v>1</v>
      </c>
      <c r="T108" s="49" t="n">
        <v>5</v>
      </c>
      <c r="U108" s="49" t="n">
        <v>120</v>
      </c>
      <c r="V108" s="49" t="n">
        <v>5</v>
      </c>
      <c r="W108" s="49" t="n">
        <v>1200</v>
      </c>
      <c r="X108" s="49" t="n">
        <v>97.09999999999999</v>
      </c>
    </row>
    <row r="109">
      <c r="A109" s="49" t="inlineStr">
        <is>
          <t>Jack fruit seed</t>
        </is>
      </c>
      <c r="B109" s="49" t="n">
        <v>17.97</v>
      </c>
      <c r="C109" s="49" t="n">
        <v>9.06</v>
      </c>
      <c r="D109" s="49" t="n">
        <v>1.91</v>
      </c>
      <c r="E109" s="49" t="n">
        <v>70.3</v>
      </c>
      <c r="F109" s="49" t="n">
        <v>1.66</v>
      </c>
      <c r="G109" s="49" t="n">
        <v>10.84</v>
      </c>
      <c r="H109" s="49" t="n">
        <v>45.04</v>
      </c>
      <c r="I109" s="49" t="n">
        <v>45.27</v>
      </c>
      <c r="J109" s="49" t="n">
        <v>6.13</v>
      </c>
      <c r="K109" s="49" t="n">
        <v>4</v>
      </c>
      <c r="L109" s="49" t="n">
        <v>3</v>
      </c>
      <c r="M109" s="49" t="n">
        <v>0</v>
      </c>
      <c r="N109" s="49" t="n">
        <v>1</v>
      </c>
      <c r="O109" s="49" t="n">
        <v>4</v>
      </c>
      <c r="P109" s="49" t="n">
        <v>60</v>
      </c>
      <c r="Q109" s="49" t="n">
        <v>5</v>
      </c>
      <c r="R109" s="49" t="n">
        <v>1000</v>
      </c>
      <c r="S109" s="49" t="n">
        <v>0</v>
      </c>
      <c r="T109" s="49" t="n">
        <v>5</v>
      </c>
      <c r="U109" s="49" t="n">
        <v>0</v>
      </c>
      <c r="V109" s="49" t="n">
        <v>0</v>
      </c>
      <c r="W109" s="49" t="n">
        <v>0</v>
      </c>
      <c r="X109" s="49" t="n">
        <v>90.66</v>
      </c>
    </row>
    <row r="110">
      <c r="A110" s="49" t="inlineStr">
        <is>
          <t>Jack fruit seed</t>
        </is>
      </c>
      <c r="B110" s="49" t="n">
        <v>17.97</v>
      </c>
      <c r="C110" s="49" t="n">
        <v>9.06</v>
      </c>
      <c r="D110" s="49" t="n">
        <v>1.91</v>
      </c>
      <c r="E110" s="49" t="n">
        <v>70.3</v>
      </c>
      <c r="F110" s="49" t="n">
        <v>1.66</v>
      </c>
      <c r="G110" s="49" t="n">
        <v>10.84</v>
      </c>
      <c r="H110" s="49" t="n">
        <v>45.04</v>
      </c>
      <c r="I110" s="49" t="n">
        <v>45.27</v>
      </c>
      <c r="J110" s="49" t="n">
        <v>6.13</v>
      </c>
      <c r="K110" s="49" t="n">
        <v>4</v>
      </c>
      <c r="L110" s="49" t="n">
        <v>3</v>
      </c>
      <c r="M110" s="49" t="n">
        <v>0</v>
      </c>
      <c r="N110" s="49" t="n">
        <v>1</v>
      </c>
      <c r="O110" s="49" t="n">
        <v>4</v>
      </c>
      <c r="P110" s="49" t="n">
        <v>60</v>
      </c>
      <c r="Q110" s="49" t="n">
        <v>5</v>
      </c>
      <c r="R110" s="49" t="n">
        <v>1100</v>
      </c>
      <c r="S110" s="49" t="n">
        <v>0</v>
      </c>
      <c r="T110" s="49" t="n">
        <v>5</v>
      </c>
      <c r="U110" s="49" t="n">
        <v>0</v>
      </c>
      <c r="V110" s="49" t="n">
        <v>0</v>
      </c>
      <c r="W110" s="49" t="n">
        <v>0</v>
      </c>
      <c r="X110" s="49" t="n">
        <v>91.01000000000001</v>
      </c>
    </row>
    <row r="111">
      <c r="A111" s="49" t="inlineStr">
        <is>
          <t>Jack fruit seed</t>
        </is>
      </c>
      <c r="B111" s="49" t="n">
        <v>17.97</v>
      </c>
      <c r="C111" s="49" t="n">
        <v>9.06</v>
      </c>
      <c r="D111" s="49" t="n">
        <v>1.91</v>
      </c>
      <c r="E111" s="49" t="n">
        <v>70.3</v>
      </c>
      <c r="F111" s="49" t="n">
        <v>1.66</v>
      </c>
      <c r="G111" s="49" t="n">
        <v>10.84</v>
      </c>
      <c r="H111" s="49" t="n">
        <v>45.04</v>
      </c>
      <c r="I111" s="49" t="n">
        <v>45.27</v>
      </c>
      <c r="J111" s="49" t="n">
        <v>6.13</v>
      </c>
      <c r="K111" s="49" t="n">
        <v>4</v>
      </c>
      <c r="L111" s="49" t="n">
        <v>3</v>
      </c>
      <c r="M111" s="49" t="n">
        <v>0</v>
      </c>
      <c r="N111" s="49" t="n">
        <v>1</v>
      </c>
      <c r="O111" s="49" t="n">
        <v>4</v>
      </c>
      <c r="P111" s="49" t="n">
        <v>60</v>
      </c>
      <c r="Q111" s="49" t="n">
        <v>5</v>
      </c>
      <c r="R111" s="49" t="n">
        <v>1200</v>
      </c>
      <c r="S111" s="49" t="n">
        <v>0</v>
      </c>
      <c r="T111" s="49" t="n">
        <v>5</v>
      </c>
      <c r="U111" s="49" t="n">
        <v>0</v>
      </c>
      <c r="V111" s="49" t="n">
        <v>0</v>
      </c>
      <c r="W111" s="49" t="n">
        <v>0</v>
      </c>
      <c r="X111" s="49" t="n">
        <v>91.44</v>
      </c>
    </row>
    <row r="112">
      <c r="A112" s="49" t="inlineStr">
        <is>
          <t>Jack fruit seed</t>
        </is>
      </c>
      <c r="B112" s="49" t="n">
        <v>17.97</v>
      </c>
      <c r="C112" s="49" t="n">
        <v>9.06</v>
      </c>
      <c r="D112" s="49" t="n">
        <v>1.91</v>
      </c>
      <c r="E112" s="49" t="n">
        <v>70.3</v>
      </c>
      <c r="F112" s="49" t="n">
        <v>1.66</v>
      </c>
      <c r="G112" s="49" t="n">
        <v>10.84</v>
      </c>
      <c r="H112" s="49" t="n">
        <v>45.04</v>
      </c>
      <c r="I112" s="49" t="n">
        <v>45.27</v>
      </c>
      <c r="J112" s="49" t="n">
        <v>6.13</v>
      </c>
      <c r="K112" s="49" t="n">
        <v>4</v>
      </c>
      <c r="L112" s="49" t="n">
        <v>3</v>
      </c>
      <c r="M112" s="49" t="n">
        <v>0</v>
      </c>
      <c r="N112" s="49" t="n">
        <v>1</v>
      </c>
      <c r="O112" s="49" t="n">
        <v>4</v>
      </c>
      <c r="P112" s="49" t="n">
        <v>60</v>
      </c>
      <c r="Q112" s="49" t="n">
        <v>5</v>
      </c>
      <c r="R112" s="49" t="n">
        <v>1300</v>
      </c>
      <c r="S112" s="49" t="n">
        <v>0</v>
      </c>
      <c r="T112" s="49" t="n">
        <v>5</v>
      </c>
      <c r="U112" s="49" t="n">
        <v>0</v>
      </c>
      <c r="V112" s="49" t="n">
        <v>0</v>
      </c>
      <c r="W112" s="49" t="n">
        <v>0</v>
      </c>
      <c r="X112" s="49" t="n">
        <v>92.43000000000001</v>
      </c>
    </row>
    <row r="113">
      <c r="A113" s="49" t="inlineStr">
        <is>
          <t>Kapok fiber</t>
        </is>
      </c>
      <c r="B113" s="49" t="n">
        <v>53.4</v>
      </c>
      <c r="C113" s="49" t="n">
        <v>29.63</v>
      </c>
      <c r="D113" s="49" t="n">
        <v>20.73</v>
      </c>
      <c r="E113" s="49" t="n">
        <v>86.7977469521478</v>
      </c>
      <c r="F113" s="49" t="n">
        <v>2.29279028244343</v>
      </c>
      <c r="G113" s="49" t="n">
        <v>9.511955657573591</v>
      </c>
      <c r="H113" s="49" t="n">
        <v>46.7463541509603</v>
      </c>
      <c r="I113" s="49" t="n">
        <v>42.1258213207903</v>
      </c>
      <c r="J113" s="49" t="n">
        <v>6.32513630598394</v>
      </c>
      <c r="K113" s="49" t="n">
        <v>4</v>
      </c>
      <c r="L113" s="49" t="n">
        <v>5</v>
      </c>
      <c r="M113" s="49" t="n">
        <v>0</v>
      </c>
      <c r="N113" s="49" t="n">
        <v>1</v>
      </c>
      <c r="O113" s="49" t="n">
        <v>4</v>
      </c>
      <c r="P113" s="49" t="n">
        <v>240</v>
      </c>
      <c r="Q113" s="49" t="n">
        <v>5</v>
      </c>
      <c r="R113" s="49" t="n">
        <v>1400</v>
      </c>
      <c r="S113" s="49" t="n">
        <v>0</v>
      </c>
      <c r="T113" s="49" t="n">
        <v>5</v>
      </c>
      <c r="U113" s="49" t="n">
        <v>0</v>
      </c>
      <c r="V113" s="49" t="n">
        <v>0</v>
      </c>
      <c r="W113" s="49" t="n">
        <v>0</v>
      </c>
      <c r="X113" s="49" t="n">
        <v>93.59</v>
      </c>
    </row>
    <row r="114">
      <c r="A114" s="49" t="inlineStr">
        <is>
          <t>Kapok fiber</t>
        </is>
      </c>
      <c r="B114" s="49" t="n">
        <v>53.4</v>
      </c>
      <c r="C114" s="49" t="n">
        <v>29.63</v>
      </c>
      <c r="D114" s="49" t="n">
        <v>20.73</v>
      </c>
      <c r="E114" s="49" t="n">
        <v>78.9936555042015</v>
      </c>
      <c r="F114" s="49" t="n">
        <v>6.88662122829918</v>
      </c>
      <c r="G114" s="49" t="n">
        <v>15.3128074099208</v>
      </c>
      <c r="H114" s="49" t="n">
        <v>45.8502685056372</v>
      </c>
      <c r="I114" s="49" t="n">
        <v>41.139919536691</v>
      </c>
      <c r="J114" s="49" t="n">
        <v>5.19303095490625</v>
      </c>
      <c r="K114" s="49" t="n">
        <v>4</v>
      </c>
      <c r="L114" s="49" t="n">
        <v>5</v>
      </c>
      <c r="M114" s="49" t="n">
        <v>0</v>
      </c>
      <c r="N114" s="49" t="n">
        <v>1</v>
      </c>
      <c r="O114" s="49" t="n">
        <v>4</v>
      </c>
      <c r="P114" s="49" t="n">
        <v>240</v>
      </c>
      <c r="Q114" s="49" t="n">
        <v>5</v>
      </c>
      <c r="R114" s="49" t="n">
        <v>1200</v>
      </c>
      <c r="S114" s="49" t="n">
        <v>0</v>
      </c>
      <c r="T114" s="49" t="n">
        <v>5</v>
      </c>
      <c r="U114" s="49" t="n">
        <v>0</v>
      </c>
      <c r="V114" s="49" t="n">
        <v>0</v>
      </c>
      <c r="W114" s="49" t="n">
        <v>0</v>
      </c>
      <c r="X114" s="49" t="n">
        <v>98.09999999999999</v>
      </c>
    </row>
    <row r="115">
      <c r="A115" s="49" t="inlineStr">
        <is>
          <t>Kapok fiber</t>
        </is>
      </c>
      <c r="B115" s="49" t="n">
        <v>53.4</v>
      </c>
      <c r="C115" s="49" t="n">
        <v>29.63</v>
      </c>
      <c r="D115" s="49" t="n">
        <v>20.73</v>
      </c>
      <c r="E115" s="49" t="n">
        <v>87.115491425442</v>
      </c>
      <c r="F115" s="49" t="n">
        <v>2.07365736633389</v>
      </c>
      <c r="G115" s="49" t="n">
        <v>9.57768916692614</v>
      </c>
      <c r="H115" s="49" t="n">
        <v>47.1026472547401</v>
      </c>
      <c r="I115" s="49" t="n">
        <v>41.9423798345579</v>
      </c>
      <c r="J115" s="49" t="n">
        <v>6.33473762693313</v>
      </c>
      <c r="K115" s="49" t="n">
        <v>4</v>
      </c>
      <c r="L115" s="49" t="n">
        <v>5</v>
      </c>
      <c r="M115" s="49" t="n">
        <v>0</v>
      </c>
      <c r="N115" s="49" t="n">
        <v>1</v>
      </c>
      <c r="O115" s="49" t="n">
        <v>4</v>
      </c>
      <c r="P115" s="49" t="n">
        <v>240</v>
      </c>
      <c r="Q115" s="49" t="n">
        <v>5</v>
      </c>
      <c r="R115" s="49" t="n">
        <v>1400</v>
      </c>
      <c r="S115" s="49" t="n">
        <v>0</v>
      </c>
      <c r="T115" s="49" t="n">
        <v>5</v>
      </c>
      <c r="U115" s="49" t="n">
        <v>0</v>
      </c>
      <c r="V115" s="49" t="n">
        <v>0</v>
      </c>
      <c r="W115" s="49" t="n">
        <v>0</v>
      </c>
      <c r="X115" s="49" t="n">
        <v>98.8</v>
      </c>
    </row>
    <row r="116">
      <c r="A116" s="49" t="inlineStr">
        <is>
          <t>Kapok fiber</t>
        </is>
      </c>
      <c r="B116" s="49" t="n">
        <v>53.4</v>
      </c>
      <c r="C116" s="49" t="n">
        <v>29.63</v>
      </c>
      <c r="D116" s="49" t="n">
        <v>20.73</v>
      </c>
      <c r="E116" s="49" t="n">
        <v>85.7324212251639</v>
      </c>
      <c r="F116" s="49" t="n">
        <v>2.86082386391697</v>
      </c>
      <c r="G116" s="49" t="n">
        <v>10.389748542607</v>
      </c>
      <c r="H116" s="49" t="n">
        <v>49.3448548826525</v>
      </c>
      <c r="I116" s="49" t="n">
        <v>37.114478021489</v>
      </c>
      <c r="J116" s="49" t="n">
        <v>10.0601423067612</v>
      </c>
      <c r="K116" s="49" t="n">
        <v>4</v>
      </c>
      <c r="L116" s="49" t="n">
        <v>5</v>
      </c>
      <c r="M116" s="49" t="n">
        <v>0</v>
      </c>
      <c r="N116" s="49" t="n">
        <v>1</v>
      </c>
      <c r="O116" s="49" t="n">
        <v>4</v>
      </c>
      <c r="P116" s="49" t="n">
        <v>240</v>
      </c>
      <c r="Q116" s="49" t="n">
        <v>5</v>
      </c>
      <c r="R116" s="49" t="n">
        <v>1600</v>
      </c>
      <c r="S116" s="49" t="n">
        <v>0</v>
      </c>
      <c r="T116" s="49" t="n">
        <v>5</v>
      </c>
      <c r="U116" s="49" t="n">
        <v>0</v>
      </c>
      <c r="V116" s="49" t="n">
        <v>0</v>
      </c>
      <c r="W116" s="49" t="n">
        <v>0</v>
      </c>
      <c r="X116" s="49" t="n">
        <v>99.40000000000001</v>
      </c>
    </row>
    <row r="117">
      <c r="A117" s="49" t="inlineStr">
        <is>
          <t>Lignin</t>
        </is>
      </c>
      <c r="B117" s="49" t="n">
        <v>0</v>
      </c>
      <c r="C117" s="49" t="n">
        <v>0</v>
      </c>
      <c r="D117" s="49" t="n">
        <v>100</v>
      </c>
      <c r="E117" s="49" t="n">
        <v>71.6599062446698</v>
      </c>
      <c r="F117" s="49" t="n">
        <v>12.7969578114326</v>
      </c>
      <c r="G117" s="49" t="n">
        <v>19.7697792187744</v>
      </c>
      <c r="H117" s="49" t="n">
        <v>42.8347080259359</v>
      </c>
      <c r="I117" s="49" t="n">
        <v>40.9148620786393</v>
      </c>
      <c r="J117" s="49" t="n">
        <v>4.10912048882076</v>
      </c>
      <c r="K117" s="49" t="n">
        <v>1</v>
      </c>
      <c r="L117" s="49" t="n">
        <v>5</v>
      </c>
      <c r="M117" s="49" t="n">
        <v>0</v>
      </c>
      <c r="N117" s="49" t="n">
        <v>1</v>
      </c>
      <c r="O117" s="49" t="n">
        <v>4</v>
      </c>
      <c r="P117" s="49" t="n">
        <v>120</v>
      </c>
      <c r="Q117" s="49" t="n">
        <v>5</v>
      </c>
      <c r="R117" s="49" t="n">
        <v>1000</v>
      </c>
      <c r="S117" s="49" t="n">
        <v>0</v>
      </c>
      <c r="T117" s="49" t="n">
        <v>5</v>
      </c>
      <c r="U117" s="49" t="n">
        <v>0</v>
      </c>
      <c r="V117" s="49" t="n">
        <v>0</v>
      </c>
      <c r="W117" s="49" t="n">
        <v>0</v>
      </c>
      <c r="X117" s="49" t="n">
        <v>86.7</v>
      </c>
    </row>
    <row r="118">
      <c r="A118" s="49" t="inlineStr">
        <is>
          <t>Lignin</t>
        </is>
      </c>
      <c r="B118" s="49" t="n">
        <v>0</v>
      </c>
      <c r="C118" s="49" t="n">
        <v>0</v>
      </c>
      <c r="D118" s="49" t="n">
        <v>100</v>
      </c>
      <c r="E118" s="49" t="n">
        <v>72.1594168031872</v>
      </c>
      <c r="F118" s="49" t="n">
        <v>12.4447480273997</v>
      </c>
      <c r="G118" s="49" t="n">
        <v>19.7364055564125</v>
      </c>
      <c r="H118" s="49" t="n">
        <v>42.5440299272125</v>
      </c>
      <c r="I118" s="49" t="n">
        <v>40.3435618038802</v>
      </c>
      <c r="J118" s="49" t="n">
        <v>3.96313656803213</v>
      </c>
      <c r="K118" s="49" t="n">
        <v>1</v>
      </c>
      <c r="L118" s="49" t="n">
        <v>5</v>
      </c>
      <c r="M118" s="49" t="n">
        <v>0</v>
      </c>
      <c r="N118" s="49" t="n">
        <v>1</v>
      </c>
      <c r="O118" s="49" t="n">
        <v>4</v>
      </c>
      <c r="P118" s="49" t="n">
        <v>120</v>
      </c>
      <c r="Q118" s="49" t="n">
        <v>5</v>
      </c>
      <c r="R118" s="49" t="n">
        <v>1200</v>
      </c>
      <c r="S118" s="49" t="n">
        <v>0</v>
      </c>
      <c r="T118" s="49" t="n">
        <v>5</v>
      </c>
      <c r="U118" s="49" t="n">
        <v>0</v>
      </c>
      <c r="V118" s="49" t="n">
        <v>0</v>
      </c>
      <c r="W118" s="49" t="n">
        <v>0</v>
      </c>
      <c r="X118" s="49" t="n">
        <v>89.59999999999999</v>
      </c>
    </row>
    <row r="119">
      <c r="A119" s="49" t="inlineStr">
        <is>
          <t>Lignin</t>
        </is>
      </c>
      <c r="B119" s="49" t="n">
        <v>0</v>
      </c>
      <c r="C119" s="49" t="n">
        <v>0</v>
      </c>
      <c r="D119" s="49" t="n">
        <v>100</v>
      </c>
      <c r="E119" s="49" t="n">
        <v>81.8228765345674</v>
      </c>
      <c r="F119" s="49" t="n">
        <v>3.77407065252748</v>
      </c>
      <c r="G119" s="49" t="n">
        <v>13.6470379386794</v>
      </c>
      <c r="H119" s="49" t="n">
        <v>48.2364879830758</v>
      </c>
      <c r="I119" s="49" t="n">
        <v>40.4841700354825</v>
      </c>
      <c r="J119" s="49" t="n">
        <v>5.475174488011</v>
      </c>
      <c r="K119" s="49" t="n">
        <v>1</v>
      </c>
      <c r="L119" s="49" t="n">
        <v>5</v>
      </c>
      <c r="M119" s="49" t="n">
        <v>0</v>
      </c>
      <c r="N119" s="49" t="n">
        <v>1</v>
      </c>
      <c r="O119" s="49" t="n">
        <v>4</v>
      </c>
      <c r="P119" s="49" t="n">
        <v>120</v>
      </c>
      <c r="Q119" s="49" t="n">
        <v>5</v>
      </c>
      <c r="R119" s="49" t="n">
        <v>1400</v>
      </c>
      <c r="S119" s="49" t="n">
        <v>0</v>
      </c>
      <c r="T119" s="49" t="n">
        <v>5</v>
      </c>
      <c r="U119" s="49" t="n">
        <v>0</v>
      </c>
      <c r="V119" s="49" t="n">
        <v>0</v>
      </c>
      <c r="W119" s="49" t="n">
        <v>0</v>
      </c>
      <c r="X119" s="49" t="n">
        <v>90.7</v>
      </c>
    </row>
    <row r="120">
      <c r="A120" s="49" t="inlineStr">
        <is>
          <t>Lignin</t>
        </is>
      </c>
      <c r="B120" s="49" t="n">
        <v>0</v>
      </c>
      <c r="C120" s="49" t="n">
        <v>0</v>
      </c>
      <c r="D120" s="49" t="n">
        <v>100</v>
      </c>
      <c r="E120" s="49" t="n">
        <v>79.3580710623238</v>
      </c>
      <c r="F120" s="49" t="n">
        <v>6.81341371751395</v>
      </c>
      <c r="G120" s="49" t="n">
        <v>14.9064847883477</v>
      </c>
      <c r="H120" s="49" t="n">
        <v>48.4587496922955</v>
      </c>
      <c r="I120" s="49" t="n">
        <v>34.3329238801142</v>
      </c>
      <c r="J120" s="49" t="n">
        <v>12.3242842477808</v>
      </c>
      <c r="K120" s="49" t="n">
        <v>1</v>
      </c>
      <c r="L120" s="49" t="n">
        <v>5</v>
      </c>
      <c r="M120" s="49" t="n">
        <v>0</v>
      </c>
      <c r="N120" s="49" t="n">
        <v>1</v>
      </c>
      <c r="O120" s="49" t="n">
        <v>4</v>
      </c>
      <c r="P120" s="49" t="n">
        <v>120</v>
      </c>
      <c r="Q120" s="49" t="n">
        <v>5</v>
      </c>
      <c r="R120" s="49" t="n">
        <v>1600</v>
      </c>
      <c r="S120" s="49" t="n">
        <v>0</v>
      </c>
      <c r="T120" s="49" t="n">
        <v>5</v>
      </c>
      <c r="U120" s="49" t="n">
        <v>0</v>
      </c>
      <c r="V120" s="49" t="n">
        <v>0</v>
      </c>
      <c r="W120" s="49" t="n">
        <v>0</v>
      </c>
      <c r="X120" s="49" t="n">
        <v>93.09999999999999</v>
      </c>
    </row>
    <row r="121">
      <c r="A121" s="49" t="inlineStr">
        <is>
          <t>Lignin</t>
        </is>
      </c>
      <c r="B121" s="49" t="n">
        <v>0</v>
      </c>
      <c r="C121" s="49" t="n">
        <v>0</v>
      </c>
      <c r="D121" s="49" t="n">
        <v>100</v>
      </c>
      <c r="E121" s="49" t="n">
        <v>79.3202047274272</v>
      </c>
      <c r="F121" s="49" t="n">
        <v>7.43111028682726</v>
      </c>
      <c r="G121" s="49" t="n">
        <v>13.2471490720285</v>
      </c>
      <c r="H121" s="49" t="n">
        <v>50.023480664942</v>
      </c>
      <c r="I121" s="49" t="n">
        <v>30.0544609576026</v>
      </c>
      <c r="J121" s="49" t="n">
        <v>17.7622068508642</v>
      </c>
      <c r="K121" s="49" t="n">
        <v>1</v>
      </c>
      <c r="L121" s="49" t="n">
        <v>5</v>
      </c>
      <c r="M121" s="49" t="n">
        <v>0</v>
      </c>
      <c r="N121" s="49" t="n">
        <v>1</v>
      </c>
      <c r="O121" s="49" t="n">
        <v>4</v>
      </c>
      <c r="P121" s="49" t="n">
        <v>120</v>
      </c>
      <c r="Q121" s="49" t="n">
        <v>5</v>
      </c>
      <c r="R121" s="49" t="n">
        <v>1800</v>
      </c>
      <c r="S121" s="49" t="n">
        <v>0</v>
      </c>
      <c r="T121" s="49" t="n">
        <v>5</v>
      </c>
      <c r="U121" s="49" t="n">
        <v>0</v>
      </c>
      <c r="V121" s="49" t="n">
        <v>0</v>
      </c>
      <c r="W121" s="49" t="n">
        <v>0</v>
      </c>
      <c r="X121" s="49" t="n">
        <v>95.8</v>
      </c>
    </row>
    <row r="122">
      <c r="A122" s="49" t="inlineStr">
        <is>
          <t>Lignin</t>
        </is>
      </c>
      <c r="B122" s="49" t="n">
        <v>0</v>
      </c>
      <c r="C122" s="49" t="n">
        <v>1</v>
      </c>
      <c r="D122" s="49" t="n">
        <v>100</v>
      </c>
      <c r="E122" s="49" t="n">
        <v>85.6549415685006</v>
      </c>
      <c r="F122" s="49" t="n">
        <v>0.351418662113039</v>
      </c>
      <c r="G122" s="49" t="n">
        <v>10.547305169144</v>
      </c>
      <c r="H122" s="49" t="n">
        <v>46.9675876472491</v>
      </c>
      <c r="I122" s="49" t="n">
        <v>45.0324123527509</v>
      </c>
      <c r="J122" s="49" t="n">
        <v>6.13016561510632</v>
      </c>
      <c r="K122" s="49" t="n">
        <v>1</v>
      </c>
      <c r="L122" s="49" t="n">
        <v>5</v>
      </c>
      <c r="M122" s="49" t="n">
        <v>1</v>
      </c>
      <c r="N122" s="49" t="n">
        <v>1</v>
      </c>
      <c r="O122" s="49" t="n">
        <v>4</v>
      </c>
      <c r="P122" s="49" t="n">
        <v>60</v>
      </c>
      <c r="Q122" s="49" t="n">
        <v>10</v>
      </c>
      <c r="R122" s="49" t="n">
        <v>800</v>
      </c>
      <c r="S122" s="49" t="n">
        <v>1</v>
      </c>
      <c r="T122" s="49" t="n">
        <v>5</v>
      </c>
      <c r="U122" s="49" t="n">
        <v>480</v>
      </c>
      <c r="V122" s="49" t="n">
        <v>10</v>
      </c>
      <c r="W122" s="49" t="n">
        <v>1300</v>
      </c>
      <c r="X122" s="49" t="n">
        <v>93.37</v>
      </c>
    </row>
    <row r="123">
      <c r="A123" s="49" t="inlineStr">
        <is>
          <t>Macadamia nutshell</t>
        </is>
      </c>
      <c r="B123" s="49" t="n">
        <v>29.5</v>
      </c>
      <c r="C123" s="49" t="n">
        <v>30</v>
      </c>
      <c r="D123" s="49" t="n">
        <v>40.1</v>
      </c>
      <c r="E123" s="49" t="n">
        <v>76.25</v>
      </c>
      <c r="F123" s="49" t="n">
        <v>0.36</v>
      </c>
      <c r="G123" s="49" t="n">
        <v>23.4</v>
      </c>
      <c r="H123" s="49" t="n">
        <v>49.7</v>
      </c>
      <c r="I123" s="49" t="n">
        <v>35.2</v>
      </c>
      <c r="J123" s="49" t="n">
        <v>6.2</v>
      </c>
      <c r="K123" s="49" t="n">
        <v>4</v>
      </c>
      <c r="L123" s="49" t="n">
        <v>5</v>
      </c>
      <c r="M123" s="49" t="n">
        <v>0</v>
      </c>
      <c r="N123" s="49" t="n">
        <v>1</v>
      </c>
      <c r="O123" s="49" t="n">
        <v>4</v>
      </c>
      <c r="P123" s="49" t="n">
        <v>60</v>
      </c>
      <c r="Q123" s="49" t="n">
        <v>4.05697378162017</v>
      </c>
      <c r="R123" s="49" t="n">
        <v>700</v>
      </c>
      <c r="S123" s="49" t="n">
        <v>0</v>
      </c>
      <c r="T123" s="49" t="n">
        <v>5</v>
      </c>
      <c r="U123" s="49" t="n">
        <v>0</v>
      </c>
      <c r="V123" s="49" t="n">
        <v>0</v>
      </c>
      <c r="W123" s="49" t="n">
        <v>0</v>
      </c>
      <c r="X123" s="49" t="n">
        <v>88.59999999999999</v>
      </c>
    </row>
    <row r="124">
      <c r="A124" s="49" t="inlineStr">
        <is>
          <t>Macadamia nutshell</t>
        </is>
      </c>
      <c r="B124" s="49" t="n">
        <v>29.5</v>
      </c>
      <c r="C124" s="49" t="n">
        <v>30</v>
      </c>
      <c r="D124" s="49" t="n">
        <v>40.1</v>
      </c>
      <c r="E124" s="49" t="n">
        <v>76.25</v>
      </c>
      <c r="F124" s="49" t="n">
        <v>0.36</v>
      </c>
      <c r="G124" s="49" t="n">
        <v>23.4</v>
      </c>
      <c r="H124" s="49" t="n">
        <v>49.7</v>
      </c>
      <c r="I124" s="49" t="n">
        <v>35.2</v>
      </c>
      <c r="J124" s="49" t="n">
        <v>6.2</v>
      </c>
      <c r="K124" s="49" t="n">
        <v>4</v>
      </c>
      <c r="L124" s="49" t="n">
        <v>5</v>
      </c>
      <c r="M124" s="49" t="n">
        <v>0</v>
      </c>
      <c r="N124" s="49" t="n">
        <v>1</v>
      </c>
      <c r="O124" s="49" t="n">
        <v>4</v>
      </c>
      <c r="P124" s="49" t="n">
        <v>60</v>
      </c>
      <c r="Q124" s="49" t="n">
        <v>3.823862279963</v>
      </c>
      <c r="R124" s="49" t="n">
        <v>900</v>
      </c>
      <c r="S124" s="49" t="n">
        <v>0</v>
      </c>
      <c r="T124" s="49" t="n">
        <v>5</v>
      </c>
      <c r="U124" s="49" t="n">
        <v>0</v>
      </c>
      <c r="V124" s="49" t="n">
        <v>0</v>
      </c>
      <c r="W124" s="49" t="n">
        <v>0</v>
      </c>
      <c r="X124" s="49" t="n">
        <v>86.5</v>
      </c>
    </row>
    <row r="125">
      <c r="A125" s="49" t="inlineStr">
        <is>
          <t>Macadamia nutshell</t>
        </is>
      </c>
      <c r="B125" s="49" t="n">
        <v>29.5</v>
      </c>
      <c r="C125" s="49" t="n">
        <v>30</v>
      </c>
      <c r="D125" s="49" t="n">
        <v>40.1</v>
      </c>
      <c r="E125" s="49" t="n">
        <v>76.25</v>
      </c>
      <c r="F125" s="49" t="n">
        <v>0.36</v>
      </c>
      <c r="G125" s="49" t="n">
        <v>23.4</v>
      </c>
      <c r="H125" s="49" t="n">
        <v>49.7</v>
      </c>
      <c r="I125" s="49" t="n">
        <v>35.2</v>
      </c>
      <c r="J125" s="49" t="n">
        <v>6.2</v>
      </c>
      <c r="K125" s="49" t="n">
        <v>4</v>
      </c>
      <c r="L125" s="49" t="n">
        <v>5</v>
      </c>
      <c r="M125" s="49" t="n">
        <v>0</v>
      </c>
      <c r="N125" s="49" t="n">
        <v>1</v>
      </c>
      <c r="O125" s="49" t="n">
        <v>4</v>
      </c>
      <c r="P125" s="49" t="n">
        <v>60</v>
      </c>
      <c r="Q125" s="49" t="n">
        <v>4.28859474179028</v>
      </c>
      <c r="R125" s="49" t="n">
        <v>1100</v>
      </c>
      <c r="S125" s="49" t="n">
        <v>0</v>
      </c>
      <c r="T125" s="49" t="n">
        <v>5</v>
      </c>
      <c r="U125" s="49" t="n">
        <v>0</v>
      </c>
      <c r="V125" s="49" t="n">
        <v>0</v>
      </c>
      <c r="W125" s="49" t="n">
        <v>0</v>
      </c>
      <c r="X125" s="49" t="n">
        <v>84.3</v>
      </c>
    </row>
    <row r="126">
      <c r="A126" s="49" t="inlineStr">
        <is>
          <t>Miscanthus</t>
        </is>
      </c>
      <c r="B126" s="49" t="n">
        <v>36.96</v>
      </c>
      <c r="C126" s="49" t="n">
        <v>22.12</v>
      </c>
      <c r="D126" s="49" t="n">
        <v>23.3</v>
      </c>
      <c r="E126" s="49" t="n">
        <v>83.09999999999999</v>
      </c>
      <c r="F126" s="49" t="n">
        <v>1.48</v>
      </c>
      <c r="G126" s="49" t="n">
        <v>5.92</v>
      </c>
      <c r="H126" s="49" t="n">
        <v>45.51</v>
      </c>
      <c r="I126" s="49" t="n">
        <v>37.8</v>
      </c>
      <c r="J126" s="49" t="n">
        <v>5.29</v>
      </c>
      <c r="K126" s="49" t="n">
        <v>4</v>
      </c>
      <c r="L126" s="49" t="n">
        <v>5</v>
      </c>
      <c r="M126" s="49" t="n">
        <v>0</v>
      </c>
      <c r="N126" s="49" t="n">
        <v>1</v>
      </c>
      <c r="O126" s="49" t="n">
        <v>4</v>
      </c>
      <c r="P126" s="49" t="n">
        <v>60</v>
      </c>
      <c r="Q126" s="49" t="n">
        <v>3.3</v>
      </c>
      <c r="R126" s="49" t="n">
        <v>1000</v>
      </c>
      <c r="S126" s="49" t="n">
        <v>0</v>
      </c>
      <c r="T126" s="49" t="n">
        <v>5</v>
      </c>
      <c r="U126" s="49" t="n">
        <v>0</v>
      </c>
      <c r="V126" s="49" t="n">
        <v>0</v>
      </c>
      <c r="W126" s="49" t="n">
        <v>0</v>
      </c>
      <c r="X126" s="49" t="n">
        <v>87.09999999999999</v>
      </c>
    </row>
    <row r="127">
      <c r="A127" s="49" t="inlineStr">
        <is>
          <t>Miscanthus</t>
        </is>
      </c>
      <c r="B127" s="49" t="n">
        <v>36.96</v>
      </c>
      <c r="C127" s="49" t="n">
        <v>22.12</v>
      </c>
      <c r="D127" s="49" t="n">
        <v>23.3</v>
      </c>
      <c r="E127" s="49" t="n">
        <v>83.09999999999999</v>
      </c>
      <c r="F127" s="49" t="n">
        <v>1.48</v>
      </c>
      <c r="G127" s="49" t="n">
        <v>5.92</v>
      </c>
      <c r="H127" s="49" t="n">
        <v>45.51</v>
      </c>
      <c r="I127" s="49" t="n">
        <v>37.8</v>
      </c>
      <c r="J127" s="49" t="n">
        <v>5.29</v>
      </c>
      <c r="K127" s="49" t="n">
        <v>4</v>
      </c>
      <c r="L127" s="49" t="n">
        <v>5</v>
      </c>
      <c r="M127" s="49" t="n">
        <v>0</v>
      </c>
      <c r="N127" s="49" t="n">
        <v>1</v>
      </c>
      <c r="O127" s="49" t="n">
        <v>4</v>
      </c>
      <c r="P127" s="49" t="n">
        <v>60</v>
      </c>
      <c r="Q127" s="49" t="n">
        <v>3.3</v>
      </c>
      <c r="R127" s="49" t="n">
        <v>1200</v>
      </c>
      <c r="S127" s="49" t="n">
        <v>0</v>
      </c>
      <c r="T127" s="49" t="n">
        <v>5</v>
      </c>
      <c r="U127" s="49" t="n">
        <v>0</v>
      </c>
      <c r="V127" s="49" t="n">
        <v>0</v>
      </c>
      <c r="W127" s="49" t="n">
        <v>0</v>
      </c>
      <c r="X127" s="49" t="n">
        <v>84.7</v>
      </c>
    </row>
    <row r="128">
      <c r="A128" s="49" t="inlineStr">
        <is>
          <t>Miscanthus</t>
        </is>
      </c>
      <c r="B128" s="49" t="n">
        <v>36.96</v>
      </c>
      <c r="C128" s="49" t="n">
        <v>22.12</v>
      </c>
      <c r="D128" s="49" t="n">
        <v>23.3</v>
      </c>
      <c r="E128" s="49" t="n">
        <v>83.09999999999999</v>
      </c>
      <c r="F128" s="49" t="n">
        <v>1.48</v>
      </c>
      <c r="G128" s="49" t="n">
        <v>5.92</v>
      </c>
      <c r="H128" s="49" t="n">
        <v>45.51</v>
      </c>
      <c r="I128" s="49" t="n">
        <v>37.8</v>
      </c>
      <c r="J128" s="49" t="n">
        <v>5.29</v>
      </c>
      <c r="K128" s="49" t="n">
        <v>4</v>
      </c>
      <c r="L128" s="49" t="n">
        <v>5</v>
      </c>
      <c r="M128" s="49" t="n">
        <v>0</v>
      </c>
      <c r="N128" s="49" t="n">
        <v>1</v>
      </c>
      <c r="O128" s="49" t="n">
        <v>4</v>
      </c>
      <c r="P128" s="49" t="n">
        <v>60</v>
      </c>
      <c r="Q128" s="49" t="n">
        <v>3.3</v>
      </c>
      <c r="R128" s="49" t="n">
        <v>1400</v>
      </c>
      <c r="S128" s="49" t="n">
        <v>0</v>
      </c>
      <c r="T128" s="49" t="n">
        <v>5</v>
      </c>
      <c r="U128" s="49" t="n">
        <v>0</v>
      </c>
      <c r="V128" s="49" t="n">
        <v>0</v>
      </c>
      <c r="W128" s="49" t="n">
        <v>0</v>
      </c>
      <c r="X128" s="49" t="n">
        <v>93.2</v>
      </c>
    </row>
    <row r="129">
      <c r="A129" s="49" t="inlineStr">
        <is>
          <t>Oatmeal</t>
        </is>
      </c>
      <c r="B129" s="49" t="n">
        <v>40.1</v>
      </c>
      <c r="C129" s="49" t="n">
        <v>25.1</v>
      </c>
      <c r="D129" s="49" t="n">
        <v>26.1</v>
      </c>
      <c r="E129" s="49" t="n">
        <v>76.09999999999999</v>
      </c>
      <c r="F129" s="49" t="n">
        <v>6.1</v>
      </c>
      <c r="G129" s="49" t="n">
        <v>16.1</v>
      </c>
      <c r="H129" s="49" t="n">
        <v>48.17</v>
      </c>
      <c r="I129" s="49" t="n">
        <v>45.55</v>
      </c>
      <c r="J129" s="49" t="n">
        <v>6.23</v>
      </c>
      <c r="K129" s="49" t="n">
        <v>4</v>
      </c>
      <c r="L129" s="49" t="n">
        <v>7</v>
      </c>
      <c r="M129" s="49" t="n">
        <v>1</v>
      </c>
      <c r="N129" s="49" t="n">
        <v>0</v>
      </c>
      <c r="O129" s="49" t="n">
        <v>4</v>
      </c>
      <c r="P129" s="49" t="n">
        <v>12</v>
      </c>
      <c r="Q129" s="49" t="n">
        <v>3.13713764639442</v>
      </c>
      <c r="R129" s="49" t="n">
        <v>200</v>
      </c>
      <c r="S129" s="49" t="n">
        <v>1</v>
      </c>
      <c r="T129" s="49" t="n">
        <v>5</v>
      </c>
      <c r="U129" s="49" t="n">
        <v>22.7133158969959</v>
      </c>
      <c r="V129" s="49" t="n">
        <v>3.03666281619968</v>
      </c>
      <c r="W129" s="49" t="n">
        <v>300</v>
      </c>
      <c r="X129" s="49" t="n">
        <v>82.8</v>
      </c>
    </row>
    <row r="130">
      <c r="A130" s="49" t="inlineStr">
        <is>
          <t>Oatmeal</t>
        </is>
      </c>
      <c r="B130" s="49" t="n">
        <v>40.1</v>
      </c>
      <c r="C130" s="49" t="n">
        <v>25.1</v>
      </c>
      <c r="D130" s="49" t="n">
        <v>26.1</v>
      </c>
      <c r="E130" s="49" t="n">
        <v>76.09999999999999</v>
      </c>
      <c r="F130" s="49" t="n">
        <v>6.1</v>
      </c>
      <c r="G130" s="49" t="n">
        <v>16.1</v>
      </c>
      <c r="H130" s="49" t="n">
        <v>48.17</v>
      </c>
      <c r="I130" s="49" t="n">
        <v>45.55</v>
      </c>
      <c r="J130" s="49" t="n">
        <v>6.23</v>
      </c>
      <c r="K130" s="49" t="n">
        <v>4</v>
      </c>
      <c r="L130" s="49" t="n">
        <v>7</v>
      </c>
      <c r="M130" s="49" t="n">
        <v>1</v>
      </c>
      <c r="N130" s="49" t="n">
        <v>0</v>
      </c>
      <c r="O130" s="49" t="n">
        <v>4</v>
      </c>
      <c r="P130" s="49" t="n">
        <v>12</v>
      </c>
      <c r="Q130" s="49" t="n">
        <v>2.49571066553264</v>
      </c>
      <c r="R130" s="49" t="n">
        <v>200</v>
      </c>
      <c r="S130" s="49" t="n">
        <v>1</v>
      </c>
      <c r="T130" s="49" t="n">
        <v>5</v>
      </c>
      <c r="U130" s="49" t="n">
        <v>96.0180573905287</v>
      </c>
      <c r="V130" s="49" t="n">
        <v>7.28559267845351</v>
      </c>
      <c r="W130" s="49" t="n">
        <v>500</v>
      </c>
      <c r="X130" s="49" t="n">
        <v>89.5</v>
      </c>
    </row>
    <row r="131">
      <c r="A131" s="49" t="inlineStr">
        <is>
          <t>Oatmeal</t>
        </is>
      </c>
      <c r="B131" s="49" t="n">
        <v>40.1</v>
      </c>
      <c r="C131" s="49" t="n">
        <v>25.1</v>
      </c>
      <c r="D131" s="49" t="n">
        <v>26.1</v>
      </c>
      <c r="E131" s="49" t="n">
        <v>76.09999999999999</v>
      </c>
      <c r="F131" s="49" t="n">
        <v>6.1</v>
      </c>
      <c r="G131" s="49" t="n">
        <v>16.1</v>
      </c>
      <c r="H131" s="49" t="n">
        <v>48.17</v>
      </c>
      <c r="I131" s="49" t="n">
        <v>45.55</v>
      </c>
      <c r="J131" s="49" t="n">
        <v>6.23</v>
      </c>
      <c r="K131" s="49" t="n">
        <v>4</v>
      </c>
      <c r="L131" s="49" t="n">
        <v>7</v>
      </c>
      <c r="M131" s="49" t="n">
        <v>1</v>
      </c>
      <c r="N131" s="49" t="n">
        <v>0</v>
      </c>
      <c r="O131" s="49" t="n">
        <v>4</v>
      </c>
      <c r="P131" s="49" t="n">
        <v>12</v>
      </c>
      <c r="Q131" s="49" t="n">
        <v>2.16860737174158</v>
      </c>
      <c r="R131" s="49" t="n">
        <v>200</v>
      </c>
      <c r="S131" s="49" t="n">
        <v>1</v>
      </c>
      <c r="T131" s="49" t="n">
        <v>5</v>
      </c>
      <c r="U131" s="49" t="n">
        <v>120</v>
      </c>
      <c r="V131" s="49" t="n">
        <v>7.07848157064605</v>
      </c>
      <c r="W131" s="49" t="n">
        <v>700</v>
      </c>
      <c r="X131" s="49" t="n">
        <v>91.90000000000001</v>
      </c>
    </row>
    <row r="132">
      <c r="A132" s="49" t="inlineStr">
        <is>
          <t>Oatmeal</t>
        </is>
      </c>
      <c r="B132" s="49" t="n">
        <v>40.1</v>
      </c>
      <c r="C132" s="49" t="n">
        <v>25.1</v>
      </c>
      <c r="D132" s="49" t="n">
        <v>26.1</v>
      </c>
      <c r="E132" s="49" t="n">
        <v>76.09999999999999</v>
      </c>
      <c r="F132" s="49" t="n">
        <v>6.1</v>
      </c>
      <c r="G132" s="49" t="n">
        <v>16.1</v>
      </c>
      <c r="H132" s="49" t="n">
        <v>48.17</v>
      </c>
      <c r="I132" s="49" t="n">
        <v>45.55</v>
      </c>
      <c r="J132" s="49" t="n">
        <v>6.23</v>
      </c>
      <c r="K132" s="49" t="n">
        <v>4</v>
      </c>
      <c r="L132" s="49" t="n">
        <v>7</v>
      </c>
      <c r="M132" s="49" t="n">
        <v>1</v>
      </c>
      <c r="N132" s="49" t="n">
        <v>0</v>
      </c>
      <c r="O132" s="49" t="n">
        <v>4</v>
      </c>
      <c r="P132" s="49" t="n">
        <v>12</v>
      </c>
      <c r="Q132" s="49" t="n">
        <v>3.3317703013291</v>
      </c>
      <c r="R132" s="49" t="n">
        <v>200</v>
      </c>
      <c r="S132" s="49" t="n">
        <v>1</v>
      </c>
      <c r="T132" s="49" t="n">
        <v>5</v>
      </c>
      <c r="U132" s="49" t="n">
        <v>120</v>
      </c>
      <c r="V132" s="49" t="n">
        <v>5</v>
      </c>
      <c r="W132" s="49" t="n">
        <v>900</v>
      </c>
      <c r="X132" s="49" t="n">
        <v>93.2</v>
      </c>
    </row>
    <row r="133">
      <c r="A133" s="49" t="inlineStr">
        <is>
          <t>Olive stone</t>
        </is>
      </c>
      <c r="B133" s="49" t="n">
        <v>53.5</v>
      </c>
      <c r="C133" s="49" t="n">
        <v>22.3</v>
      </c>
      <c r="D133" s="49" t="n">
        <v>22.5</v>
      </c>
      <c r="E133" s="49" t="n">
        <v>89.3</v>
      </c>
      <c r="F133" s="49" t="n">
        <v>0.6</v>
      </c>
      <c r="G133" s="49" t="n">
        <v>10</v>
      </c>
      <c r="H133" s="49" t="n">
        <v>49.5</v>
      </c>
      <c r="I133" s="49" t="n">
        <v>40.7</v>
      </c>
      <c r="J133" s="49" t="n">
        <v>6.4</v>
      </c>
      <c r="K133" s="49" t="n">
        <v>4</v>
      </c>
      <c r="L133" s="49" t="n">
        <v>5</v>
      </c>
      <c r="M133" s="49" t="n">
        <v>0</v>
      </c>
      <c r="N133" s="49" t="n">
        <v>1</v>
      </c>
      <c r="O133" s="49" t="n">
        <v>4</v>
      </c>
      <c r="P133" s="49" t="n">
        <v>219.086461394616</v>
      </c>
      <c r="Q133" s="49" t="n">
        <v>5</v>
      </c>
      <c r="R133" s="49" t="n">
        <v>800</v>
      </c>
      <c r="S133" s="49" t="n">
        <v>0</v>
      </c>
      <c r="T133" s="49" t="n">
        <v>5</v>
      </c>
      <c r="U133" s="49" t="n">
        <v>0</v>
      </c>
      <c r="V133" s="49" t="n">
        <v>0</v>
      </c>
      <c r="W133" s="49" t="n">
        <v>0</v>
      </c>
      <c r="X133" s="49" t="n">
        <v>86.40000000000001</v>
      </c>
    </row>
    <row r="134">
      <c r="A134" s="49" t="inlineStr">
        <is>
          <t>Olive stone</t>
        </is>
      </c>
      <c r="B134" s="49" t="n">
        <v>53.5</v>
      </c>
      <c r="C134" s="49" t="n">
        <v>22.3</v>
      </c>
      <c r="D134" s="49" t="n">
        <v>22.5</v>
      </c>
      <c r="E134" s="49" t="n">
        <v>89.3</v>
      </c>
      <c r="F134" s="49" t="n">
        <v>0.6</v>
      </c>
      <c r="G134" s="49" t="n">
        <v>10</v>
      </c>
      <c r="H134" s="49" t="n">
        <v>49.5</v>
      </c>
      <c r="I134" s="49" t="n">
        <v>40.7</v>
      </c>
      <c r="J134" s="49" t="n">
        <v>6.4</v>
      </c>
      <c r="K134" s="49" t="n">
        <v>4</v>
      </c>
      <c r="L134" s="49" t="n">
        <v>5</v>
      </c>
      <c r="M134" s="49" t="n">
        <v>0</v>
      </c>
      <c r="N134" s="49" t="n">
        <v>1</v>
      </c>
      <c r="O134" s="49" t="n">
        <v>4</v>
      </c>
      <c r="P134" s="49" t="n">
        <v>102.726716888707</v>
      </c>
      <c r="Q134" s="49" t="n">
        <v>3.60264757796167</v>
      </c>
      <c r="R134" s="49" t="n">
        <v>1000</v>
      </c>
      <c r="S134" s="49" t="n">
        <v>0</v>
      </c>
      <c r="T134" s="49" t="n">
        <v>5</v>
      </c>
      <c r="U134" s="49" t="n">
        <v>0</v>
      </c>
      <c r="V134" s="49" t="n">
        <v>0</v>
      </c>
      <c r="W134" s="49" t="n">
        <v>0</v>
      </c>
      <c r="X134" s="49" t="n">
        <v>86.5</v>
      </c>
    </row>
    <row r="135">
      <c r="A135" s="49" t="inlineStr">
        <is>
          <t>Olive stone</t>
        </is>
      </c>
      <c r="B135" s="49" t="n">
        <v>53.5</v>
      </c>
      <c r="C135" s="49" t="n">
        <v>22.3</v>
      </c>
      <c r="D135" s="49" t="n">
        <v>22.5</v>
      </c>
      <c r="E135" s="49" t="n">
        <v>89.3</v>
      </c>
      <c r="F135" s="49" t="n">
        <v>0.6</v>
      </c>
      <c r="G135" s="49" t="n">
        <v>10</v>
      </c>
      <c r="H135" s="49" t="n">
        <v>49.5</v>
      </c>
      <c r="I135" s="49" t="n">
        <v>40.7</v>
      </c>
      <c r="J135" s="49" t="n">
        <v>6.4</v>
      </c>
      <c r="K135" s="49" t="n">
        <v>4</v>
      </c>
      <c r="L135" s="49" t="n">
        <v>5</v>
      </c>
      <c r="M135" s="49" t="n">
        <v>0</v>
      </c>
      <c r="N135" s="49" t="n">
        <v>1</v>
      </c>
      <c r="O135" s="49" t="n">
        <v>4</v>
      </c>
      <c r="P135" s="49" t="n">
        <v>138.115985643698</v>
      </c>
      <c r="Q135" s="49" t="n">
        <v>3.95833439699347</v>
      </c>
      <c r="R135" s="49" t="n">
        <v>1200</v>
      </c>
      <c r="S135" s="49" t="n">
        <v>0</v>
      </c>
      <c r="T135" s="49" t="n">
        <v>5</v>
      </c>
      <c r="U135" s="49" t="n">
        <v>0</v>
      </c>
      <c r="V135" s="49" t="n">
        <v>0</v>
      </c>
      <c r="W135" s="49" t="n">
        <v>0</v>
      </c>
      <c r="X135" s="49" t="n">
        <v>94.8</v>
      </c>
    </row>
    <row r="136">
      <c r="A136" s="49" t="inlineStr">
        <is>
          <t>Olive stone</t>
        </is>
      </c>
      <c r="B136" s="49" t="n">
        <v>53.5</v>
      </c>
      <c r="C136" s="49" t="n">
        <v>22.3</v>
      </c>
      <c r="D136" s="49" t="n">
        <v>22.5</v>
      </c>
      <c r="E136" s="49" t="n">
        <v>89.3</v>
      </c>
      <c r="F136" s="49" t="n">
        <v>0.6</v>
      </c>
      <c r="G136" s="49" t="n">
        <v>10</v>
      </c>
      <c r="H136" s="49" t="n">
        <v>49.5</v>
      </c>
      <c r="I136" s="49" t="n">
        <v>40.7</v>
      </c>
      <c r="J136" s="49" t="n">
        <v>6.4</v>
      </c>
      <c r="K136" s="49" t="n">
        <v>4</v>
      </c>
      <c r="L136" s="49" t="n">
        <v>5</v>
      </c>
      <c r="M136" s="49" t="n">
        <v>0</v>
      </c>
      <c r="N136" s="49" t="n">
        <v>1</v>
      </c>
      <c r="O136" s="49" t="n">
        <v>4</v>
      </c>
      <c r="P136" s="49" t="n">
        <v>177.163571028151</v>
      </c>
      <c r="Q136" s="49" t="n">
        <v>4.34471014336808</v>
      </c>
      <c r="R136" s="49" t="n">
        <v>1400</v>
      </c>
      <c r="S136" s="49" t="n">
        <v>0</v>
      </c>
      <c r="T136" s="49" t="n">
        <v>5</v>
      </c>
      <c r="U136" s="49" t="n">
        <v>0</v>
      </c>
      <c r="V136" s="49" t="n">
        <v>0</v>
      </c>
      <c r="W136" s="49" t="n">
        <v>0</v>
      </c>
      <c r="X136" s="49" t="n">
        <v>98.7</v>
      </c>
    </row>
    <row r="137">
      <c r="A137" s="49" t="inlineStr">
        <is>
          <t>Olive stone</t>
        </is>
      </c>
      <c r="B137" s="49" t="n">
        <v>53.5</v>
      </c>
      <c r="C137" s="49" t="n">
        <v>22.3</v>
      </c>
      <c r="D137" s="49" t="n">
        <v>22.5</v>
      </c>
      <c r="E137" s="49" t="n">
        <v>89.3</v>
      </c>
      <c r="F137" s="49" t="n">
        <v>0.6</v>
      </c>
      <c r="G137" s="49" t="n">
        <v>10</v>
      </c>
      <c r="H137" s="49" t="n">
        <v>49.5</v>
      </c>
      <c r="I137" s="49" t="n">
        <v>40.7</v>
      </c>
      <c r="J137" s="49" t="n">
        <v>6.4</v>
      </c>
      <c r="K137" s="49" t="n">
        <v>4</v>
      </c>
      <c r="L137" s="49" t="n">
        <v>5</v>
      </c>
      <c r="M137" s="49" t="n">
        <v>0</v>
      </c>
      <c r="N137" s="49" t="n">
        <v>1</v>
      </c>
      <c r="O137" s="49" t="n">
        <v>4</v>
      </c>
      <c r="P137" s="49" t="n">
        <v>177.382320948137</v>
      </c>
      <c r="Q137" s="49" t="n">
        <v>5.30913762255013</v>
      </c>
      <c r="R137" s="49" t="n">
        <v>1600</v>
      </c>
      <c r="S137" s="49" t="n">
        <v>0</v>
      </c>
      <c r="T137" s="49" t="n">
        <v>5</v>
      </c>
      <c r="U137" s="49" t="n">
        <v>0</v>
      </c>
      <c r="V137" s="49" t="n">
        <v>0</v>
      </c>
      <c r="W137" s="49" t="n">
        <v>0</v>
      </c>
      <c r="X137" s="49" t="n">
        <v>98.2</v>
      </c>
    </row>
    <row r="138">
      <c r="A138" s="49" t="inlineStr">
        <is>
          <t>Olive stone</t>
        </is>
      </c>
      <c r="B138" s="49" t="n">
        <v>53.5</v>
      </c>
      <c r="C138" s="49" t="n">
        <v>22.3</v>
      </c>
      <c r="D138" s="49" t="n">
        <v>22.5</v>
      </c>
      <c r="E138" s="49" t="n">
        <v>89.3</v>
      </c>
      <c r="F138" s="49" t="n">
        <v>0.6</v>
      </c>
      <c r="G138" s="49" t="n">
        <v>10</v>
      </c>
      <c r="H138" s="49" t="n">
        <v>49.5</v>
      </c>
      <c r="I138" s="49" t="n">
        <v>40.7</v>
      </c>
      <c r="J138" s="49" t="n">
        <v>6.4</v>
      </c>
      <c r="K138" s="49" t="n">
        <v>4</v>
      </c>
      <c r="L138" s="49" t="n">
        <v>5</v>
      </c>
      <c r="M138" s="49" t="n">
        <v>0</v>
      </c>
      <c r="N138" s="49" t="n">
        <v>1</v>
      </c>
      <c r="O138" s="49" t="n">
        <v>4</v>
      </c>
      <c r="P138" s="49" t="n">
        <v>120</v>
      </c>
      <c r="Q138" s="49" t="n">
        <v>5</v>
      </c>
      <c r="R138" s="49" t="n">
        <v>2000</v>
      </c>
      <c r="S138" s="49" t="n">
        <v>0</v>
      </c>
      <c r="T138" s="49" t="n">
        <v>5</v>
      </c>
      <c r="U138" s="49" t="n">
        <v>0</v>
      </c>
      <c r="V138" s="49" t="n">
        <v>0</v>
      </c>
      <c r="W138" s="49" t="n">
        <v>0</v>
      </c>
      <c r="X138" s="49" t="n">
        <v>99.3</v>
      </c>
    </row>
    <row r="139">
      <c r="A139" s="49" t="inlineStr">
        <is>
          <t>Orange peel</t>
        </is>
      </c>
      <c r="B139" s="49" t="n">
        <v>25</v>
      </c>
      <c r="C139" s="49" t="n">
        <v>17</v>
      </c>
      <c r="D139" s="49" t="n">
        <v>23.0850224215247</v>
      </c>
      <c r="E139" s="49" t="n">
        <v>79.02</v>
      </c>
      <c r="F139" s="49" t="n">
        <v>3.43</v>
      </c>
      <c r="G139" s="49" t="n">
        <v>17.54</v>
      </c>
      <c r="H139" s="49" t="n">
        <v>46.04</v>
      </c>
      <c r="I139" s="49" t="n">
        <v>36.89</v>
      </c>
      <c r="J139" s="49" t="n">
        <v>5.54</v>
      </c>
      <c r="K139" s="49" t="n">
        <v>6</v>
      </c>
      <c r="L139" s="49" t="n">
        <v>1</v>
      </c>
      <c r="M139" s="49" t="n">
        <v>0</v>
      </c>
      <c r="N139" s="49" t="n">
        <v>1</v>
      </c>
      <c r="O139" s="49" t="n">
        <v>1</v>
      </c>
      <c r="P139" s="49" t="n">
        <v>60</v>
      </c>
      <c r="Q139" s="49" t="n">
        <v>3</v>
      </c>
      <c r="R139" s="49" t="n">
        <v>700</v>
      </c>
      <c r="S139" s="49" t="n">
        <v>0</v>
      </c>
      <c r="T139" s="49" t="n">
        <v>5</v>
      </c>
      <c r="U139" s="49" t="n">
        <v>0</v>
      </c>
      <c r="V139" s="49" t="n">
        <v>0</v>
      </c>
      <c r="W139" s="49" t="n">
        <v>0</v>
      </c>
      <c r="X139" s="49" t="n">
        <v>76.2</v>
      </c>
    </row>
    <row r="140">
      <c r="A140" s="49" t="inlineStr">
        <is>
          <t>Palm Leaves</t>
        </is>
      </c>
      <c r="B140" s="49" t="n">
        <v>40.21</v>
      </c>
      <c r="C140" s="49" t="n">
        <v>12.8</v>
      </c>
      <c r="D140" s="49" t="n">
        <v>32.2</v>
      </c>
      <c r="E140" s="49" t="n">
        <v>77.5</v>
      </c>
      <c r="F140" s="49" t="n">
        <v>12.1</v>
      </c>
      <c r="G140" s="49" t="n">
        <v>6.1</v>
      </c>
      <c r="H140" s="49" t="n">
        <v>50.4</v>
      </c>
      <c r="I140" s="49" t="n">
        <v>41.8</v>
      </c>
      <c r="J140" s="49" t="n">
        <v>6.3</v>
      </c>
      <c r="K140" s="49" t="n">
        <v>1</v>
      </c>
      <c r="L140" s="49" t="n">
        <v>5</v>
      </c>
      <c r="M140" s="49" t="n">
        <v>0</v>
      </c>
      <c r="N140" s="49" t="n">
        <v>1</v>
      </c>
      <c r="O140" s="49" t="n">
        <v>4</v>
      </c>
      <c r="P140" s="49" t="n">
        <v>222.512807621907</v>
      </c>
      <c r="Q140" s="49" t="n">
        <v>5</v>
      </c>
      <c r="R140" s="49" t="n">
        <v>800</v>
      </c>
      <c r="S140" s="49" t="n">
        <v>0</v>
      </c>
      <c r="T140" s="49" t="n">
        <v>5</v>
      </c>
      <c r="U140" s="49" t="n">
        <v>0</v>
      </c>
      <c r="V140" s="49" t="n">
        <v>0</v>
      </c>
      <c r="W140" s="49" t="n">
        <v>0</v>
      </c>
      <c r="X140" s="49" t="n">
        <v>89.04000000000001</v>
      </c>
    </row>
    <row r="141">
      <c r="A141" s="49" t="inlineStr">
        <is>
          <t>Palm Leaves</t>
        </is>
      </c>
      <c r="B141" s="49" t="n">
        <v>40.21</v>
      </c>
      <c r="C141" s="49" t="n">
        <v>12.8</v>
      </c>
      <c r="D141" s="49" t="n">
        <v>32.2</v>
      </c>
      <c r="E141" s="49" t="n">
        <v>77.5</v>
      </c>
      <c r="F141" s="49" t="n">
        <v>12.1</v>
      </c>
      <c r="G141" s="49" t="n">
        <v>6.1</v>
      </c>
      <c r="H141" s="49" t="n">
        <v>50.4</v>
      </c>
      <c r="I141" s="49" t="n">
        <v>41.8</v>
      </c>
      <c r="J141" s="49" t="n">
        <v>6.3</v>
      </c>
      <c r="K141" s="49" t="n">
        <v>1</v>
      </c>
      <c r="L141" s="49" t="n">
        <v>5</v>
      </c>
      <c r="M141" s="49" t="n">
        <v>0</v>
      </c>
      <c r="N141" s="49" t="n">
        <v>1</v>
      </c>
      <c r="O141" s="49" t="n">
        <v>4</v>
      </c>
      <c r="P141" s="49" t="n">
        <v>185.396043781272</v>
      </c>
      <c r="Q141" s="49" t="n">
        <v>4.84648373112125</v>
      </c>
      <c r="R141" s="49" t="n">
        <v>900</v>
      </c>
      <c r="S141" s="49" t="n">
        <v>0</v>
      </c>
      <c r="T141" s="49" t="n">
        <v>5</v>
      </c>
      <c r="U141" s="49" t="n">
        <v>0</v>
      </c>
      <c r="V141" s="49" t="n">
        <v>0</v>
      </c>
      <c r="W141" s="49" t="n">
        <v>0</v>
      </c>
      <c r="X141" s="49" t="n">
        <v>89.05</v>
      </c>
    </row>
    <row r="142">
      <c r="A142" s="49" t="inlineStr">
        <is>
          <t>Palm Leaves</t>
        </is>
      </c>
      <c r="B142" s="49" t="n">
        <v>40.21</v>
      </c>
      <c r="C142" s="49" t="n">
        <v>12.8</v>
      </c>
      <c r="D142" s="49" t="n">
        <v>32.2</v>
      </c>
      <c r="E142" s="49" t="n">
        <v>77.5</v>
      </c>
      <c r="F142" s="49" t="n">
        <v>12.1</v>
      </c>
      <c r="G142" s="49" t="n">
        <v>6.1</v>
      </c>
      <c r="H142" s="49" t="n">
        <v>50.4</v>
      </c>
      <c r="I142" s="49" t="n">
        <v>41.8</v>
      </c>
      <c r="J142" s="49" t="n">
        <v>6.3</v>
      </c>
      <c r="K142" s="49" t="n">
        <v>1</v>
      </c>
      <c r="L142" s="49" t="n">
        <v>5</v>
      </c>
      <c r="M142" s="49" t="n">
        <v>0</v>
      </c>
      <c r="N142" s="49" t="n">
        <v>1</v>
      </c>
      <c r="O142" s="49" t="n">
        <v>4</v>
      </c>
      <c r="P142" s="49" t="n">
        <v>116.373958200024</v>
      </c>
      <c r="Q142" s="49" t="n">
        <v>3.64639099454631</v>
      </c>
      <c r="R142" s="49" t="n">
        <v>1000</v>
      </c>
      <c r="S142" s="49" t="n">
        <v>0</v>
      </c>
      <c r="T142" s="49" t="n">
        <v>5</v>
      </c>
      <c r="U142" s="49" t="n">
        <v>0</v>
      </c>
      <c r="V142" s="49" t="n">
        <v>0</v>
      </c>
      <c r="W142" s="49" t="n">
        <v>0</v>
      </c>
      <c r="X142" s="49" t="n">
        <v>89.84999999999999</v>
      </c>
    </row>
    <row r="143">
      <c r="A143" s="49" t="inlineStr">
        <is>
          <t>Palm Leaves</t>
        </is>
      </c>
      <c r="B143" s="49" t="n">
        <v>40.21</v>
      </c>
      <c r="C143" s="49" t="n">
        <v>12.8</v>
      </c>
      <c r="D143" s="49" t="n">
        <v>32.2</v>
      </c>
      <c r="E143" s="49" t="n">
        <v>77.5</v>
      </c>
      <c r="F143" s="49" t="n">
        <v>12.1</v>
      </c>
      <c r="G143" s="49" t="n">
        <v>6.1</v>
      </c>
      <c r="H143" s="49" t="n">
        <v>50.4</v>
      </c>
      <c r="I143" s="49" t="n">
        <v>41.8</v>
      </c>
      <c r="J143" s="49" t="n">
        <v>6.3</v>
      </c>
      <c r="K143" s="49" t="n">
        <v>1</v>
      </c>
      <c r="L143" s="49" t="n">
        <v>5</v>
      </c>
      <c r="M143" s="49" t="n">
        <v>0</v>
      </c>
      <c r="N143" s="49" t="n">
        <v>1</v>
      </c>
      <c r="O143" s="49" t="n">
        <v>4</v>
      </c>
      <c r="P143" s="49" t="n">
        <v>207.242216720929</v>
      </c>
      <c r="Q143" s="49" t="n">
        <v>6.33337489167006</v>
      </c>
      <c r="R143" s="49" t="n">
        <v>1100</v>
      </c>
      <c r="S143" s="49" t="n">
        <v>0</v>
      </c>
      <c r="T143" s="49" t="n">
        <v>5</v>
      </c>
      <c r="U143" s="49" t="n">
        <v>0</v>
      </c>
      <c r="V143" s="49" t="n">
        <v>0</v>
      </c>
      <c r="W143" s="49" t="n">
        <v>0</v>
      </c>
      <c r="X143" s="49" t="n">
        <v>92.17</v>
      </c>
    </row>
    <row r="144">
      <c r="A144" s="49" t="inlineStr">
        <is>
          <t>Peanut shell</t>
        </is>
      </c>
      <c r="B144" s="49" t="n">
        <v>45.01</v>
      </c>
      <c r="C144" s="49" t="n">
        <v>26.812</v>
      </c>
      <c r="D144" s="49" t="n">
        <v>33.6</v>
      </c>
      <c r="E144" s="49" t="n">
        <v>75.56999999999999</v>
      </c>
      <c r="F144" s="49" t="n">
        <v>4.759</v>
      </c>
      <c r="G144" s="49" t="n">
        <v>19.665</v>
      </c>
      <c r="H144" s="49" t="n">
        <v>52.96</v>
      </c>
      <c r="I144" s="49" t="n">
        <v>40.2</v>
      </c>
      <c r="J144" s="49" t="n">
        <v>6.24</v>
      </c>
      <c r="K144" s="49" t="n">
        <v>6</v>
      </c>
      <c r="L144" s="49" t="n">
        <v>2</v>
      </c>
      <c r="M144" s="49" t="n">
        <v>0</v>
      </c>
      <c r="N144" s="49" t="n">
        <v>1</v>
      </c>
      <c r="O144" s="49" t="n">
        <v>1</v>
      </c>
      <c r="P144" s="49" t="n">
        <v>120</v>
      </c>
      <c r="Q144" s="49" t="n">
        <v>3</v>
      </c>
      <c r="R144" s="49" t="n">
        <v>600</v>
      </c>
      <c r="S144" s="49" t="n">
        <v>0</v>
      </c>
      <c r="T144" s="49" t="n">
        <v>5</v>
      </c>
      <c r="U144" s="49" t="n">
        <v>0</v>
      </c>
      <c r="V144" s="49" t="n">
        <v>0</v>
      </c>
      <c r="W144" s="49" t="n">
        <v>0</v>
      </c>
      <c r="X144" s="49" t="n">
        <v>75.2</v>
      </c>
    </row>
    <row r="145">
      <c r="A145" s="49" t="inlineStr">
        <is>
          <t>Peanut shell</t>
        </is>
      </c>
      <c r="B145" s="49" t="n">
        <v>45.01</v>
      </c>
      <c r="C145" s="49" t="n">
        <v>26.812</v>
      </c>
      <c r="D145" s="49" t="n">
        <v>33.6</v>
      </c>
      <c r="E145" s="49" t="n">
        <v>75.56999999999999</v>
      </c>
      <c r="F145" s="49" t="n">
        <v>4.759</v>
      </c>
      <c r="G145" s="49" t="n">
        <v>19.665</v>
      </c>
      <c r="H145" s="49" t="n">
        <v>52.96</v>
      </c>
      <c r="I145" s="49" t="n">
        <v>40.2</v>
      </c>
      <c r="J145" s="49" t="n">
        <v>6.24</v>
      </c>
      <c r="K145" s="49" t="n">
        <v>4</v>
      </c>
      <c r="L145" s="49" t="n">
        <v>1</v>
      </c>
      <c r="M145" s="49" t="n">
        <v>1</v>
      </c>
      <c r="N145" s="49" t="n">
        <v>1</v>
      </c>
      <c r="O145" s="49" t="n">
        <v>4</v>
      </c>
      <c r="P145" s="49" t="n">
        <v>120</v>
      </c>
      <c r="Q145" s="49" t="n">
        <v>3</v>
      </c>
      <c r="R145" s="49" t="n">
        <v>400</v>
      </c>
      <c r="S145" s="49" t="n">
        <v>1</v>
      </c>
      <c r="T145" s="49" t="n">
        <v>5</v>
      </c>
      <c r="U145" s="49" t="n">
        <v>120</v>
      </c>
      <c r="V145" s="49" t="n">
        <v>5</v>
      </c>
      <c r="W145" s="49" t="n">
        <v>1000</v>
      </c>
      <c r="X145" s="49" t="n">
        <v>93.25</v>
      </c>
    </row>
    <row r="146">
      <c r="A146" s="49" t="inlineStr">
        <is>
          <t>Peanut skin</t>
        </is>
      </c>
      <c r="B146" s="49" t="n">
        <v>30</v>
      </c>
      <c r="C146" s="49" t="n">
        <v>20</v>
      </c>
      <c r="D146" s="49" t="n">
        <v>32</v>
      </c>
      <c r="E146" s="49" t="n">
        <v>77.3539149814752</v>
      </c>
      <c r="F146" s="49" t="n">
        <v>3.27901611242095</v>
      </c>
      <c r="G146" s="49" t="n">
        <v>15.2615461090528</v>
      </c>
      <c r="H146" s="49" t="n">
        <v>44.5063249915796</v>
      </c>
      <c r="I146" s="49" t="n">
        <v>47.330020568841</v>
      </c>
      <c r="J146" s="49" t="n">
        <v>5.76776105587366</v>
      </c>
      <c r="K146" s="49" t="n">
        <v>4</v>
      </c>
      <c r="L146" s="49" t="n">
        <v>1</v>
      </c>
      <c r="M146" s="49" t="n">
        <v>1</v>
      </c>
      <c r="N146" s="49" t="n">
        <v>0</v>
      </c>
      <c r="O146" s="49" t="n">
        <v>0</v>
      </c>
      <c r="P146" s="49" t="n">
        <v>1440</v>
      </c>
      <c r="Q146" s="49" t="n">
        <v>5</v>
      </c>
      <c r="R146" s="49" t="n">
        <v>180</v>
      </c>
      <c r="S146" s="49" t="n">
        <v>1</v>
      </c>
      <c r="T146" s="49" t="n">
        <v>8</v>
      </c>
      <c r="U146" s="49" t="n">
        <v>15.9438111062865</v>
      </c>
      <c r="V146" s="49" t="n">
        <v>2.24497130770219</v>
      </c>
      <c r="W146" s="49" t="n">
        <v>800</v>
      </c>
      <c r="X146" s="49" t="n">
        <v>95.31999999999999</v>
      </c>
    </row>
    <row r="147">
      <c r="A147" s="49" t="inlineStr">
        <is>
          <t>Peanut skin</t>
        </is>
      </c>
      <c r="B147" s="49" t="n">
        <v>30</v>
      </c>
      <c r="C147" s="49" t="n">
        <v>20</v>
      </c>
      <c r="D147" s="49" t="n">
        <v>32</v>
      </c>
      <c r="E147" s="49" t="n">
        <v>77.353913349549</v>
      </c>
      <c r="F147" s="49" t="n">
        <v>3.27901622780967</v>
      </c>
      <c r="G147" s="49" t="n">
        <v>15.2615459277277</v>
      </c>
      <c r="H147" s="49" t="n">
        <v>44.506324249795</v>
      </c>
      <c r="I147" s="49" t="n">
        <v>47.3300217392123</v>
      </c>
      <c r="J147" s="49" t="n">
        <v>5.76776108389663</v>
      </c>
      <c r="K147" s="49" t="n">
        <v>4</v>
      </c>
      <c r="L147" s="49" t="n">
        <v>1</v>
      </c>
      <c r="M147" s="49" t="n">
        <v>1</v>
      </c>
      <c r="N147" s="49" t="n">
        <v>0</v>
      </c>
      <c r="O147" s="49" t="n">
        <v>0</v>
      </c>
      <c r="P147" s="49" t="n">
        <v>1440</v>
      </c>
      <c r="Q147" s="49" t="n">
        <v>5</v>
      </c>
      <c r="R147" s="49" t="n">
        <v>180</v>
      </c>
      <c r="S147" s="49" t="n">
        <v>1</v>
      </c>
      <c r="T147" s="49" t="n">
        <v>8</v>
      </c>
      <c r="U147" s="49" t="n">
        <v>15.9475004546112</v>
      </c>
      <c r="V147" s="49" t="n">
        <v>2.24468488411158</v>
      </c>
      <c r="W147" s="49" t="n">
        <v>800</v>
      </c>
      <c r="X147" s="49" t="n">
        <v>95.94</v>
      </c>
    </row>
    <row r="148">
      <c r="A148" s="49" t="inlineStr">
        <is>
          <t>Peanut skin</t>
        </is>
      </c>
      <c r="B148" s="49" t="n">
        <v>30</v>
      </c>
      <c r="C148" s="49" t="n">
        <v>20</v>
      </c>
      <c r="D148" s="49" t="n">
        <v>32</v>
      </c>
      <c r="E148" s="49" t="n">
        <v>77.3539132973314</v>
      </c>
      <c r="F148" s="49" t="n">
        <v>3.27901623150182</v>
      </c>
      <c r="G148" s="49" t="n">
        <v>15.2615459219257</v>
      </c>
      <c r="H148" s="49" t="n">
        <v>44.5063242260597</v>
      </c>
      <c r="I148" s="49" t="n">
        <v>47.3300217766613</v>
      </c>
      <c r="J148" s="49" t="n">
        <v>5.7677610847933</v>
      </c>
      <c r="K148" s="49" t="n">
        <v>4</v>
      </c>
      <c r="L148" s="49" t="n">
        <v>1</v>
      </c>
      <c r="M148" s="49" t="n">
        <v>1</v>
      </c>
      <c r="N148" s="49" t="n">
        <v>1</v>
      </c>
      <c r="O148" s="49" t="n">
        <v>0</v>
      </c>
      <c r="P148" s="49" t="n">
        <v>1440</v>
      </c>
      <c r="Q148" s="49" t="n">
        <v>5</v>
      </c>
      <c r="R148" s="49" t="n">
        <v>180</v>
      </c>
      <c r="S148" s="49" t="n">
        <v>1</v>
      </c>
      <c r="T148" s="49" t="n">
        <v>8</v>
      </c>
      <c r="U148" s="49" t="n">
        <v>15.9479716960048</v>
      </c>
      <c r="V148" s="49" t="n">
        <v>2.24467350661756</v>
      </c>
      <c r="W148" s="49" t="n">
        <v>800</v>
      </c>
      <c r="X148" s="49" t="n">
        <v>95.95</v>
      </c>
    </row>
    <row r="149">
      <c r="A149" s="49" t="inlineStr">
        <is>
          <t>Peanut skin</t>
        </is>
      </c>
      <c r="B149" s="49" t="n">
        <v>30</v>
      </c>
      <c r="C149" s="49" t="n">
        <v>20</v>
      </c>
      <c r="D149" s="49" t="n">
        <v>32</v>
      </c>
      <c r="E149" s="49" t="n">
        <v>77.3539120256555</v>
      </c>
      <c r="F149" s="49" t="n">
        <v>3.2790163214183</v>
      </c>
      <c r="G149" s="49" t="n">
        <v>15.2615457806284</v>
      </c>
      <c r="H149" s="49" t="n">
        <v>44.5063236480252</v>
      </c>
      <c r="I149" s="49" t="n">
        <v>47.3300226886714</v>
      </c>
      <c r="J149" s="49" t="n">
        <v>5.76776110663016</v>
      </c>
      <c r="K149" s="49" t="n">
        <v>4</v>
      </c>
      <c r="L149" s="49" t="n">
        <v>1</v>
      </c>
      <c r="M149" s="49" t="n">
        <v>1</v>
      </c>
      <c r="N149" s="49" t="n">
        <v>1</v>
      </c>
      <c r="O149" s="49" t="n">
        <v>0</v>
      </c>
      <c r="P149" s="49" t="n">
        <v>1440</v>
      </c>
      <c r="Q149" s="49" t="n">
        <v>5</v>
      </c>
      <c r="R149" s="49" t="n">
        <v>180</v>
      </c>
      <c r="S149" s="49" t="n">
        <v>1</v>
      </c>
      <c r="T149" s="49" t="n">
        <v>8</v>
      </c>
      <c r="U149" s="49" t="n">
        <v>15.9519110573231</v>
      </c>
      <c r="V149" s="49" t="n">
        <v>2.24438712865369</v>
      </c>
      <c r="W149" s="49" t="n">
        <v>800</v>
      </c>
      <c r="X149" s="49" t="n">
        <v>96.56</v>
      </c>
    </row>
    <row r="150">
      <c r="A150" s="49" t="inlineStr">
        <is>
          <t>Peanut skin</t>
        </is>
      </c>
      <c r="B150" s="49" t="n">
        <v>30</v>
      </c>
      <c r="C150" s="49" t="n">
        <v>20</v>
      </c>
      <c r="D150" s="49" t="n">
        <v>32</v>
      </c>
      <c r="E150" s="49" t="n">
        <v>76.89685239543221</v>
      </c>
      <c r="F150" s="49" t="n">
        <v>5.72407749672661</v>
      </c>
      <c r="G150" s="49" t="n">
        <v>16.0959367541866</v>
      </c>
      <c r="H150" s="49" t="n">
        <v>48.1375179495647</v>
      </c>
      <c r="I150" s="49" t="n">
        <v>45.6080004328003</v>
      </c>
      <c r="J150" s="49" t="n">
        <v>6.14764703191486</v>
      </c>
      <c r="K150" s="49" t="n">
        <v>6</v>
      </c>
      <c r="L150" s="49" t="n">
        <v>7</v>
      </c>
      <c r="M150" s="49" t="n">
        <v>1</v>
      </c>
      <c r="N150" s="49" t="n">
        <v>0</v>
      </c>
      <c r="O150" s="49" t="n">
        <v>0</v>
      </c>
      <c r="P150" s="49" t="n">
        <v>120</v>
      </c>
      <c r="Q150" s="49" t="n">
        <v>2.20291874649799</v>
      </c>
      <c r="R150" s="49" t="n">
        <v>180</v>
      </c>
      <c r="S150" s="49" t="n">
        <v>1</v>
      </c>
      <c r="T150" s="49" t="n">
        <v>1</v>
      </c>
      <c r="U150" s="49" t="n">
        <v>120</v>
      </c>
      <c r="V150" s="49" t="n">
        <v>6.99270313375502</v>
      </c>
      <c r="W150" s="49" t="n">
        <v>700</v>
      </c>
      <c r="X150" s="49" t="n">
        <v>89.12</v>
      </c>
    </row>
    <row r="151">
      <c r="A151" s="49" t="inlineStr">
        <is>
          <t>Peanut skin</t>
        </is>
      </c>
      <c r="B151" s="49" t="n">
        <v>30</v>
      </c>
      <c r="C151" s="49" t="n">
        <v>20</v>
      </c>
      <c r="D151" s="49" t="n">
        <v>32</v>
      </c>
      <c r="E151" s="49" t="n">
        <v>76.89678951628861</v>
      </c>
      <c r="F151" s="49" t="n">
        <v>5.72411111868839</v>
      </c>
      <c r="G151" s="49" t="n">
        <v>16.0959282125927</v>
      </c>
      <c r="H151" s="49" t="n">
        <v>48.1375086499714</v>
      </c>
      <c r="I151" s="49" t="n">
        <v>45.6080090696873</v>
      </c>
      <c r="J151" s="49" t="n">
        <v>6.14765364172694</v>
      </c>
      <c r="K151" s="49" t="n">
        <v>6</v>
      </c>
      <c r="L151" s="49" t="n">
        <v>7</v>
      </c>
      <c r="M151" s="49" t="n">
        <v>1</v>
      </c>
      <c r="N151" s="49" t="n">
        <v>0</v>
      </c>
      <c r="O151" s="49" t="n">
        <v>0</v>
      </c>
      <c r="P151" s="49" t="n">
        <v>120</v>
      </c>
      <c r="Q151" s="49" t="n">
        <v>2.20294886222562</v>
      </c>
      <c r="R151" s="49" t="n">
        <v>180</v>
      </c>
      <c r="S151" s="49" t="n">
        <v>1</v>
      </c>
      <c r="T151" s="49" t="n">
        <v>1</v>
      </c>
      <c r="U151" s="49" t="n">
        <v>120</v>
      </c>
      <c r="V151" s="49" t="n">
        <v>6.99262784443595</v>
      </c>
      <c r="W151" s="49" t="n">
        <v>700</v>
      </c>
      <c r="X151" s="49" t="n">
        <v>91.59999999999999</v>
      </c>
    </row>
    <row r="152">
      <c r="A152" s="49" t="inlineStr">
        <is>
          <t>Peanut skin</t>
        </is>
      </c>
      <c r="B152" s="49" t="n">
        <v>30</v>
      </c>
      <c r="C152" s="49" t="n">
        <v>20</v>
      </c>
      <c r="D152" s="49" t="n">
        <v>32</v>
      </c>
      <c r="E152" s="49" t="n">
        <v>76.8967933639868</v>
      </c>
      <c r="F152" s="49" t="n">
        <v>5.72410786702982</v>
      </c>
      <c r="G152" s="49" t="n">
        <v>16.0959314092102</v>
      </c>
      <c r="H152" s="49" t="n">
        <v>48.1375127982968</v>
      </c>
      <c r="I152" s="49" t="n">
        <v>45.6080045543058</v>
      </c>
      <c r="J152" s="49" t="n">
        <v>6.14765320365092</v>
      </c>
      <c r="K152" s="49" t="n">
        <v>6</v>
      </c>
      <c r="L152" s="49" t="n">
        <v>7</v>
      </c>
      <c r="M152" s="49" t="n">
        <v>1</v>
      </c>
      <c r="N152" s="49" t="n">
        <v>0</v>
      </c>
      <c r="O152" s="49" t="n">
        <v>0</v>
      </c>
      <c r="P152" s="49" t="n">
        <v>120</v>
      </c>
      <c r="Q152" s="49" t="n">
        <v>2.20293796290716</v>
      </c>
      <c r="R152" s="49" t="n">
        <v>180</v>
      </c>
      <c r="S152" s="49" t="n">
        <v>1</v>
      </c>
      <c r="T152" s="49" t="n">
        <v>1</v>
      </c>
      <c r="U152" s="49" t="n">
        <v>120</v>
      </c>
      <c r="V152" s="49" t="n">
        <v>6.9926550927321</v>
      </c>
      <c r="W152" s="49" t="n">
        <v>700</v>
      </c>
      <c r="X152" s="49" t="n">
        <v>90.7</v>
      </c>
    </row>
    <row r="153">
      <c r="A153" s="49" t="inlineStr">
        <is>
          <t>Peat moss</t>
        </is>
      </c>
      <c r="B153" s="49" t="n">
        <v>55</v>
      </c>
      <c r="C153" s="49" t="n">
        <v>65</v>
      </c>
      <c r="D153" s="49" t="n">
        <v>3</v>
      </c>
      <c r="E153" s="49" t="n">
        <v>69.2</v>
      </c>
      <c r="F153" s="49" t="n">
        <v>5.16</v>
      </c>
      <c r="G153" s="49" t="n">
        <v>25.3</v>
      </c>
      <c r="H153" s="49" t="n">
        <v>53.6</v>
      </c>
      <c r="I153" s="49" t="n">
        <v>32.9</v>
      </c>
      <c r="J153" s="49" t="n">
        <v>5.7</v>
      </c>
      <c r="K153" s="49" t="n">
        <v>4</v>
      </c>
      <c r="L153" s="49" t="n">
        <v>2</v>
      </c>
      <c r="M153" s="49" t="n">
        <v>0</v>
      </c>
      <c r="N153" s="49" t="n">
        <v>1</v>
      </c>
      <c r="O153" s="49" t="n">
        <v>4</v>
      </c>
      <c r="P153" s="49" t="n">
        <v>60</v>
      </c>
      <c r="Q153" s="49" t="n">
        <v>5</v>
      </c>
      <c r="R153" s="49" t="n">
        <v>900</v>
      </c>
      <c r="S153" s="49" t="n">
        <v>0</v>
      </c>
      <c r="T153" s="49" t="n">
        <v>5</v>
      </c>
      <c r="U153" s="49" t="n">
        <v>0</v>
      </c>
      <c r="V153" s="49" t="n">
        <v>0</v>
      </c>
      <c r="W153" s="49" t="n">
        <v>0</v>
      </c>
      <c r="X153" s="49" t="n">
        <v>84.59</v>
      </c>
    </row>
    <row r="154">
      <c r="A154" s="49" t="inlineStr">
        <is>
          <t>Peat moss</t>
        </is>
      </c>
      <c r="B154" s="49" t="n">
        <v>55</v>
      </c>
      <c r="C154" s="49" t="n">
        <v>65</v>
      </c>
      <c r="D154" s="49" t="n">
        <v>3</v>
      </c>
      <c r="E154" s="49" t="n">
        <v>69.2</v>
      </c>
      <c r="F154" s="49" t="n">
        <v>5.16</v>
      </c>
      <c r="G154" s="49" t="n">
        <v>25.3</v>
      </c>
      <c r="H154" s="49" t="n">
        <v>53.6</v>
      </c>
      <c r="I154" s="49" t="n">
        <v>32.9</v>
      </c>
      <c r="J154" s="49" t="n">
        <v>5.7</v>
      </c>
      <c r="K154" s="49" t="n">
        <v>4</v>
      </c>
      <c r="L154" s="49" t="n">
        <v>2</v>
      </c>
      <c r="M154" s="49" t="n">
        <v>0</v>
      </c>
      <c r="N154" s="49" t="n">
        <v>1</v>
      </c>
      <c r="O154" s="49" t="n">
        <v>4</v>
      </c>
      <c r="P154" s="49" t="n">
        <v>60</v>
      </c>
      <c r="Q154" s="49" t="n">
        <v>5</v>
      </c>
      <c r="R154" s="49" t="n">
        <v>1100</v>
      </c>
      <c r="S154" s="49" t="n">
        <v>0</v>
      </c>
      <c r="T154" s="49" t="n">
        <v>5</v>
      </c>
      <c r="U154" s="49" t="n">
        <v>0</v>
      </c>
      <c r="V154" s="49" t="n">
        <v>0</v>
      </c>
      <c r="W154" s="49" t="n">
        <v>0</v>
      </c>
      <c r="X154" s="49" t="n">
        <v>87.11</v>
      </c>
    </row>
    <row r="155">
      <c r="A155" s="49" t="inlineStr">
        <is>
          <t>Peat moss</t>
        </is>
      </c>
      <c r="B155" s="49" t="n">
        <v>55</v>
      </c>
      <c r="C155" s="49" t="n">
        <v>65</v>
      </c>
      <c r="D155" s="49" t="n">
        <v>3</v>
      </c>
      <c r="E155" s="49" t="n">
        <v>69.2</v>
      </c>
      <c r="F155" s="49" t="n">
        <v>5.16</v>
      </c>
      <c r="G155" s="49" t="n">
        <v>25.3</v>
      </c>
      <c r="H155" s="49" t="n">
        <v>53.6</v>
      </c>
      <c r="I155" s="49" t="n">
        <v>32.9</v>
      </c>
      <c r="J155" s="49" t="n">
        <v>5.7</v>
      </c>
      <c r="K155" s="49" t="n">
        <v>4</v>
      </c>
      <c r="L155" s="49" t="n">
        <v>2</v>
      </c>
      <c r="M155" s="49" t="n">
        <v>0</v>
      </c>
      <c r="N155" s="49" t="n">
        <v>1</v>
      </c>
      <c r="O155" s="49" t="n">
        <v>4</v>
      </c>
      <c r="P155" s="49" t="n">
        <v>60</v>
      </c>
      <c r="Q155" s="49" t="n">
        <v>5</v>
      </c>
      <c r="R155" s="49" t="n">
        <v>1400</v>
      </c>
      <c r="S155" s="49" t="n">
        <v>0</v>
      </c>
      <c r="T155" s="49" t="n">
        <v>5</v>
      </c>
      <c r="U155" s="49" t="n">
        <v>0</v>
      </c>
      <c r="V155" s="49" t="n">
        <v>0</v>
      </c>
      <c r="W155" s="49" t="n">
        <v>0</v>
      </c>
      <c r="X155" s="49" t="n">
        <v>93.34999999999999</v>
      </c>
    </row>
    <row r="156">
      <c r="A156" s="49" t="inlineStr">
        <is>
          <t>Peat moss</t>
        </is>
      </c>
      <c r="B156" s="49" t="n">
        <v>55</v>
      </c>
      <c r="C156" s="49" t="n">
        <v>65</v>
      </c>
      <c r="D156" s="49" t="n">
        <v>3</v>
      </c>
      <c r="E156" s="49" t="n">
        <v>69.2</v>
      </c>
      <c r="F156" s="49" t="n">
        <v>5.16</v>
      </c>
      <c r="G156" s="49" t="n">
        <v>25.3</v>
      </c>
      <c r="H156" s="49" t="n">
        <v>53.6</v>
      </c>
      <c r="I156" s="49" t="n">
        <v>32.9</v>
      </c>
      <c r="J156" s="49" t="n">
        <v>5.7</v>
      </c>
      <c r="K156" s="49" t="n">
        <v>4</v>
      </c>
      <c r="L156" s="49" t="n">
        <v>2</v>
      </c>
      <c r="M156" s="49" t="n">
        <v>1</v>
      </c>
      <c r="N156" s="49" t="n">
        <v>1</v>
      </c>
      <c r="O156" s="49" t="n">
        <v>4</v>
      </c>
      <c r="P156" s="49" t="n">
        <v>60</v>
      </c>
      <c r="Q156" s="49" t="n">
        <v>5</v>
      </c>
      <c r="R156" s="49" t="n">
        <v>600</v>
      </c>
      <c r="S156" s="49" t="n">
        <v>1</v>
      </c>
      <c r="T156" s="49" t="n">
        <v>6</v>
      </c>
      <c r="U156" s="49" t="n">
        <v>3</v>
      </c>
      <c r="V156" s="49" t="n">
        <v>5</v>
      </c>
      <c r="W156" s="49" t="n">
        <v>300</v>
      </c>
      <c r="X156" s="49" t="n">
        <v>78.84999999999999</v>
      </c>
    </row>
    <row r="157">
      <c r="A157" s="49" t="inlineStr">
        <is>
          <t>Peat moss</t>
        </is>
      </c>
      <c r="B157" s="49" t="n">
        <v>55</v>
      </c>
      <c r="C157" s="49" t="n">
        <v>65</v>
      </c>
      <c r="D157" s="49" t="n">
        <v>3</v>
      </c>
      <c r="E157" s="49" t="n">
        <v>69.2</v>
      </c>
      <c r="F157" s="49" t="n">
        <v>5.16</v>
      </c>
      <c r="G157" s="49" t="n">
        <v>25.3</v>
      </c>
      <c r="H157" s="49" t="n">
        <v>53.6</v>
      </c>
      <c r="I157" s="49" t="n">
        <v>32.9</v>
      </c>
      <c r="J157" s="49" t="n">
        <v>5.7</v>
      </c>
      <c r="K157" s="49" t="n">
        <v>4</v>
      </c>
      <c r="L157" s="49" t="n">
        <v>2</v>
      </c>
      <c r="M157" s="49" t="n">
        <v>1</v>
      </c>
      <c r="N157" s="49" t="n">
        <v>1</v>
      </c>
      <c r="O157" s="49" t="n">
        <v>4</v>
      </c>
      <c r="P157" s="49" t="n">
        <v>60</v>
      </c>
      <c r="Q157" s="49" t="n">
        <v>5</v>
      </c>
      <c r="R157" s="49" t="n">
        <v>900</v>
      </c>
      <c r="S157" s="49" t="n">
        <v>1</v>
      </c>
      <c r="T157" s="49" t="n">
        <v>6</v>
      </c>
      <c r="U157" s="49" t="n">
        <v>3</v>
      </c>
      <c r="V157" s="49" t="n">
        <v>5</v>
      </c>
      <c r="W157" s="49" t="n">
        <v>300</v>
      </c>
      <c r="X157" s="49" t="n">
        <v>86.38</v>
      </c>
    </row>
    <row r="158">
      <c r="A158" s="49" t="inlineStr">
        <is>
          <t>Peat moss</t>
        </is>
      </c>
      <c r="B158" s="49" t="n">
        <v>55</v>
      </c>
      <c r="C158" s="49" t="n">
        <v>65</v>
      </c>
      <c r="D158" s="49" t="n">
        <v>3</v>
      </c>
      <c r="E158" s="49" t="n">
        <v>69.2</v>
      </c>
      <c r="F158" s="49" t="n">
        <v>5.16</v>
      </c>
      <c r="G158" s="49" t="n">
        <v>25.3</v>
      </c>
      <c r="H158" s="49" t="n">
        <v>53.6</v>
      </c>
      <c r="I158" s="49" t="n">
        <v>32.9</v>
      </c>
      <c r="J158" s="49" t="n">
        <v>5.7</v>
      </c>
      <c r="K158" s="49" t="n">
        <v>4</v>
      </c>
      <c r="L158" s="49" t="n">
        <v>2</v>
      </c>
      <c r="M158" s="49" t="n">
        <v>1</v>
      </c>
      <c r="N158" s="49" t="n">
        <v>1</v>
      </c>
      <c r="O158" s="49" t="n">
        <v>4</v>
      </c>
      <c r="P158" s="49" t="n">
        <v>60</v>
      </c>
      <c r="Q158" s="49" t="n">
        <v>5</v>
      </c>
      <c r="R158" s="49" t="n">
        <v>1100</v>
      </c>
      <c r="S158" s="49" t="n">
        <v>1</v>
      </c>
      <c r="T158" s="49" t="n">
        <v>6</v>
      </c>
      <c r="U158" s="49" t="n">
        <v>3</v>
      </c>
      <c r="V158" s="49" t="n">
        <v>5</v>
      </c>
      <c r="W158" s="49" t="n">
        <v>300</v>
      </c>
      <c r="X158" s="49" t="n">
        <v>89.34999999999999</v>
      </c>
    </row>
    <row r="159">
      <c r="A159" s="49" t="inlineStr">
        <is>
          <t>Peat moss</t>
        </is>
      </c>
      <c r="B159" s="49" t="n">
        <v>55</v>
      </c>
      <c r="C159" s="49" t="n">
        <v>65</v>
      </c>
      <c r="D159" s="49" t="n">
        <v>3</v>
      </c>
      <c r="E159" s="49" t="n">
        <v>69.2</v>
      </c>
      <c r="F159" s="49" t="n">
        <v>5.16</v>
      </c>
      <c r="G159" s="49" t="n">
        <v>25.3</v>
      </c>
      <c r="H159" s="49" t="n">
        <v>53.6</v>
      </c>
      <c r="I159" s="49" t="n">
        <v>32.9</v>
      </c>
      <c r="J159" s="49" t="n">
        <v>5.7</v>
      </c>
      <c r="K159" s="49" t="n">
        <v>4</v>
      </c>
      <c r="L159" s="49" t="n">
        <v>2</v>
      </c>
      <c r="M159" s="49" t="n">
        <v>1</v>
      </c>
      <c r="N159" s="49" t="n">
        <v>1</v>
      </c>
      <c r="O159" s="49" t="n">
        <v>4</v>
      </c>
      <c r="P159" s="49" t="n">
        <v>60</v>
      </c>
      <c r="Q159" s="49" t="n">
        <v>5</v>
      </c>
      <c r="R159" s="49" t="n">
        <v>1400</v>
      </c>
      <c r="S159" s="49" t="n">
        <v>1</v>
      </c>
      <c r="T159" s="49" t="n">
        <v>6</v>
      </c>
      <c r="U159" s="49" t="n">
        <v>3</v>
      </c>
      <c r="V159" s="49" t="n">
        <v>5</v>
      </c>
      <c r="W159" s="49" t="n">
        <v>300</v>
      </c>
      <c r="X159" s="49" t="n">
        <v>93.31</v>
      </c>
    </row>
    <row r="160">
      <c r="A160" s="49" t="inlineStr">
        <is>
          <t>Peat moss</t>
        </is>
      </c>
      <c r="B160" s="49" t="n">
        <v>55</v>
      </c>
      <c r="C160" s="49" t="n">
        <v>65</v>
      </c>
      <c r="D160" s="49" t="n">
        <v>3</v>
      </c>
      <c r="E160" s="49" t="n">
        <v>69.2</v>
      </c>
      <c r="F160" s="49" t="n">
        <v>5.16</v>
      </c>
      <c r="G160" s="49" t="n">
        <v>25.3</v>
      </c>
      <c r="H160" s="49" t="n">
        <v>53.6</v>
      </c>
      <c r="I160" s="49" t="n">
        <v>32.9</v>
      </c>
      <c r="J160" s="49" t="n">
        <v>5.7</v>
      </c>
      <c r="K160" s="49" t="n">
        <v>4</v>
      </c>
      <c r="L160" s="49" t="n">
        <v>2</v>
      </c>
      <c r="M160" s="49" t="n">
        <v>0</v>
      </c>
      <c r="N160" s="49" t="n">
        <v>1</v>
      </c>
      <c r="O160" s="49" t="n">
        <v>4</v>
      </c>
      <c r="P160" s="49" t="n">
        <v>60</v>
      </c>
      <c r="Q160" s="49" t="n">
        <v>5</v>
      </c>
      <c r="R160" s="49" t="n">
        <v>600</v>
      </c>
      <c r="S160" s="49" t="n">
        <v>0</v>
      </c>
      <c r="T160" s="49" t="n">
        <v>5</v>
      </c>
      <c r="U160" s="49" t="n">
        <v>0</v>
      </c>
      <c r="V160" s="49" t="n">
        <v>0</v>
      </c>
      <c r="W160" s="49" t="n">
        <v>0</v>
      </c>
      <c r="X160" s="49" t="n">
        <v>76.38</v>
      </c>
    </row>
    <row r="161">
      <c r="A161" s="49" t="inlineStr">
        <is>
          <t>Pine</t>
        </is>
      </c>
      <c r="B161" s="49" t="n">
        <v>32.09</v>
      </c>
      <c r="C161" s="49" t="n">
        <v>14.22</v>
      </c>
      <c r="D161" s="49" t="n">
        <v>31.15</v>
      </c>
      <c r="E161" s="49" t="n">
        <v>83.3</v>
      </c>
      <c r="F161" s="49" t="n">
        <v>1.3</v>
      </c>
      <c r="G161" s="49" t="n">
        <v>15.4</v>
      </c>
      <c r="H161" s="49" t="n">
        <v>52.2</v>
      </c>
      <c r="I161" s="49" t="n">
        <v>41.7</v>
      </c>
      <c r="J161" s="49" t="n">
        <v>6</v>
      </c>
      <c r="K161" s="49" t="n">
        <v>4</v>
      </c>
      <c r="L161" s="49" t="n">
        <v>5</v>
      </c>
      <c r="M161" s="49" t="n">
        <v>0</v>
      </c>
      <c r="N161" s="49" t="n">
        <v>1</v>
      </c>
      <c r="O161" s="49" t="n">
        <v>4</v>
      </c>
      <c r="P161" s="49" t="n">
        <v>60</v>
      </c>
      <c r="Q161" s="49" t="n">
        <v>3.3</v>
      </c>
      <c r="R161" s="49" t="n">
        <v>1000</v>
      </c>
      <c r="S161" s="49" t="n">
        <v>0</v>
      </c>
      <c r="T161" s="49" t="n">
        <v>5</v>
      </c>
      <c r="U161" s="49" t="n">
        <v>0</v>
      </c>
      <c r="V161" s="49" t="n">
        <v>0</v>
      </c>
      <c r="W161" s="49" t="n">
        <v>0</v>
      </c>
      <c r="X161" s="49" t="n">
        <v>93.90000000000001</v>
      </c>
    </row>
    <row r="162">
      <c r="A162" s="49" t="inlineStr">
        <is>
          <t>Pine</t>
        </is>
      </c>
      <c r="B162" s="49" t="n">
        <v>32.09</v>
      </c>
      <c r="C162" s="49" t="n">
        <v>14.22</v>
      </c>
      <c r="D162" s="49" t="n">
        <v>31.15</v>
      </c>
      <c r="E162" s="49" t="n">
        <v>83.3</v>
      </c>
      <c r="F162" s="49" t="n">
        <v>1.3</v>
      </c>
      <c r="G162" s="49" t="n">
        <v>15.4</v>
      </c>
      <c r="H162" s="49" t="n">
        <v>52.2</v>
      </c>
      <c r="I162" s="49" t="n">
        <v>41.7</v>
      </c>
      <c r="J162" s="49" t="n">
        <v>6</v>
      </c>
      <c r="K162" s="49" t="n">
        <v>4</v>
      </c>
      <c r="L162" s="49" t="n">
        <v>5</v>
      </c>
      <c r="M162" s="49" t="n">
        <v>0</v>
      </c>
      <c r="N162" s="49" t="n">
        <v>1</v>
      </c>
      <c r="O162" s="49" t="n">
        <v>4</v>
      </c>
      <c r="P162" s="49" t="n">
        <v>60</v>
      </c>
      <c r="Q162" s="49" t="n">
        <v>3.3</v>
      </c>
      <c r="R162" s="49" t="n">
        <v>1000</v>
      </c>
      <c r="S162" s="49" t="n">
        <v>0</v>
      </c>
      <c r="T162" s="49" t="n">
        <v>5</v>
      </c>
      <c r="U162" s="49" t="n">
        <v>0</v>
      </c>
      <c r="V162" s="49" t="n">
        <v>0</v>
      </c>
      <c r="W162" s="49" t="n">
        <v>0</v>
      </c>
      <c r="X162" s="49" t="n">
        <v>93.90000000000001</v>
      </c>
    </row>
    <row r="163">
      <c r="A163" s="49" t="inlineStr">
        <is>
          <t>Pine</t>
        </is>
      </c>
      <c r="B163" s="49" t="n">
        <v>32.09</v>
      </c>
      <c r="C163" s="49" t="n">
        <v>14.22</v>
      </c>
      <c r="D163" s="49" t="n">
        <v>31.15</v>
      </c>
      <c r="E163" s="49" t="n">
        <v>83.3</v>
      </c>
      <c r="F163" s="49" t="n">
        <v>1.3</v>
      </c>
      <c r="G163" s="49" t="n">
        <v>15.4</v>
      </c>
      <c r="H163" s="49" t="n">
        <v>52.2</v>
      </c>
      <c r="I163" s="49" t="n">
        <v>41.7</v>
      </c>
      <c r="J163" s="49" t="n">
        <v>6</v>
      </c>
      <c r="K163" s="49" t="n">
        <v>4</v>
      </c>
      <c r="L163" s="49" t="n">
        <v>5</v>
      </c>
      <c r="M163" s="49" t="n">
        <v>0</v>
      </c>
      <c r="N163" s="49" t="n">
        <v>1</v>
      </c>
      <c r="O163" s="49" t="n">
        <v>4</v>
      </c>
      <c r="P163" s="49" t="n">
        <v>60</v>
      </c>
      <c r="Q163" s="49" t="n">
        <v>3.3</v>
      </c>
      <c r="R163" s="49" t="n">
        <v>1200</v>
      </c>
      <c r="S163" s="49" t="n">
        <v>0</v>
      </c>
      <c r="T163" s="49" t="n">
        <v>5</v>
      </c>
      <c r="U163" s="49" t="n">
        <v>0</v>
      </c>
      <c r="V163" s="49" t="n">
        <v>0</v>
      </c>
      <c r="W163" s="49" t="n">
        <v>0</v>
      </c>
      <c r="X163" s="49" t="n">
        <v>92.40000000000001</v>
      </c>
    </row>
    <row r="164">
      <c r="A164" s="49" t="inlineStr">
        <is>
          <t>Pine</t>
        </is>
      </c>
      <c r="B164" s="49" t="n">
        <v>32.09</v>
      </c>
      <c r="C164" s="49" t="n">
        <v>14.22</v>
      </c>
      <c r="D164" s="49" t="n">
        <v>31.15</v>
      </c>
      <c r="E164" s="49" t="n">
        <v>83.3</v>
      </c>
      <c r="F164" s="49" t="n">
        <v>1.3</v>
      </c>
      <c r="G164" s="49" t="n">
        <v>15.4</v>
      </c>
      <c r="H164" s="49" t="n">
        <v>52.2</v>
      </c>
      <c r="I164" s="49" t="n">
        <v>41.7</v>
      </c>
      <c r="J164" s="49" t="n">
        <v>6</v>
      </c>
      <c r="K164" s="49" t="n">
        <v>4</v>
      </c>
      <c r="L164" s="49" t="n">
        <v>5</v>
      </c>
      <c r="M164" s="49" t="n">
        <v>0</v>
      </c>
      <c r="N164" s="49" t="n">
        <v>1</v>
      </c>
      <c r="O164" s="49" t="n">
        <v>4</v>
      </c>
      <c r="P164" s="49" t="n">
        <v>60</v>
      </c>
      <c r="Q164" s="49" t="n">
        <v>3.3</v>
      </c>
      <c r="R164" s="49" t="n">
        <v>1200</v>
      </c>
      <c r="S164" s="49" t="n">
        <v>0</v>
      </c>
      <c r="T164" s="49" t="n">
        <v>5</v>
      </c>
      <c r="U164" s="49" t="n">
        <v>0</v>
      </c>
      <c r="V164" s="49" t="n">
        <v>0</v>
      </c>
      <c r="W164" s="49" t="n">
        <v>0</v>
      </c>
      <c r="X164" s="49" t="n">
        <v>92.40000000000001</v>
      </c>
    </row>
    <row r="165">
      <c r="A165" s="49" t="inlineStr">
        <is>
          <t>Pine</t>
        </is>
      </c>
      <c r="B165" s="49" t="n">
        <v>32.09</v>
      </c>
      <c r="C165" s="49" t="n">
        <v>14.22</v>
      </c>
      <c r="D165" s="49" t="n">
        <v>31.15</v>
      </c>
      <c r="E165" s="49" t="n">
        <v>83.3</v>
      </c>
      <c r="F165" s="49" t="n">
        <v>1.3</v>
      </c>
      <c r="G165" s="49" t="n">
        <v>15.4</v>
      </c>
      <c r="H165" s="49" t="n">
        <v>52.2</v>
      </c>
      <c r="I165" s="49" t="n">
        <v>41.7</v>
      </c>
      <c r="J165" s="49" t="n">
        <v>6</v>
      </c>
      <c r="K165" s="49" t="n">
        <v>4</v>
      </c>
      <c r="L165" s="49" t="n">
        <v>5</v>
      </c>
      <c r="M165" s="49" t="n">
        <v>0</v>
      </c>
      <c r="N165" s="49" t="n">
        <v>1</v>
      </c>
      <c r="O165" s="49" t="n">
        <v>4</v>
      </c>
      <c r="P165" s="49" t="n">
        <v>60</v>
      </c>
      <c r="Q165" s="49" t="n">
        <v>3.3</v>
      </c>
      <c r="R165" s="49" t="n">
        <v>1400</v>
      </c>
      <c r="S165" s="49" t="n">
        <v>0</v>
      </c>
      <c r="T165" s="49" t="n">
        <v>5</v>
      </c>
      <c r="U165" s="49" t="n">
        <v>0</v>
      </c>
      <c r="V165" s="49" t="n">
        <v>0</v>
      </c>
      <c r="W165" s="49" t="n">
        <v>0</v>
      </c>
      <c r="X165" s="49" t="n">
        <v>98</v>
      </c>
    </row>
    <row r="166">
      <c r="A166" s="49" t="inlineStr">
        <is>
          <t>Pine</t>
        </is>
      </c>
      <c r="B166" s="49" t="n">
        <v>32.09</v>
      </c>
      <c r="C166" s="49" t="n">
        <v>14.22</v>
      </c>
      <c r="D166" s="49" t="n">
        <v>31.15</v>
      </c>
      <c r="E166" s="49" t="n">
        <v>83.3</v>
      </c>
      <c r="F166" s="49" t="n">
        <v>1.3</v>
      </c>
      <c r="G166" s="49" t="n">
        <v>15.4</v>
      </c>
      <c r="H166" s="49" t="n">
        <v>52.2</v>
      </c>
      <c r="I166" s="49" t="n">
        <v>41.7</v>
      </c>
      <c r="J166" s="49" t="n">
        <v>6</v>
      </c>
      <c r="K166" s="49" t="n">
        <v>4</v>
      </c>
      <c r="L166" s="49" t="n">
        <v>5</v>
      </c>
      <c r="M166" s="49" t="n">
        <v>0</v>
      </c>
      <c r="N166" s="49" t="n">
        <v>1</v>
      </c>
      <c r="O166" s="49" t="n">
        <v>4</v>
      </c>
      <c r="P166" s="49" t="n">
        <v>60</v>
      </c>
      <c r="Q166" s="49" t="n">
        <v>3.3</v>
      </c>
      <c r="R166" s="49" t="n">
        <v>1400</v>
      </c>
      <c r="S166" s="49" t="n">
        <v>0</v>
      </c>
      <c r="T166" s="49" t="n">
        <v>5</v>
      </c>
      <c r="U166" s="49" t="n">
        <v>0</v>
      </c>
      <c r="V166" s="49" t="n">
        <v>0</v>
      </c>
      <c r="W166" s="49" t="n">
        <v>0</v>
      </c>
      <c r="X166" s="49" t="n">
        <v>98</v>
      </c>
    </row>
    <row r="167">
      <c r="A167" s="49" t="inlineStr">
        <is>
          <t>Pinecone</t>
        </is>
      </c>
      <c r="B167" s="49" t="n">
        <v>32.91</v>
      </c>
      <c r="C167" s="49" t="n">
        <v>22.92</v>
      </c>
      <c r="D167" s="49" t="n">
        <v>30</v>
      </c>
      <c r="E167" s="49" t="n">
        <v>80.34999999999999</v>
      </c>
      <c r="F167" s="49" t="n">
        <v>1.41</v>
      </c>
      <c r="G167" s="49" t="n">
        <v>10.27</v>
      </c>
      <c r="H167" s="49" t="n">
        <v>48.62</v>
      </c>
      <c r="I167" s="49" t="n">
        <v>38.45</v>
      </c>
      <c r="J167" s="49" t="n">
        <v>5.31</v>
      </c>
      <c r="K167" s="49" t="n">
        <v>6</v>
      </c>
      <c r="L167" s="49" t="n">
        <v>7</v>
      </c>
      <c r="M167" s="49" t="n">
        <v>1</v>
      </c>
      <c r="N167" s="49" t="n">
        <v>1</v>
      </c>
      <c r="O167" s="49" t="n">
        <v>1</v>
      </c>
      <c r="P167" s="49" t="n">
        <v>120</v>
      </c>
      <c r="Q167" s="49" t="n">
        <v>5.13070016534793</v>
      </c>
      <c r="R167" s="49" t="n">
        <v>500</v>
      </c>
      <c r="S167" s="49" t="n">
        <v>1</v>
      </c>
      <c r="T167" s="49" t="n">
        <v>0</v>
      </c>
      <c r="U167" s="49" t="n">
        <v>120</v>
      </c>
      <c r="V167" s="49" t="n">
        <v>5</v>
      </c>
      <c r="W167" s="49" t="n">
        <v>1400</v>
      </c>
      <c r="X167" s="49" t="n">
        <v>94.43000000000001</v>
      </c>
    </row>
    <row r="168">
      <c r="A168" s="49" t="inlineStr">
        <is>
          <t>Platanus</t>
        </is>
      </c>
      <c r="B168" s="49" t="n">
        <v>33.79</v>
      </c>
      <c r="C168" s="49" t="n">
        <v>19.91</v>
      </c>
      <c r="D168" s="49" t="n">
        <v>25.89</v>
      </c>
      <c r="E168" s="49" t="n">
        <v>74.09999999999999</v>
      </c>
      <c r="F168" s="49" t="n">
        <v>3.61</v>
      </c>
      <c r="G168" s="49" t="n">
        <v>22.29</v>
      </c>
      <c r="H168" s="49" t="n">
        <v>47.8</v>
      </c>
      <c r="I168" s="49" t="n">
        <v>40.33</v>
      </c>
      <c r="J168" s="49" t="n">
        <v>6.62</v>
      </c>
      <c r="K168" s="49" t="n">
        <v>0</v>
      </c>
      <c r="L168" s="49" t="n">
        <v>5</v>
      </c>
      <c r="M168" s="49" t="n">
        <v>1</v>
      </c>
      <c r="N168" s="49" t="n">
        <v>1</v>
      </c>
      <c r="O168" s="49" t="n">
        <v>4</v>
      </c>
      <c r="P168" s="49" t="n">
        <v>60</v>
      </c>
      <c r="Q168" s="49" t="n">
        <v>1</v>
      </c>
      <c r="R168" s="49" t="n">
        <v>550</v>
      </c>
      <c r="S168" s="49" t="n">
        <v>1</v>
      </c>
      <c r="T168" s="49" t="n">
        <v>5</v>
      </c>
      <c r="U168" s="49" t="n">
        <v>120</v>
      </c>
      <c r="V168" s="49" t="n">
        <v>10</v>
      </c>
      <c r="W168" s="49" t="n">
        <v>700</v>
      </c>
      <c r="X168" s="49" t="n">
        <v>90.37</v>
      </c>
    </row>
    <row r="169">
      <c r="A169" s="49" t="inlineStr">
        <is>
          <t>Platanus</t>
        </is>
      </c>
      <c r="B169" s="49" t="n">
        <v>33.79</v>
      </c>
      <c r="C169" s="49" t="n">
        <v>19.91</v>
      </c>
      <c r="D169" s="49" t="n">
        <v>25.89</v>
      </c>
      <c r="E169" s="49" t="n">
        <v>74.09999999999999</v>
      </c>
      <c r="F169" s="49" t="n">
        <v>3.61</v>
      </c>
      <c r="G169" s="49" t="n">
        <v>22.29</v>
      </c>
      <c r="H169" s="49" t="n">
        <v>47.8</v>
      </c>
      <c r="I169" s="49" t="n">
        <v>40.33</v>
      </c>
      <c r="J169" s="49" t="n">
        <v>6.62</v>
      </c>
      <c r="K169" s="49" t="n">
        <v>4</v>
      </c>
      <c r="L169" s="49" t="n">
        <v>5</v>
      </c>
      <c r="M169" s="49" t="n">
        <v>1</v>
      </c>
      <c r="N169" s="49" t="n">
        <v>1</v>
      </c>
      <c r="O169" s="49" t="n">
        <v>4</v>
      </c>
      <c r="P169" s="49" t="n">
        <v>60</v>
      </c>
      <c r="Q169" s="49" t="n">
        <v>1</v>
      </c>
      <c r="R169" s="49" t="n">
        <v>550</v>
      </c>
      <c r="S169" s="49" t="n">
        <v>1</v>
      </c>
      <c r="T169" s="49" t="n">
        <v>5</v>
      </c>
      <c r="U169" s="49" t="n">
        <v>120</v>
      </c>
      <c r="V169" s="49" t="n">
        <v>10</v>
      </c>
      <c r="W169" s="49" t="n">
        <v>700</v>
      </c>
      <c r="X169" s="49" t="n">
        <v>85.86</v>
      </c>
    </row>
    <row r="170">
      <c r="A170" s="49" t="inlineStr">
        <is>
          <t>Platanus bark</t>
        </is>
      </c>
      <c r="B170" s="49" t="n">
        <v>33.79</v>
      </c>
      <c r="C170" s="49" t="n">
        <v>19.91</v>
      </c>
      <c r="D170" s="49" t="n">
        <v>25.89</v>
      </c>
      <c r="E170" s="49" t="n">
        <v>74.09999999999999</v>
      </c>
      <c r="F170" s="49" t="n">
        <v>3.61</v>
      </c>
      <c r="G170" s="49" t="n">
        <v>22.29</v>
      </c>
      <c r="H170" s="49" t="n">
        <v>47.8</v>
      </c>
      <c r="I170" s="49" t="n">
        <v>40.33</v>
      </c>
      <c r="J170" s="49" t="n">
        <v>6.62</v>
      </c>
      <c r="K170" s="49" t="n">
        <v>6</v>
      </c>
      <c r="L170" s="49" t="n">
        <v>5</v>
      </c>
      <c r="M170" s="49" t="n">
        <v>0</v>
      </c>
      <c r="N170" s="49" t="n">
        <v>1</v>
      </c>
      <c r="O170" s="49" t="n">
        <v>0</v>
      </c>
      <c r="P170" s="49" t="n">
        <v>107.918631266135</v>
      </c>
      <c r="Q170" s="49" t="n">
        <v>4.38240882887282</v>
      </c>
      <c r="R170" s="49" t="n">
        <v>700</v>
      </c>
      <c r="S170" s="49" t="n">
        <v>0</v>
      </c>
      <c r="T170" s="49" t="n">
        <v>5</v>
      </c>
      <c r="U170" s="49" t="n">
        <v>0</v>
      </c>
      <c r="V170" s="49" t="n">
        <v>0</v>
      </c>
      <c r="W170" s="49" t="n">
        <v>0</v>
      </c>
      <c r="X170" s="49" t="n">
        <v>93.59999999999999</v>
      </c>
    </row>
    <row r="171">
      <c r="A171" s="49" t="inlineStr">
        <is>
          <t>Potato peel</t>
        </is>
      </c>
      <c r="B171" s="49" t="n">
        <v>55.25</v>
      </c>
      <c r="C171" s="49" t="n">
        <v>11.71</v>
      </c>
      <c r="D171" s="49" t="n">
        <v>14.24</v>
      </c>
      <c r="E171" s="49" t="n">
        <v>66.54000000000001</v>
      </c>
      <c r="F171" s="49" t="n">
        <v>8.6</v>
      </c>
      <c r="G171" s="49" t="n">
        <v>16.55</v>
      </c>
      <c r="H171" s="49" t="n">
        <v>43.85</v>
      </c>
      <c r="I171" s="49" t="n">
        <v>46.83</v>
      </c>
      <c r="J171" s="49" t="n">
        <v>5.8</v>
      </c>
      <c r="K171" s="49" t="n">
        <v>4</v>
      </c>
      <c r="L171" s="49" t="n">
        <v>5</v>
      </c>
      <c r="M171" s="49" t="n">
        <v>0</v>
      </c>
      <c r="N171" s="49" t="n">
        <v>1</v>
      </c>
      <c r="O171" s="49" t="n">
        <v>4</v>
      </c>
      <c r="P171" s="49" t="n">
        <v>60</v>
      </c>
      <c r="Q171" s="49" t="n">
        <v>5</v>
      </c>
      <c r="R171" s="49" t="n">
        <v>1300</v>
      </c>
      <c r="S171" s="49" t="n">
        <v>0</v>
      </c>
      <c r="T171" s="49" t="n">
        <v>5</v>
      </c>
      <c r="U171" s="49" t="n">
        <v>0</v>
      </c>
      <c r="V171" s="49" t="n">
        <v>0</v>
      </c>
      <c r="W171" s="49" t="n">
        <v>0</v>
      </c>
      <c r="X171" s="49" t="n">
        <v>63.7</v>
      </c>
    </row>
    <row r="172">
      <c r="A172" s="49" t="inlineStr">
        <is>
          <t>Potato peel</t>
        </is>
      </c>
      <c r="B172" s="49" t="n">
        <v>55.25</v>
      </c>
      <c r="C172" s="49" t="n">
        <v>11.71</v>
      </c>
      <c r="D172" s="49" t="n">
        <v>14.24</v>
      </c>
      <c r="E172" s="49" t="n">
        <v>66.54000000000001</v>
      </c>
      <c r="F172" s="49" t="n">
        <v>8.6</v>
      </c>
      <c r="G172" s="49" t="n">
        <v>16.55</v>
      </c>
      <c r="H172" s="49" t="n">
        <v>43.85</v>
      </c>
      <c r="I172" s="49" t="n">
        <v>46.83</v>
      </c>
      <c r="J172" s="49" t="n">
        <v>5.8</v>
      </c>
      <c r="K172" s="49" t="n">
        <v>1</v>
      </c>
      <c r="L172" s="49" t="n">
        <v>5</v>
      </c>
      <c r="M172" s="49" t="n">
        <v>0</v>
      </c>
      <c r="N172" s="49" t="n">
        <v>1</v>
      </c>
      <c r="O172" s="49" t="n">
        <v>4</v>
      </c>
      <c r="P172" s="49" t="n">
        <v>60</v>
      </c>
      <c r="Q172" s="49" t="n">
        <v>5</v>
      </c>
      <c r="R172" s="49" t="n">
        <v>1300</v>
      </c>
      <c r="S172" s="49" t="n">
        <v>0</v>
      </c>
      <c r="T172" s="49" t="n">
        <v>5</v>
      </c>
      <c r="U172" s="49" t="n">
        <v>0</v>
      </c>
      <c r="V172" s="49" t="n">
        <v>0</v>
      </c>
      <c r="W172" s="49" t="n">
        <v>0</v>
      </c>
      <c r="X172" s="49" t="n">
        <v>80</v>
      </c>
    </row>
    <row r="173">
      <c r="A173" s="49" t="inlineStr">
        <is>
          <t>Reed straw</t>
        </is>
      </c>
      <c r="B173" s="49" t="n">
        <v>56</v>
      </c>
      <c r="C173" s="49" t="n">
        <v>14.5</v>
      </c>
      <c r="D173" s="49" t="n">
        <v>20.5</v>
      </c>
      <c r="E173" s="49" t="n">
        <v>79.73</v>
      </c>
      <c r="F173" s="49" t="n">
        <v>2</v>
      </c>
      <c r="G173" s="49" t="n">
        <v>14.47</v>
      </c>
      <c r="H173" s="49" t="n">
        <v>45.16</v>
      </c>
      <c r="I173" s="49" t="n">
        <v>48.78</v>
      </c>
      <c r="J173" s="49" t="n">
        <v>5.58</v>
      </c>
      <c r="K173" s="49" t="n">
        <v>2</v>
      </c>
      <c r="L173" s="49" t="n">
        <v>5</v>
      </c>
      <c r="M173" s="49" t="n">
        <v>1</v>
      </c>
      <c r="N173" s="49" t="n">
        <v>1</v>
      </c>
      <c r="O173" s="49" t="n">
        <v>4</v>
      </c>
      <c r="P173" s="49" t="n">
        <v>180</v>
      </c>
      <c r="Q173" s="49" t="n">
        <v>10</v>
      </c>
      <c r="R173" s="49" t="n">
        <v>400</v>
      </c>
      <c r="S173" s="49" t="n">
        <v>1</v>
      </c>
      <c r="T173" s="49" t="n">
        <v>5</v>
      </c>
      <c r="U173" s="49" t="n">
        <v>120</v>
      </c>
      <c r="V173" s="49" t="n">
        <v>5</v>
      </c>
      <c r="W173" s="49" t="n">
        <v>1400</v>
      </c>
      <c r="X173" s="49" t="n">
        <v>94.51000000000001</v>
      </c>
    </row>
    <row r="174">
      <c r="A174" s="49" t="inlineStr">
        <is>
          <t>Reed straw</t>
        </is>
      </c>
      <c r="B174" s="49" t="n">
        <v>56</v>
      </c>
      <c r="C174" s="49" t="n">
        <v>14.5</v>
      </c>
      <c r="D174" s="49" t="n">
        <v>20.5</v>
      </c>
      <c r="E174" s="49" t="n">
        <v>79.73</v>
      </c>
      <c r="F174" s="49" t="n">
        <v>2</v>
      </c>
      <c r="G174" s="49" t="n">
        <v>14.47</v>
      </c>
      <c r="H174" s="49" t="n">
        <v>45.16</v>
      </c>
      <c r="I174" s="49" t="n">
        <v>48.78</v>
      </c>
      <c r="J174" s="49" t="n">
        <v>5.58</v>
      </c>
      <c r="K174" s="49" t="n">
        <v>2</v>
      </c>
      <c r="L174" s="49" t="n">
        <v>5</v>
      </c>
      <c r="M174" s="49" t="n">
        <v>1</v>
      </c>
      <c r="N174" s="49" t="n">
        <v>1</v>
      </c>
      <c r="O174" s="49" t="n">
        <v>4</v>
      </c>
      <c r="P174" s="49" t="n">
        <v>180</v>
      </c>
      <c r="Q174" s="49" t="n">
        <v>10</v>
      </c>
      <c r="R174" s="49" t="n">
        <v>400</v>
      </c>
      <c r="S174" s="49" t="n">
        <v>1</v>
      </c>
      <c r="T174" s="49" t="n">
        <v>5</v>
      </c>
      <c r="U174" s="49" t="n">
        <v>120</v>
      </c>
      <c r="V174" s="49" t="n">
        <v>5</v>
      </c>
      <c r="W174" s="49" t="n">
        <v>1400</v>
      </c>
      <c r="X174" s="49" t="n">
        <v>93.72</v>
      </c>
    </row>
    <row r="175">
      <c r="A175" s="49" t="inlineStr">
        <is>
          <t>Reed straw</t>
        </is>
      </c>
      <c r="B175" s="49" t="n">
        <v>56</v>
      </c>
      <c r="C175" s="49" t="n">
        <v>14.5</v>
      </c>
      <c r="D175" s="49" t="n">
        <v>20.5</v>
      </c>
      <c r="E175" s="49" t="n">
        <v>79.73</v>
      </c>
      <c r="F175" s="49" t="n">
        <v>2</v>
      </c>
      <c r="G175" s="49" t="n">
        <v>14.47</v>
      </c>
      <c r="H175" s="49" t="n">
        <v>45.16</v>
      </c>
      <c r="I175" s="49" t="n">
        <v>48.78</v>
      </c>
      <c r="J175" s="49" t="n">
        <v>5.58</v>
      </c>
      <c r="K175" s="49" t="n">
        <v>2</v>
      </c>
      <c r="L175" s="49" t="n">
        <v>5</v>
      </c>
      <c r="M175" s="49" t="n">
        <v>1</v>
      </c>
      <c r="N175" s="49" t="n">
        <v>1</v>
      </c>
      <c r="O175" s="49" t="n">
        <v>4</v>
      </c>
      <c r="P175" s="49" t="n">
        <v>180</v>
      </c>
      <c r="Q175" s="49" t="n">
        <v>10</v>
      </c>
      <c r="R175" s="49" t="n">
        <v>400</v>
      </c>
      <c r="S175" s="49" t="n">
        <v>1</v>
      </c>
      <c r="T175" s="49" t="n">
        <v>5</v>
      </c>
      <c r="U175" s="49" t="n">
        <v>120</v>
      </c>
      <c r="V175" s="49" t="n">
        <v>5</v>
      </c>
      <c r="W175" s="49" t="n">
        <v>1400</v>
      </c>
      <c r="X175" s="49" t="n">
        <v>95.45999999999999</v>
      </c>
    </row>
    <row r="176">
      <c r="A176" s="49" t="inlineStr">
        <is>
          <t>Reed straw</t>
        </is>
      </c>
      <c r="B176" s="49" t="n">
        <v>56</v>
      </c>
      <c r="C176" s="49" t="n">
        <v>14.5</v>
      </c>
      <c r="D176" s="49" t="n">
        <v>20.5</v>
      </c>
      <c r="E176" s="49" t="n">
        <v>79.73</v>
      </c>
      <c r="F176" s="49" t="n">
        <v>2</v>
      </c>
      <c r="G176" s="49" t="n">
        <v>14.47</v>
      </c>
      <c r="H176" s="49" t="n">
        <v>45.16</v>
      </c>
      <c r="I176" s="49" t="n">
        <v>48.78</v>
      </c>
      <c r="J176" s="49" t="n">
        <v>5.58</v>
      </c>
      <c r="K176" s="49" t="n">
        <v>2</v>
      </c>
      <c r="L176" s="49" t="n">
        <v>5</v>
      </c>
      <c r="M176" s="49" t="n">
        <v>1</v>
      </c>
      <c r="N176" s="49" t="n">
        <v>1</v>
      </c>
      <c r="O176" s="49" t="n">
        <v>4</v>
      </c>
      <c r="P176" s="49" t="n">
        <v>180</v>
      </c>
      <c r="Q176" s="49" t="n">
        <v>10</v>
      </c>
      <c r="R176" s="49" t="n">
        <v>400</v>
      </c>
      <c r="S176" s="49" t="n">
        <v>1</v>
      </c>
      <c r="T176" s="49" t="n">
        <v>5</v>
      </c>
      <c r="U176" s="49" t="n">
        <v>120</v>
      </c>
      <c r="V176" s="49" t="n">
        <v>5</v>
      </c>
      <c r="W176" s="49" t="n">
        <v>1400</v>
      </c>
      <c r="X176" s="49" t="n">
        <v>93.48999999999999</v>
      </c>
    </row>
    <row r="177">
      <c r="A177" s="49" t="inlineStr">
        <is>
          <t>Reed straw</t>
        </is>
      </c>
      <c r="B177" s="49" t="n">
        <v>56</v>
      </c>
      <c r="C177" s="49" t="n">
        <v>14.5</v>
      </c>
      <c r="D177" s="49" t="n">
        <v>20.5</v>
      </c>
      <c r="E177" s="49" t="n">
        <v>79.73</v>
      </c>
      <c r="F177" s="49" t="n">
        <v>2</v>
      </c>
      <c r="G177" s="49" t="n">
        <v>14.47</v>
      </c>
      <c r="H177" s="49" t="n">
        <v>45.16</v>
      </c>
      <c r="I177" s="49" t="n">
        <v>48.78</v>
      </c>
      <c r="J177" s="49" t="n">
        <v>5.58</v>
      </c>
      <c r="K177" s="49" t="n">
        <v>2</v>
      </c>
      <c r="L177" s="49" t="n">
        <v>5</v>
      </c>
      <c r="M177" s="49" t="n">
        <v>1</v>
      </c>
      <c r="N177" s="49" t="n">
        <v>1</v>
      </c>
      <c r="O177" s="49" t="n">
        <v>4</v>
      </c>
      <c r="P177" s="49" t="n">
        <v>180</v>
      </c>
      <c r="Q177" s="49" t="n">
        <v>10</v>
      </c>
      <c r="R177" s="49" t="n">
        <v>400</v>
      </c>
      <c r="S177" s="49" t="n">
        <v>1</v>
      </c>
      <c r="T177" s="49" t="n">
        <v>5</v>
      </c>
      <c r="U177" s="49" t="n">
        <v>120</v>
      </c>
      <c r="V177" s="49" t="n">
        <v>5</v>
      </c>
      <c r="W177" s="49" t="n">
        <v>1400</v>
      </c>
      <c r="X177" s="49" t="n">
        <v>93.53</v>
      </c>
    </row>
    <row r="178">
      <c r="A178" s="49" t="inlineStr">
        <is>
          <t>Rice husk</t>
        </is>
      </c>
      <c r="B178" s="49" t="n">
        <v>38.3</v>
      </c>
      <c r="C178" s="49" t="n">
        <v>31.6</v>
      </c>
      <c r="D178" s="49" t="n">
        <v>11.8</v>
      </c>
      <c r="E178" s="49" t="n">
        <v>68.2</v>
      </c>
      <c r="F178" s="49" t="n">
        <v>16.1</v>
      </c>
      <c r="G178" s="49" t="n">
        <v>15.7</v>
      </c>
      <c r="H178" s="49" t="n">
        <v>45.2</v>
      </c>
      <c r="I178" s="49" t="n">
        <v>47.6</v>
      </c>
      <c r="J178" s="49" t="n">
        <v>5.8</v>
      </c>
      <c r="K178" s="49" t="n">
        <v>1</v>
      </c>
      <c r="L178" s="49" t="n">
        <v>5</v>
      </c>
      <c r="M178" s="49" t="n">
        <v>0</v>
      </c>
      <c r="N178" s="49" t="n">
        <v>1</v>
      </c>
      <c r="O178" s="49" t="n">
        <v>4</v>
      </c>
      <c r="P178" s="49" t="n">
        <v>120</v>
      </c>
      <c r="Q178" s="49" t="n">
        <v>5</v>
      </c>
      <c r="R178" s="49" t="n">
        <v>1100</v>
      </c>
      <c r="S178" s="49" t="n">
        <v>0</v>
      </c>
      <c r="T178" s="49" t="n">
        <v>5</v>
      </c>
      <c r="U178" s="49" t="n">
        <v>0</v>
      </c>
      <c r="V178" s="49" t="n">
        <v>0</v>
      </c>
      <c r="W178" s="49" t="n">
        <v>0</v>
      </c>
      <c r="X178" s="49" t="n">
        <v>89.09999999999999</v>
      </c>
    </row>
    <row r="179">
      <c r="A179" s="49" t="inlineStr">
        <is>
          <t>Rice husk</t>
        </is>
      </c>
      <c r="B179" s="49" t="n">
        <v>38.3</v>
      </c>
      <c r="C179" s="49" t="n">
        <v>31.6</v>
      </c>
      <c r="D179" s="49" t="n">
        <v>11.8</v>
      </c>
      <c r="E179" s="49" t="n">
        <v>68.2</v>
      </c>
      <c r="F179" s="49" t="n">
        <v>16.1</v>
      </c>
      <c r="G179" s="49" t="n">
        <v>15.7</v>
      </c>
      <c r="H179" s="49" t="n">
        <v>45.2</v>
      </c>
      <c r="I179" s="49" t="n">
        <v>47.6</v>
      </c>
      <c r="J179" s="49" t="n">
        <v>5.8</v>
      </c>
      <c r="K179" s="49" t="n">
        <v>1</v>
      </c>
      <c r="L179" s="49" t="n">
        <v>5</v>
      </c>
      <c r="M179" s="49" t="n">
        <v>0</v>
      </c>
      <c r="N179" s="49" t="n">
        <v>1</v>
      </c>
      <c r="O179" s="49" t="n">
        <v>4</v>
      </c>
      <c r="P179" s="49" t="n">
        <v>120</v>
      </c>
      <c r="Q179" s="49" t="n">
        <v>5</v>
      </c>
      <c r="R179" s="49" t="n">
        <v>1300</v>
      </c>
      <c r="S179" s="49" t="n">
        <v>0</v>
      </c>
      <c r="T179" s="49" t="n">
        <v>5</v>
      </c>
      <c r="U179" s="49" t="n">
        <v>0</v>
      </c>
      <c r="V179" s="49" t="n">
        <v>0</v>
      </c>
      <c r="W179" s="49" t="n">
        <v>0</v>
      </c>
      <c r="X179" s="49" t="n">
        <v>90.61</v>
      </c>
    </row>
    <row r="180">
      <c r="A180" s="49" t="inlineStr">
        <is>
          <t>Rice husk</t>
        </is>
      </c>
      <c r="B180" s="49" t="n">
        <v>38.3</v>
      </c>
      <c r="C180" s="49" t="n">
        <v>31.6</v>
      </c>
      <c r="D180" s="49" t="n">
        <v>11.8</v>
      </c>
      <c r="E180" s="49" t="n">
        <v>68.2</v>
      </c>
      <c r="F180" s="49" t="n">
        <v>16.1</v>
      </c>
      <c r="G180" s="49" t="n">
        <v>15.7</v>
      </c>
      <c r="H180" s="49" t="n">
        <v>45.2</v>
      </c>
      <c r="I180" s="49" t="n">
        <v>47.6</v>
      </c>
      <c r="J180" s="49" t="n">
        <v>5.8</v>
      </c>
      <c r="K180" s="49" t="n">
        <v>1</v>
      </c>
      <c r="L180" s="49" t="n">
        <v>5</v>
      </c>
      <c r="M180" s="49" t="n">
        <v>0</v>
      </c>
      <c r="N180" s="49" t="n">
        <v>1</v>
      </c>
      <c r="O180" s="49" t="n">
        <v>4</v>
      </c>
      <c r="P180" s="49" t="n">
        <v>120</v>
      </c>
      <c r="Q180" s="49" t="n">
        <v>5</v>
      </c>
      <c r="R180" s="49" t="n">
        <v>1500</v>
      </c>
      <c r="S180" s="49" t="n">
        <v>0</v>
      </c>
      <c r="T180" s="49" t="n">
        <v>5</v>
      </c>
      <c r="U180" s="49" t="n">
        <v>0</v>
      </c>
      <c r="V180" s="49" t="n">
        <v>0</v>
      </c>
      <c r="W180" s="49" t="n">
        <v>0</v>
      </c>
      <c r="X180" s="49" t="n">
        <v>94.34</v>
      </c>
    </row>
    <row r="181">
      <c r="A181" s="49" t="inlineStr">
        <is>
          <t>Rice husk</t>
        </is>
      </c>
      <c r="B181" s="49" t="n">
        <v>38.3</v>
      </c>
      <c r="C181" s="49" t="n">
        <v>31.6</v>
      </c>
      <c r="D181" s="49" t="n">
        <v>11.8</v>
      </c>
      <c r="E181" s="49" t="n">
        <v>68.2</v>
      </c>
      <c r="F181" s="49" t="n">
        <v>16.1</v>
      </c>
      <c r="G181" s="49" t="n">
        <v>15.7</v>
      </c>
      <c r="H181" s="49" t="n">
        <v>45.2</v>
      </c>
      <c r="I181" s="49" t="n">
        <v>47.6</v>
      </c>
      <c r="J181" s="49" t="n">
        <v>5.8</v>
      </c>
      <c r="K181" s="49" t="n">
        <v>4</v>
      </c>
      <c r="L181" s="49" t="n">
        <v>5</v>
      </c>
      <c r="M181" s="49" t="n">
        <v>1</v>
      </c>
      <c r="N181" s="49" t="n">
        <v>1</v>
      </c>
      <c r="O181" s="49" t="n">
        <v>4</v>
      </c>
      <c r="P181" s="49" t="n">
        <v>240</v>
      </c>
      <c r="Q181" s="49" t="n">
        <v>2.5</v>
      </c>
      <c r="R181" s="49" t="n">
        <v>360</v>
      </c>
      <c r="S181" s="49" t="n">
        <v>1</v>
      </c>
      <c r="T181" s="49" t="n">
        <v>5</v>
      </c>
      <c r="U181" s="49" t="n">
        <v>120</v>
      </c>
      <c r="V181" s="49" t="n">
        <v>0</v>
      </c>
      <c r="W181" s="49" t="n">
        <v>1300</v>
      </c>
      <c r="X181" s="49" t="n">
        <v>89.95999999999999</v>
      </c>
    </row>
    <row r="182">
      <c r="A182" s="49" t="inlineStr">
        <is>
          <t>Shaddock peel</t>
        </is>
      </c>
      <c r="B182" s="49" t="n">
        <v>25</v>
      </c>
      <c r="C182" s="49" t="n">
        <v>12</v>
      </c>
      <c r="D182" s="49" t="n">
        <v>18</v>
      </c>
      <c r="E182" s="49" t="n">
        <v>74.8950013685515</v>
      </c>
      <c r="F182" s="49" t="n">
        <v>3.18021291321051</v>
      </c>
      <c r="G182" s="49" t="n">
        <v>17.345934234164</v>
      </c>
      <c r="H182" s="49" t="n">
        <v>45.97977704481</v>
      </c>
      <c r="I182" s="49" t="n">
        <v>44.9410830190692</v>
      </c>
      <c r="J182" s="49" t="n">
        <v>5.94433720748246</v>
      </c>
      <c r="K182" s="49" t="n">
        <v>4</v>
      </c>
      <c r="L182" s="49" t="n">
        <v>6</v>
      </c>
      <c r="M182" s="49" t="n">
        <v>1</v>
      </c>
      <c r="N182" s="49" t="n">
        <v>0</v>
      </c>
      <c r="O182" s="49" t="n">
        <v>0</v>
      </c>
      <c r="P182" s="49" t="n">
        <v>1440</v>
      </c>
      <c r="Q182" s="49" t="n">
        <v>5</v>
      </c>
      <c r="R182" s="49" t="n">
        <v>180</v>
      </c>
      <c r="S182" s="49" t="n">
        <v>1</v>
      </c>
      <c r="T182" s="49" t="n">
        <v>5</v>
      </c>
      <c r="U182" s="49" t="n">
        <v>0</v>
      </c>
      <c r="V182" s="49" t="n">
        <v>0</v>
      </c>
      <c r="W182" s="49" t="n">
        <v>500</v>
      </c>
      <c r="X182" s="49" t="n">
        <v>80.04000000000001</v>
      </c>
    </row>
    <row r="183">
      <c r="A183" s="49" t="inlineStr">
        <is>
          <t>Shaddock peel</t>
        </is>
      </c>
      <c r="B183" s="49" t="n">
        <v>25</v>
      </c>
      <c r="C183" s="49" t="n">
        <v>12</v>
      </c>
      <c r="D183" s="49" t="n">
        <v>18</v>
      </c>
      <c r="E183" s="49" t="n">
        <v>77.81895527207971</v>
      </c>
      <c r="F183" s="49" t="n">
        <v>2.73702800400587</v>
      </c>
      <c r="G183" s="49" t="n">
        <v>15.4389237809331</v>
      </c>
      <c r="H183" s="49" t="n">
        <v>45.499015249775</v>
      </c>
      <c r="I183" s="49" t="n">
        <v>46.1307515543851</v>
      </c>
      <c r="J183" s="49" t="n">
        <v>5.86836608158653</v>
      </c>
      <c r="K183" s="49" t="n">
        <v>4</v>
      </c>
      <c r="L183" s="49" t="n">
        <v>6</v>
      </c>
      <c r="M183" s="49" t="n">
        <v>1</v>
      </c>
      <c r="N183" s="49" t="n">
        <v>0</v>
      </c>
      <c r="O183" s="49" t="n">
        <v>0</v>
      </c>
      <c r="P183" s="49" t="n">
        <v>1440</v>
      </c>
      <c r="Q183" s="49" t="n">
        <v>5</v>
      </c>
      <c r="R183" s="49" t="n">
        <v>180</v>
      </c>
      <c r="S183" s="49" t="n">
        <v>1</v>
      </c>
      <c r="T183" s="49" t="n">
        <v>5</v>
      </c>
      <c r="U183" s="49" t="n">
        <v>0</v>
      </c>
      <c r="V183" s="49" t="n">
        <v>0</v>
      </c>
      <c r="W183" s="49" t="n">
        <v>600</v>
      </c>
      <c r="X183" s="49" t="n">
        <v>86.97</v>
      </c>
    </row>
    <row r="184">
      <c r="A184" s="49" t="inlineStr">
        <is>
          <t>Shaddock peel</t>
        </is>
      </c>
      <c r="B184" s="49" t="n">
        <v>25</v>
      </c>
      <c r="C184" s="49" t="n">
        <v>12</v>
      </c>
      <c r="D184" s="49" t="n">
        <v>18</v>
      </c>
      <c r="E184" s="49" t="n">
        <v>75.9212388544325</v>
      </c>
      <c r="F184" s="49" t="n">
        <v>2.86950827389215</v>
      </c>
      <c r="G184" s="49" t="n">
        <v>15.2284865778972</v>
      </c>
      <c r="H184" s="49" t="n">
        <v>44.6390284174907</v>
      </c>
      <c r="I184" s="49" t="n">
        <v>47.4888462912199</v>
      </c>
      <c r="J184" s="49" t="n">
        <v>5.90131609742255</v>
      </c>
      <c r="K184" s="49" t="n">
        <v>4</v>
      </c>
      <c r="L184" s="49" t="n">
        <v>6</v>
      </c>
      <c r="M184" s="49" t="n">
        <v>1</v>
      </c>
      <c r="N184" s="49" t="n">
        <v>0</v>
      </c>
      <c r="O184" s="49" t="n">
        <v>0</v>
      </c>
      <c r="P184" s="49" t="n">
        <v>1440</v>
      </c>
      <c r="Q184" s="49" t="n">
        <v>5</v>
      </c>
      <c r="R184" s="49" t="n">
        <v>180</v>
      </c>
      <c r="S184" s="49" t="n">
        <v>1</v>
      </c>
      <c r="T184" s="49" t="n">
        <v>5</v>
      </c>
      <c r="U184" s="49" t="n">
        <v>0</v>
      </c>
      <c r="V184" s="49" t="n">
        <v>0</v>
      </c>
      <c r="W184" s="49" t="n">
        <v>700</v>
      </c>
      <c r="X184" s="49" t="n">
        <v>89.06999999999999</v>
      </c>
    </row>
    <row r="185">
      <c r="A185" s="49" t="inlineStr">
        <is>
          <t>Shaddock peel</t>
        </is>
      </c>
      <c r="B185" s="49" t="n">
        <v>25</v>
      </c>
      <c r="C185" s="49" t="n">
        <v>12</v>
      </c>
      <c r="D185" s="49" t="n">
        <v>18</v>
      </c>
      <c r="E185" s="49" t="n">
        <v>75.0719098510647</v>
      </c>
      <c r="F185" s="49" t="n">
        <v>10.4394083088731</v>
      </c>
      <c r="G185" s="49" t="n">
        <v>15.7792257153105</v>
      </c>
      <c r="H185" s="49" t="n">
        <v>43.1746437204471</v>
      </c>
      <c r="I185" s="49" t="n">
        <v>43.2729613125734</v>
      </c>
      <c r="J185" s="49" t="n">
        <v>4.64525007487928</v>
      </c>
      <c r="K185" s="49" t="n">
        <v>6</v>
      </c>
      <c r="L185" s="49" t="n">
        <v>1</v>
      </c>
      <c r="M185" s="49" t="n">
        <v>0</v>
      </c>
      <c r="N185" s="49" t="n">
        <v>1</v>
      </c>
      <c r="O185" s="49" t="n">
        <v>4</v>
      </c>
      <c r="P185" s="49" t="n">
        <v>120</v>
      </c>
      <c r="Q185" s="49" t="n">
        <v>3.64389577820124</v>
      </c>
      <c r="R185" s="49" t="n">
        <v>1200</v>
      </c>
      <c r="S185" s="49" t="n">
        <v>0</v>
      </c>
      <c r="T185" s="49" t="n">
        <v>5</v>
      </c>
      <c r="U185" s="49" t="n">
        <v>0</v>
      </c>
      <c r="V185" s="49" t="n">
        <v>0</v>
      </c>
      <c r="W185" s="49" t="n">
        <v>0</v>
      </c>
      <c r="X185" s="49" t="n">
        <v>96.98</v>
      </c>
    </row>
    <row r="186">
      <c r="A186" s="49" t="inlineStr">
        <is>
          <t>Shaddock peel</t>
        </is>
      </c>
      <c r="B186" s="49" t="n">
        <v>25</v>
      </c>
      <c r="C186" s="49" t="n">
        <v>12</v>
      </c>
      <c r="D186" s="49" t="n">
        <v>18</v>
      </c>
      <c r="E186" s="49" t="n">
        <v>73.33477244661231</v>
      </c>
      <c r="F186" s="49" t="n">
        <v>11.2235977726891</v>
      </c>
      <c r="G186" s="49" t="n">
        <v>16.8100559785993</v>
      </c>
      <c r="H186" s="49" t="n">
        <v>44.1771619809883</v>
      </c>
      <c r="I186" s="49" t="n">
        <v>41.1203463094278</v>
      </c>
      <c r="J186" s="49" t="n">
        <v>4.76444255682325</v>
      </c>
      <c r="K186" s="49" t="n">
        <v>6</v>
      </c>
      <c r="L186" s="49" t="n">
        <v>1</v>
      </c>
      <c r="M186" s="49" t="n">
        <v>0</v>
      </c>
      <c r="N186" s="49" t="n">
        <v>1</v>
      </c>
      <c r="O186" s="49" t="n">
        <v>4</v>
      </c>
      <c r="P186" s="49" t="n">
        <v>120</v>
      </c>
      <c r="Q186" s="49" t="n">
        <v>4.560015632726</v>
      </c>
      <c r="R186" s="49" t="n">
        <v>800</v>
      </c>
      <c r="S186" s="49" t="n">
        <v>0</v>
      </c>
      <c r="T186" s="49" t="n">
        <v>5</v>
      </c>
      <c r="U186" s="49" t="n">
        <v>0</v>
      </c>
      <c r="V186" s="49" t="n">
        <v>0</v>
      </c>
      <c r="W186" s="49" t="n">
        <v>0</v>
      </c>
      <c r="X186" s="49" t="n">
        <v>91.08</v>
      </c>
    </row>
    <row r="187">
      <c r="A187" s="49" t="inlineStr">
        <is>
          <t>Shaddock peel</t>
        </is>
      </c>
      <c r="B187" s="49" t="n">
        <v>25</v>
      </c>
      <c r="C187" s="49" t="n">
        <v>12</v>
      </c>
      <c r="D187" s="49" t="n">
        <v>18</v>
      </c>
      <c r="E187" s="49" t="n">
        <v>73.7527285499639</v>
      </c>
      <c r="F187" s="49" t="n">
        <v>11.5119860907107</v>
      </c>
      <c r="G187" s="49" t="n">
        <v>17.6427598638199</v>
      </c>
      <c r="H187" s="49" t="n">
        <v>43.8802338547495</v>
      </c>
      <c r="I187" s="49" t="n">
        <v>41.2582006199149</v>
      </c>
      <c r="J187" s="49" t="n">
        <v>4.58288417913576</v>
      </c>
      <c r="K187" s="49" t="n">
        <v>6</v>
      </c>
      <c r="L187" s="49" t="n">
        <v>1</v>
      </c>
      <c r="M187" s="49" t="n">
        <v>0</v>
      </c>
      <c r="N187" s="49" t="n">
        <v>1</v>
      </c>
      <c r="O187" s="49" t="n">
        <v>4</v>
      </c>
      <c r="P187" s="49" t="n">
        <v>120</v>
      </c>
      <c r="Q187" s="49" t="n">
        <v>3.64305923164516</v>
      </c>
      <c r="R187" s="49" t="n">
        <v>1000</v>
      </c>
      <c r="S187" s="49" t="n">
        <v>0</v>
      </c>
      <c r="T187" s="49" t="n">
        <v>5</v>
      </c>
      <c r="U187" s="49" t="n">
        <v>0</v>
      </c>
      <c r="V187" s="49" t="n">
        <v>0</v>
      </c>
      <c r="W187" s="49" t="n">
        <v>0</v>
      </c>
      <c r="X187" s="49" t="n">
        <v>94.98</v>
      </c>
    </row>
    <row r="188">
      <c r="A188" s="49" t="inlineStr">
        <is>
          <t>Shaddock peel</t>
        </is>
      </c>
      <c r="B188" s="49" t="n">
        <v>25</v>
      </c>
      <c r="C188" s="49" t="n">
        <v>12</v>
      </c>
      <c r="D188" s="49" t="n">
        <v>18</v>
      </c>
      <c r="E188" s="49" t="n">
        <v>84.34580677888459</v>
      </c>
      <c r="F188" s="49" t="n">
        <v>2.17779870629312</v>
      </c>
      <c r="G188" s="49" t="n">
        <v>12.0052638565027</v>
      </c>
      <c r="H188" s="49" t="n">
        <v>48.5059386698671</v>
      </c>
      <c r="I188" s="49" t="n">
        <v>42.6852526366688</v>
      </c>
      <c r="J188" s="49" t="n">
        <v>5.99316052601315</v>
      </c>
      <c r="K188" s="49" t="n">
        <v>6</v>
      </c>
      <c r="L188" s="49" t="n">
        <v>1</v>
      </c>
      <c r="M188" s="49" t="n">
        <v>0</v>
      </c>
      <c r="N188" s="49" t="n">
        <v>1</v>
      </c>
      <c r="O188" s="49" t="n">
        <v>4</v>
      </c>
      <c r="P188" s="49" t="n">
        <v>120</v>
      </c>
      <c r="Q188" s="49" t="n">
        <v>3.3</v>
      </c>
      <c r="R188" s="49" t="n">
        <v>1400</v>
      </c>
      <c r="S188" s="49" t="n">
        <v>0</v>
      </c>
      <c r="T188" s="49" t="n">
        <v>5</v>
      </c>
      <c r="U188" s="49" t="n">
        <v>0</v>
      </c>
      <c r="V188" s="49" t="n">
        <v>0</v>
      </c>
      <c r="W188" s="49" t="n">
        <v>0</v>
      </c>
      <c r="X188" s="49" t="n">
        <v>97.53</v>
      </c>
    </row>
    <row r="189">
      <c r="A189" s="49" t="inlineStr">
        <is>
          <t>Shaddok peel</t>
        </is>
      </c>
      <c r="B189" s="49" t="n">
        <v>25</v>
      </c>
      <c r="C189" s="49" t="n">
        <v>12</v>
      </c>
      <c r="D189" s="49" t="n">
        <v>18</v>
      </c>
      <c r="E189" s="49" t="n">
        <v>77.8141657195129</v>
      </c>
      <c r="F189" s="49" t="n">
        <v>2.73733428668306</v>
      </c>
      <c r="G189" s="49" t="n">
        <v>15.4383996017271</v>
      </c>
      <c r="H189" s="49" t="n">
        <v>45.4968878614803</v>
      </c>
      <c r="I189" s="49" t="n">
        <v>46.1341314352408</v>
      </c>
      <c r="J189" s="49" t="n">
        <v>5.86845523137725</v>
      </c>
      <c r="K189" s="49" t="n">
        <v>4</v>
      </c>
      <c r="L189" s="49" t="n">
        <v>5</v>
      </c>
      <c r="M189" s="49" t="n">
        <v>1</v>
      </c>
      <c r="N189" s="49" t="n">
        <v>0</v>
      </c>
      <c r="O189" s="49" t="n">
        <v>0</v>
      </c>
      <c r="P189" s="49" t="n">
        <v>1440</v>
      </c>
      <c r="Q189" s="49" t="n">
        <v>5</v>
      </c>
      <c r="R189" s="49" t="n">
        <v>180</v>
      </c>
      <c r="S189" s="49" t="n">
        <v>1</v>
      </c>
      <c r="T189" s="49" t="n">
        <v>8</v>
      </c>
      <c r="U189" s="49" t="n">
        <v>2.43160769946031</v>
      </c>
      <c r="V189" s="49" t="n">
        <v>5</v>
      </c>
      <c r="W189" s="49" t="n">
        <v>600</v>
      </c>
      <c r="X189" s="49" t="n">
        <v>80</v>
      </c>
    </row>
    <row r="190">
      <c r="A190" s="49" t="inlineStr">
        <is>
          <t>Shaddok peel</t>
        </is>
      </c>
      <c r="B190" s="49" t="n">
        <v>25</v>
      </c>
      <c r="C190" s="49" t="n">
        <v>12</v>
      </c>
      <c r="D190" s="49" t="n">
        <v>18</v>
      </c>
      <c r="E190" s="49" t="n">
        <v>75.9236883583869</v>
      </c>
      <c r="F190" s="49" t="n">
        <v>2.870099785172</v>
      </c>
      <c r="G190" s="49" t="n">
        <v>15.2285699262397</v>
      </c>
      <c r="H190" s="49" t="n">
        <v>44.6389682563265</v>
      </c>
      <c r="I190" s="49" t="n">
        <v>47.4883899927305</v>
      </c>
      <c r="J190" s="49" t="n">
        <v>5.9011109256745</v>
      </c>
      <c r="K190" s="49" t="n">
        <v>4</v>
      </c>
      <c r="L190" s="49" t="n">
        <v>5</v>
      </c>
      <c r="M190" s="49" t="n">
        <v>1</v>
      </c>
      <c r="N190" s="49" t="n">
        <v>0</v>
      </c>
      <c r="O190" s="49" t="n">
        <v>0</v>
      </c>
      <c r="P190" s="49" t="n">
        <v>1440</v>
      </c>
      <c r="Q190" s="49" t="n">
        <v>5</v>
      </c>
      <c r="R190" s="49" t="n">
        <v>180</v>
      </c>
      <c r="S190" s="49" t="n">
        <v>1</v>
      </c>
      <c r="T190" s="49" t="n">
        <v>8</v>
      </c>
      <c r="U190" s="49" t="n">
        <v>2.10163721235345</v>
      </c>
      <c r="V190" s="49" t="n">
        <v>5</v>
      </c>
      <c r="W190" s="49" t="n">
        <v>700</v>
      </c>
      <c r="X190" s="49" t="n">
        <v>85</v>
      </c>
    </row>
    <row r="191">
      <c r="A191" s="49" t="inlineStr">
        <is>
          <t>Sorghum stalk</t>
        </is>
      </c>
      <c r="B191" s="49" t="n">
        <v>36.42</v>
      </c>
      <c r="C191" s="49" t="n">
        <v>30.1</v>
      </c>
      <c r="D191" s="49" t="n">
        <v>19.85</v>
      </c>
      <c r="E191" s="49" t="n">
        <v>71.70999999999999</v>
      </c>
      <c r="F191" s="49" t="n">
        <v>3.94</v>
      </c>
      <c r="G191" s="49" t="n">
        <v>17.95</v>
      </c>
      <c r="H191" s="49" t="n">
        <v>44.03</v>
      </c>
      <c r="I191" s="49" t="n">
        <v>5.68</v>
      </c>
      <c r="J191" s="49" t="n">
        <v>49.93</v>
      </c>
      <c r="K191" s="49" t="n">
        <v>4</v>
      </c>
      <c r="L191" s="49" t="n">
        <v>1</v>
      </c>
      <c r="M191" s="49" t="n">
        <v>0</v>
      </c>
      <c r="N191" s="49" t="n">
        <v>1</v>
      </c>
      <c r="O191" s="49" t="n">
        <v>4</v>
      </c>
      <c r="P191" s="49" t="n">
        <v>120</v>
      </c>
      <c r="Q191" s="49" t="n">
        <v>2</v>
      </c>
      <c r="R191" s="49" t="n">
        <v>1100</v>
      </c>
      <c r="S191" s="49" t="n">
        <v>0</v>
      </c>
      <c r="T191" s="49" t="n">
        <v>5</v>
      </c>
      <c r="U191" s="49" t="n">
        <v>0</v>
      </c>
      <c r="V191" s="49" t="n">
        <v>0</v>
      </c>
      <c r="W191" s="49" t="n">
        <v>0</v>
      </c>
      <c r="X191" s="49" t="n">
        <v>96.06</v>
      </c>
    </row>
    <row r="192">
      <c r="A192" s="49" t="inlineStr">
        <is>
          <t>Sorghum stalk</t>
        </is>
      </c>
      <c r="B192" s="49" t="n">
        <v>36.42</v>
      </c>
      <c r="C192" s="49" t="n">
        <v>30.1</v>
      </c>
      <c r="D192" s="49" t="n">
        <v>19.85</v>
      </c>
      <c r="E192" s="49" t="n">
        <v>71.70999999999999</v>
      </c>
      <c r="F192" s="49" t="n">
        <v>3.94</v>
      </c>
      <c r="G192" s="49" t="n">
        <v>17.95</v>
      </c>
      <c r="H192" s="49" t="n">
        <v>44.03</v>
      </c>
      <c r="I192" s="49" t="n">
        <v>5.68</v>
      </c>
      <c r="J192" s="49" t="n">
        <v>49.93</v>
      </c>
      <c r="K192" s="49" t="n">
        <v>4</v>
      </c>
      <c r="L192" s="49" t="n">
        <v>1</v>
      </c>
      <c r="M192" s="49" t="n">
        <v>0</v>
      </c>
      <c r="N192" s="49" t="n">
        <v>1</v>
      </c>
      <c r="O192" s="49" t="n">
        <v>4</v>
      </c>
      <c r="P192" s="49" t="n">
        <v>120</v>
      </c>
      <c r="Q192" s="49" t="n">
        <v>2</v>
      </c>
      <c r="R192" s="49" t="n">
        <v>1300</v>
      </c>
      <c r="S192" s="49" t="n">
        <v>0</v>
      </c>
      <c r="T192" s="49" t="n">
        <v>5</v>
      </c>
      <c r="U192" s="49" t="n">
        <v>0</v>
      </c>
      <c r="V192" s="49" t="n">
        <v>0</v>
      </c>
      <c r="W192" s="49" t="n">
        <v>0</v>
      </c>
      <c r="X192" s="49" t="n">
        <v>95.94</v>
      </c>
    </row>
    <row r="193">
      <c r="A193" s="49" t="inlineStr">
        <is>
          <t>Sorghum stalk</t>
        </is>
      </c>
      <c r="B193" s="49" t="n">
        <v>36.42</v>
      </c>
      <c r="C193" s="49" t="n">
        <v>30.1</v>
      </c>
      <c r="D193" s="49" t="n">
        <v>19.85</v>
      </c>
      <c r="E193" s="49" t="n">
        <v>71.70999999999999</v>
      </c>
      <c r="F193" s="49" t="n">
        <v>3.94</v>
      </c>
      <c r="G193" s="49" t="n">
        <v>17.95</v>
      </c>
      <c r="H193" s="49" t="n">
        <v>44.03</v>
      </c>
      <c r="I193" s="49" t="n">
        <v>5.68</v>
      </c>
      <c r="J193" s="49" t="n">
        <v>49.93</v>
      </c>
      <c r="K193" s="49" t="n">
        <v>4</v>
      </c>
      <c r="L193" s="49" t="n">
        <v>1</v>
      </c>
      <c r="M193" s="49" t="n">
        <v>0</v>
      </c>
      <c r="N193" s="49" t="n">
        <v>1</v>
      </c>
      <c r="O193" s="49" t="n">
        <v>4</v>
      </c>
      <c r="P193" s="49" t="n">
        <v>120</v>
      </c>
      <c r="Q193" s="49" t="n">
        <v>2</v>
      </c>
      <c r="R193" s="49" t="n">
        <v>1500</v>
      </c>
      <c r="S193" s="49" t="n">
        <v>0</v>
      </c>
      <c r="T193" s="49" t="n">
        <v>5</v>
      </c>
      <c r="U193" s="49" t="n">
        <v>0</v>
      </c>
      <c r="V193" s="49" t="n">
        <v>0</v>
      </c>
      <c r="W193" s="49" t="n">
        <v>0</v>
      </c>
      <c r="X193" s="49" t="n">
        <v>96.20999999999999</v>
      </c>
    </row>
    <row r="194">
      <c r="A194" s="49" t="inlineStr">
        <is>
          <t>Soybean root</t>
        </is>
      </c>
      <c r="B194" s="49" t="n">
        <v>40.62</v>
      </c>
      <c r="C194" s="49" t="n">
        <v>33.78</v>
      </c>
      <c r="D194" s="49" t="n">
        <v>7.75</v>
      </c>
      <c r="E194" s="49" t="n">
        <v>74.09999999999999</v>
      </c>
      <c r="F194" s="49" t="n">
        <v>4</v>
      </c>
      <c r="G194" s="49" t="n">
        <v>14.6</v>
      </c>
      <c r="H194" s="49" t="n">
        <v>45.8</v>
      </c>
      <c r="I194" s="49" t="n">
        <v>43.7</v>
      </c>
      <c r="J194" s="49" t="n">
        <v>6.9</v>
      </c>
      <c r="K194" s="49" t="n">
        <v>6</v>
      </c>
      <c r="L194" s="49" t="n">
        <v>1</v>
      </c>
      <c r="M194" s="49" t="n">
        <v>0</v>
      </c>
      <c r="N194" s="49" t="n">
        <v>1</v>
      </c>
      <c r="O194" s="49" t="n">
        <v>4</v>
      </c>
      <c r="P194" s="49" t="n">
        <v>120</v>
      </c>
      <c r="Q194" s="49" t="n">
        <v>3.78883990403711</v>
      </c>
      <c r="R194" s="49" t="n">
        <v>600</v>
      </c>
      <c r="S194" s="49" t="n">
        <v>0</v>
      </c>
      <c r="T194" s="49" t="n">
        <v>5</v>
      </c>
      <c r="U194" s="49" t="n">
        <v>0</v>
      </c>
      <c r="V194" s="49" t="n">
        <v>0</v>
      </c>
      <c r="W194" s="49" t="n">
        <v>0</v>
      </c>
      <c r="X194" s="49" t="n">
        <v>80.8</v>
      </c>
    </row>
    <row r="195">
      <c r="A195" s="49" t="inlineStr">
        <is>
          <t>Soybean root</t>
        </is>
      </c>
      <c r="B195" s="49" t="n">
        <v>40.62</v>
      </c>
      <c r="C195" s="49" t="n">
        <v>33.78</v>
      </c>
      <c r="D195" s="49" t="n">
        <v>7.75</v>
      </c>
      <c r="E195" s="49" t="n">
        <v>74.09999999999999</v>
      </c>
      <c r="F195" s="49" t="n">
        <v>4</v>
      </c>
      <c r="G195" s="49" t="n">
        <v>14.6</v>
      </c>
      <c r="H195" s="49" t="n">
        <v>45.8</v>
      </c>
      <c r="I195" s="49" t="n">
        <v>43.7</v>
      </c>
      <c r="J195" s="49" t="n">
        <v>6.9</v>
      </c>
      <c r="K195" s="49" t="n">
        <v>6</v>
      </c>
      <c r="L195" s="49" t="n">
        <v>1</v>
      </c>
      <c r="M195" s="49" t="n">
        <v>0</v>
      </c>
      <c r="N195" s="49" t="n">
        <v>1</v>
      </c>
      <c r="O195" s="49" t="n">
        <v>4</v>
      </c>
      <c r="P195" s="49" t="n">
        <v>120</v>
      </c>
      <c r="Q195" s="49" t="n">
        <v>4.05042880682646</v>
      </c>
      <c r="R195" s="49" t="n">
        <v>700</v>
      </c>
      <c r="S195" s="49" t="n">
        <v>0</v>
      </c>
      <c r="T195" s="49" t="n">
        <v>5</v>
      </c>
      <c r="U195" s="49" t="n">
        <v>0</v>
      </c>
      <c r="V195" s="49" t="n">
        <v>0</v>
      </c>
      <c r="W195" s="49" t="n">
        <v>0</v>
      </c>
      <c r="X195" s="49" t="n">
        <v>77.15000000000001</v>
      </c>
    </row>
    <row r="196">
      <c r="A196" s="49" t="inlineStr">
        <is>
          <t>Soybean root</t>
        </is>
      </c>
      <c r="B196" s="49" t="n">
        <v>40.62</v>
      </c>
      <c r="C196" s="49" t="n">
        <v>33.78</v>
      </c>
      <c r="D196" s="49" t="n">
        <v>7.75</v>
      </c>
      <c r="E196" s="49" t="n">
        <v>74.09999999999999</v>
      </c>
      <c r="F196" s="49" t="n">
        <v>4</v>
      </c>
      <c r="G196" s="49" t="n">
        <v>14.6</v>
      </c>
      <c r="H196" s="49" t="n">
        <v>45.8</v>
      </c>
      <c r="I196" s="49" t="n">
        <v>43.7</v>
      </c>
      <c r="J196" s="49" t="n">
        <v>6.9</v>
      </c>
      <c r="K196" s="49" t="n">
        <v>6</v>
      </c>
      <c r="L196" s="49" t="n">
        <v>1</v>
      </c>
      <c r="M196" s="49" t="n">
        <v>0</v>
      </c>
      <c r="N196" s="49" t="n">
        <v>1</v>
      </c>
      <c r="O196" s="49" t="n">
        <v>4</v>
      </c>
      <c r="P196" s="49" t="n">
        <v>120</v>
      </c>
      <c r="Q196" s="49" t="n">
        <v>4.56532585910963</v>
      </c>
      <c r="R196" s="49" t="n">
        <v>800</v>
      </c>
      <c r="S196" s="49" t="n">
        <v>0</v>
      </c>
      <c r="T196" s="49" t="n">
        <v>5</v>
      </c>
      <c r="U196" s="49" t="n">
        <v>0</v>
      </c>
      <c r="V196" s="49" t="n">
        <v>0</v>
      </c>
      <c r="W196" s="49" t="n">
        <v>0</v>
      </c>
      <c r="X196" s="49" t="n">
        <v>77.61</v>
      </c>
    </row>
    <row r="197">
      <c r="A197" s="49" t="inlineStr">
        <is>
          <t>Sugar cane basggase</t>
        </is>
      </c>
      <c r="B197" s="49" t="n">
        <v>35.5</v>
      </c>
      <c r="C197" s="49" t="n">
        <v>25</v>
      </c>
      <c r="D197" s="49" t="n">
        <v>17.5</v>
      </c>
      <c r="E197" s="49" t="n">
        <v>82.5</v>
      </c>
      <c r="F197" s="49" t="n">
        <v>3.2</v>
      </c>
      <c r="G197" s="49" t="n">
        <v>11.5</v>
      </c>
      <c r="H197" s="49" t="n">
        <v>42.1</v>
      </c>
      <c r="I197" s="49" t="n">
        <v>50.4</v>
      </c>
      <c r="J197" s="49" t="n">
        <v>4.51</v>
      </c>
      <c r="K197" s="49" t="n">
        <v>4</v>
      </c>
      <c r="L197" s="49" t="n">
        <v>5</v>
      </c>
      <c r="M197" s="49" t="n">
        <v>1</v>
      </c>
      <c r="N197" s="49" t="n">
        <v>1</v>
      </c>
      <c r="O197" s="49" t="n">
        <v>4</v>
      </c>
      <c r="P197" s="49" t="n">
        <v>240</v>
      </c>
      <c r="Q197" s="49" t="n">
        <v>2.5</v>
      </c>
      <c r="R197" s="49" t="n">
        <v>360</v>
      </c>
      <c r="S197" s="49" t="n">
        <v>1</v>
      </c>
      <c r="T197" s="49" t="n">
        <v>5</v>
      </c>
      <c r="U197" s="49" t="n">
        <v>120</v>
      </c>
      <c r="V197" s="49" t="n">
        <v>2.06734900720248</v>
      </c>
      <c r="W197" s="49" t="n">
        <v>1300</v>
      </c>
      <c r="X197" s="49" t="n">
        <v>90.64</v>
      </c>
    </row>
    <row r="198">
      <c r="A198" s="49" t="inlineStr">
        <is>
          <t>Sugarcane bagasse</t>
        </is>
      </c>
      <c r="B198" s="49" t="n">
        <v>36.5</v>
      </c>
      <c r="C198" s="49" t="n">
        <v>26</v>
      </c>
      <c r="D198" s="49" t="n">
        <v>18.5</v>
      </c>
      <c r="E198" s="49" t="n">
        <v>83.5</v>
      </c>
      <c r="F198" s="49" t="n">
        <v>4.2</v>
      </c>
      <c r="G198" s="49" t="n">
        <v>12.5</v>
      </c>
      <c r="H198" s="49" t="n">
        <v>43.1</v>
      </c>
      <c r="I198" s="49" t="n">
        <v>51.4</v>
      </c>
      <c r="J198" s="49" t="n">
        <v>5.51</v>
      </c>
      <c r="K198" s="49" t="n">
        <v>4</v>
      </c>
      <c r="L198" s="49" t="n">
        <v>1</v>
      </c>
      <c r="M198" s="49" t="n">
        <v>1</v>
      </c>
      <c r="N198" s="49" t="n">
        <v>1</v>
      </c>
      <c r="O198" s="49" t="n">
        <v>4</v>
      </c>
      <c r="P198" s="49" t="n">
        <v>120</v>
      </c>
      <c r="Q198" s="49" t="n">
        <v>3</v>
      </c>
      <c r="R198" s="49" t="n">
        <v>400</v>
      </c>
      <c r="S198" s="49" t="n">
        <v>1</v>
      </c>
      <c r="T198" s="49" t="n">
        <v>5</v>
      </c>
      <c r="U198" s="49" t="n">
        <v>120</v>
      </c>
      <c r="V198" s="49" t="n">
        <v>5</v>
      </c>
      <c r="W198" s="49" t="n">
        <v>1000</v>
      </c>
      <c r="X198" s="49" t="n">
        <v>94.45</v>
      </c>
    </row>
    <row r="199">
      <c r="A199" s="49" t="inlineStr">
        <is>
          <t>Sugarcane bagasse</t>
        </is>
      </c>
      <c r="B199" s="49" t="n">
        <v>36.5</v>
      </c>
      <c r="C199" s="49" t="n">
        <v>26</v>
      </c>
      <c r="D199" s="49" t="n">
        <v>18.5</v>
      </c>
      <c r="E199" s="49" t="n">
        <v>83.5</v>
      </c>
      <c r="F199" s="49" t="n">
        <v>4.2</v>
      </c>
      <c r="G199" s="49" t="n">
        <v>12.5</v>
      </c>
      <c r="H199" s="49" t="n">
        <v>43.1</v>
      </c>
      <c r="I199" s="49" t="n">
        <v>51.4</v>
      </c>
      <c r="J199" s="49" t="n">
        <v>5.51</v>
      </c>
      <c r="K199" s="49" t="n">
        <v>6</v>
      </c>
      <c r="L199" s="49" t="n">
        <v>5</v>
      </c>
      <c r="M199" s="49" t="n">
        <v>0</v>
      </c>
      <c r="N199" s="49" t="n">
        <v>1</v>
      </c>
      <c r="O199" s="49" t="n">
        <v>4</v>
      </c>
      <c r="P199" s="49" t="n">
        <v>360</v>
      </c>
      <c r="Q199" s="49" t="n">
        <v>5</v>
      </c>
      <c r="R199" s="49" t="n">
        <v>750</v>
      </c>
      <c r="S199" s="49" t="n">
        <v>0</v>
      </c>
      <c r="T199" s="49" t="n">
        <v>5</v>
      </c>
      <c r="U199" s="49" t="n">
        <v>0</v>
      </c>
      <c r="V199" s="49" t="n">
        <v>0</v>
      </c>
      <c r="W199" s="49" t="n">
        <v>0</v>
      </c>
      <c r="X199" s="49" t="n">
        <v>84.09999999999999</v>
      </c>
    </row>
    <row r="200">
      <c r="A200" s="49" t="inlineStr">
        <is>
          <t>Sugarcane bagasse</t>
        </is>
      </c>
      <c r="B200" s="49" t="n">
        <v>36.5</v>
      </c>
      <c r="C200" s="49" t="n">
        <v>26</v>
      </c>
      <c r="D200" s="49" t="n">
        <v>18.5</v>
      </c>
      <c r="E200" s="49" t="n">
        <v>83.5</v>
      </c>
      <c r="F200" s="49" t="n">
        <v>4.2</v>
      </c>
      <c r="G200" s="49" t="n">
        <v>12.5</v>
      </c>
      <c r="H200" s="49" t="n">
        <v>43.1</v>
      </c>
      <c r="I200" s="49" t="n">
        <v>51.4</v>
      </c>
      <c r="J200" s="49" t="n">
        <v>5.51</v>
      </c>
      <c r="K200" s="49" t="n">
        <v>6</v>
      </c>
      <c r="L200" s="49" t="n">
        <v>5</v>
      </c>
      <c r="M200" s="49" t="n">
        <v>0</v>
      </c>
      <c r="N200" s="49" t="n">
        <v>1</v>
      </c>
      <c r="O200" s="49" t="n">
        <v>4</v>
      </c>
      <c r="P200" s="49" t="n">
        <v>360</v>
      </c>
      <c r="Q200" s="49" t="n">
        <v>5</v>
      </c>
      <c r="R200" s="49" t="n">
        <v>850</v>
      </c>
      <c r="S200" s="49" t="n">
        <v>0</v>
      </c>
      <c r="T200" s="49" t="n">
        <v>5</v>
      </c>
      <c r="U200" s="49" t="n">
        <v>0</v>
      </c>
      <c r="V200" s="49" t="n">
        <v>0</v>
      </c>
      <c r="W200" s="49" t="n">
        <v>0</v>
      </c>
      <c r="X200" s="49" t="n">
        <v>85.09999999999999</v>
      </c>
    </row>
    <row r="201">
      <c r="A201" s="49" t="inlineStr">
        <is>
          <t>Sugarcane bagasse</t>
        </is>
      </c>
      <c r="B201" s="49" t="n">
        <v>36.5</v>
      </c>
      <c r="C201" s="49" t="n">
        <v>26</v>
      </c>
      <c r="D201" s="49" t="n">
        <v>18.5</v>
      </c>
      <c r="E201" s="49" t="n">
        <v>83.5</v>
      </c>
      <c r="F201" s="49" t="n">
        <v>4.2</v>
      </c>
      <c r="G201" s="49" t="n">
        <v>12.5</v>
      </c>
      <c r="H201" s="49" t="n">
        <v>43.1</v>
      </c>
      <c r="I201" s="49" t="n">
        <v>51.4</v>
      </c>
      <c r="J201" s="49" t="n">
        <v>5.51</v>
      </c>
      <c r="K201" s="49" t="n">
        <v>6</v>
      </c>
      <c r="L201" s="49" t="n">
        <v>5</v>
      </c>
      <c r="M201" s="49" t="n">
        <v>0</v>
      </c>
      <c r="N201" s="49" t="n">
        <v>1</v>
      </c>
      <c r="O201" s="49" t="n">
        <v>4</v>
      </c>
      <c r="P201" s="49" t="n">
        <v>360</v>
      </c>
      <c r="Q201" s="49" t="n">
        <v>5</v>
      </c>
      <c r="R201" s="49" t="n">
        <v>950</v>
      </c>
      <c r="S201" s="49" t="n">
        <v>0</v>
      </c>
      <c r="T201" s="49" t="n">
        <v>5</v>
      </c>
      <c r="U201" s="49" t="n">
        <v>0</v>
      </c>
      <c r="V201" s="49" t="n">
        <v>0</v>
      </c>
      <c r="W201" s="49" t="n">
        <v>0</v>
      </c>
      <c r="X201" s="49" t="n">
        <v>86</v>
      </c>
    </row>
    <row r="202">
      <c r="A202" s="49" t="inlineStr">
        <is>
          <t>Sugarcane bagasse</t>
        </is>
      </c>
      <c r="B202" s="49" t="n">
        <v>36.5</v>
      </c>
      <c r="C202" s="49" t="n">
        <v>26</v>
      </c>
      <c r="D202" s="49" t="n">
        <v>18.5</v>
      </c>
      <c r="E202" s="49" t="n">
        <v>83.5</v>
      </c>
      <c r="F202" s="49" t="n">
        <v>4.2</v>
      </c>
      <c r="G202" s="49" t="n">
        <v>12.5</v>
      </c>
      <c r="H202" s="49" t="n">
        <v>43.1</v>
      </c>
      <c r="I202" s="49" t="n">
        <v>51.4</v>
      </c>
      <c r="J202" s="49" t="n">
        <v>5.51</v>
      </c>
      <c r="K202" s="49" t="n">
        <v>6</v>
      </c>
      <c r="L202" s="49" t="n">
        <v>5</v>
      </c>
      <c r="M202" s="49" t="n">
        <v>0</v>
      </c>
      <c r="N202" s="49" t="n">
        <v>1</v>
      </c>
      <c r="O202" s="49" t="n">
        <v>4</v>
      </c>
      <c r="P202" s="49" t="n">
        <v>360</v>
      </c>
      <c r="Q202" s="49" t="n">
        <v>5</v>
      </c>
      <c r="R202" s="49" t="n">
        <v>1050</v>
      </c>
      <c r="S202" s="49" t="n">
        <v>0</v>
      </c>
      <c r="T202" s="49" t="n">
        <v>5</v>
      </c>
      <c r="U202" s="49" t="n">
        <v>0</v>
      </c>
      <c r="V202" s="49" t="n">
        <v>0</v>
      </c>
      <c r="W202" s="49" t="n">
        <v>0</v>
      </c>
      <c r="X202" s="49" t="n">
        <v>86.59999999999999</v>
      </c>
    </row>
    <row r="203">
      <c r="A203" s="49" t="inlineStr">
        <is>
          <t>Sugarcane bagasse</t>
        </is>
      </c>
      <c r="B203" s="49" t="n">
        <v>36.5</v>
      </c>
      <c r="C203" s="49" t="n">
        <v>26</v>
      </c>
      <c r="D203" s="49" t="n">
        <v>18.5</v>
      </c>
      <c r="E203" s="49" t="n">
        <v>83.5</v>
      </c>
      <c r="F203" s="49" t="n">
        <v>4.2</v>
      </c>
      <c r="G203" s="49" t="n">
        <v>12.5</v>
      </c>
      <c r="H203" s="49" t="n">
        <v>43.1</v>
      </c>
      <c r="I203" s="49" t="n">
        <v>51.4</v>
      </c>
      <c r="J203" s="49" t="n">
        <v>5.51</v>
      </c>
      <c r="K203" s="49" t="n">
        <v>4</v>
      </c>
      <c r="L203" s="49" t="n">
        <v>5</v>
      </c>
      <c r="M203" s="49" t="n">
        <v>0</v>
      </c>
      <c r="N203" s="49" t="n">
        <v>1</v>
      </c>
      <c r="O203" s="49" t="n">
        <v>4</v>
      </c>
      <c r="P203" s="49" t="n">
        <v>480</v>
      </c>
      <c r="Q203" s="49" t="n">
        <v>5</v>
      </c>
      <c r="R203" s="49" t="n">
        <v>750</v>
      </c>
      <c r="S203" s="49" t="n">
        <v>0</v>
      </c>
      <c r="T203" s="49" t="n">
        <v>5</v>
      </c>
      <c r="U203" s="49" t="n">
        <v>0</v>
      </c>
      <c r="V203" s="49" t="n">
        <v>0</v>
      </c>
      <c r="W203" s="49" t="n">
        <v>0</v>
      </c>
      <c r="X203" s="49" t="n">
        <v>94.7</v>
      </c>
    </row>
    <row r="204">
      <c r="A204" s="49" t="inlineStr">
        <is>
          <t>Sugarcane bagasse</t>
        </is>
      </c>
      <c r="B204" s="49" t="n">
        <v>36.5</v>
      </c>
      <c r="C204" s="49" t="n">
        <v>26</v>
      </c>
      <c r="D204" s="49" t="n">
        <v>18.5</v>
      </c>
      <c r="E204" s="49" t="n">
        <v>83.5</v>
      </c>
      <c r="F204" s="49" t="n">
        <v>4.2</v>
      </c>
      <c r="G204" s="49" t="n">
        <v>12.5</v>
      </c>
      <c r="H204" s="49" t="n">
        <v>43.1</v>
      </c>
      <c r="I204" s="49" t="n">
        <v>51.4</v>
      </c>
      <c r="J204" s="49" t="n">
        <v>5.51</v>
      </c>
      <c r="K204" s="49" t="n">
        <v>4</v>
      </c>
      <c r="L204" s="49" t="n">
        <v>5</v>
      </c>
      <c r="M204" s="49" t="n">
        <v>0</v>
      </c>
      <c r="N204" s="49" t="n">
        <v>1</v>
      </c>
      <c r="O204" s="49" t="n">
        <v>4</v>
      </c>
      <c r="P204" s="49" t="n">
        <v>480</v>
      </c>
      <c r="Q204" s="49" t="n">
        <v>5</v>
      </c>
      <c r="R204" s="49" t="n">
        <v>1050</v>
      </c>
      <c r="S204" s="49" t="n">
        <v>0</v>
      </c>
      <c r="T204" s="49" t="n">
        <v>5</v>
      </c>
      <c r="U204" s="49" t="n">
        <v>0</v>
      </c>
      <c r="V204" s="49" t="n">
        <v>0</v>
      </c>
      <c r="W204" s="49" t="n">
        <v>0</v>
      </c>
      <c r="X204" s="49" t="n">
        <v>97</v>
      </c>
    </row>
    <row r="205">
      <c r="A205" s="49" t="inlineStr">
        <is>
          <t>Switchgrass</t>
        </is>
      </c>
      <c r="B205" s="49" t="n">
        <v>34.44</v>
      </c>
      <c r="C205" s="49" t="n">
        <v>28.84</v>
      </c>
      <c r="D205" s="49" t="n">
        <v>8.84</v>
      </c>
      <c r="E205" s="49" t="n">
        <v>79.76000000000001</v>
      </c>
      <c r="F205" s="49" t="n">
        <v>2.02</v>
      </c>
      <c r="G205" s="49" t="n">
        <v>18.22</v>
      </c>
      <c r="H205" s="49" t="n">
        <v>48.02</v>
      </c>
      <c r="I205" s="49" t="n">
        <v>44.19</v>
      </c>
      <c r="J205" s="49" t="n">
        <v>6.71</v>
      </c>
      <c r="K205" s="49" t="n">
        <v>4</v>
      </c>
      <c r="L205" s="49" t="n">
        <v>5</v>
      </c>
      <c r="M205" s="49" t="n">
        <v>1</v>
      </c>
      <c r="N205" s="49" t="n">
        <v>0</v>
      </c>
      <c r="O205" s="49" t="n">
        <v>4</v>
      </c>
      <c r="P205" s="49" t="n">
        <v>120</v>
      </c>
      <c r="Q205" s="49" t="n">
        <v>10</v>
      </c>
      <c r="R205" s="49" t="n">
        <v>160</v>
      </c>
      <c r="S205" s="49" t="n">
        <v>1</v>
      </c>
      <c r="T205" s="49" t="n">
        <v>5</v>
      </c>
      <c r="U205" s="49" t="n">
        <v>120</v>
      </c>
      <c r="V205" s="49" t="n">
        <v>0</v>
      </c>
      <c r="W205" s="49" t="n">
        <v>1600</v>
      </c>
      <c r="X205" s="49" t="n">
        <v>98.73</v>
      </c>
    </row>
    <row r="206">
      <c r="A206" s="49" t="inlineStr">
        <is>
          <t>Switchgrass</t>
        </is>
      </c>
      <c r="B206" s="49" t="n">
        <v>34.44</v>
      </c>
      <c r="C206" s="49" t="n">
        <v>28.84</v>
      </c>
      <c r="D206" s="49" t="n">
        <v>8.84</v>
      </c>
      <c r="E206" s="49" t="n">
        <v>79.76000000000001</v>
      </c>
      <c r="F206" s="49" t="n">
        <v>2.02</v>
      </c>
      <c r="G206" s="49" t="n">
        <v>18.22</v>
      </c>
      <c r="H206" s="49" t="n">
        <v>48.02</v>
      </c>
      <c r="I206" s="49" t="n">
        <v>44.19</v>
      </c>
      <c r="J206" s="49" t="n">
        <v>6.71</v>
      </c>
      <c r="K206" s="49" t="n">
        <v>4</v>
      </c>
      <c r="L206" s="49" t="n">
        <v>5</v>
      </c>
      <c r="M206" s="49" t="n">
        <v>1</v>
      </c>
      <c r="N206" s="49" t="n">
        <v>0</v>
      </c>
      <c r="O206" s="49" t="n">
        <v>4</v>
      </c>
      <c r="P206" s="49" t="n">
        <v>120</v>
      </c>
      <c r="Q206" s="49" t="n">
        <v>10</v>
      </c>
      <c r="R206" s="49" t="n">
        <v>190</v>
      </c>
      <c r="S206" s="49" t="n">
        <v>1</v>
      </c>
      <c r="T206" s="49" t="n">
        <v>5</v>
      </c>
      <c r="U206" s="49" t="n">
        <v>120</v>
      </c>
      <c r="V206" s="49" t="n">
        <v>0</v>
      </c>
      <c r="W206" s="49" t="n">
        <v>1600</v>
      </c>
      <c r="X206" s="49" t="n">
        <v>98.45</v>
      </c>
    </row>
    <row r="207">
      <c r="A207" s="49" t="inlineStr">
        <is>
          <t>Switchgrass</t>
        </is>
      </c>
      <c r="B207" s="49" t="n">
        <v>34.44</v>
      </c>
      <c r="C207" s="49" t="n">
        <v>28.84</v>
      </c>
      <c r="D207" s="49" t="n">
        <v>8.84</v>
      </c>
      <c r="E207" s="49" t="n">
        <v>79.76000000000001</v>
      </c>
      <c r="F207" s="49" t="n">
        <v>2.02</v>
      </c>
      <c r="G207" s="49" t="n">
        <v>18.22</v>
      </c>
      <c r="H207" s="49" t="n">
        <v>48.02</v>
      </c>
      <c r="I207" s="49" t="n">
        <v>44.19</v>
      </c>
      <c r="J207" s="49" t="n">
        <v>6.71</v>
      </c>
      <c r="K207" s="49" t="n">
        <v>4</v>
      </c>
      <c r="L207" s="49" t="n">
        <v>5</v>
      </c>
      <c r="M207" s="49" t="n">
        <v>1</v>
      </c>
      <c r="N207" s="49" t="n">
        <v>0</v>
      </c>
      <c r="O207" s="49" t="n">
        <v>4</v>
      </c>
      <c r="P207" s="49" t="n">
        <v>120</v>
      </c>
      <c r="Q207" s="49" t="n">
        <v>10</v>
      </c>
      <c r="R207" s="49" t="n">
        <v>220</v>
      </c>
      <c r="S207" s="49" t="n">
        <v>1</v>
      </c>
      <c r="T207" s="49" t="n">
        <v>5</v>
      </c>
      <c r="U207" s="49" t="n">
        <v>120</v>
      </c>
      <c r="V207" s="49" t="n">
        <v>0</v>
      </c>
      <c r="W207" s="49" t="n">
        <v>1600</v>
      </c>
      <c r="X207" s="49" t="n">
        <v>98.13</v>
      </c>
    </row>
    <row r="208">
      <c r="A208" s="49" t="inlineStr">
        <is>
          <t>Switchgrass</t>
        </is>
      </c>
      <c r="B208" s="49" t="n">
        <v>34.44</v>
      </c>
      <c r="C208" s="49" t="n">
        <v>28.84</v>
      </c>
      <c r="D208" s="49" t="n">
        <v>8.84</v>
      </c>
      <c r="E208" s="49" t="n">
        <v>79.76000000000001</v>
      </c>
      <c r="F208" s="49" t="n">
        <v>2.02</v>
      </c>
      <c r="G208" s="49" t="n">
        <v>18.22</v>
      </c>
      <c r="H208" s="49" t="n">
        <v>48.02</v>
      </c>
      <c r="I208" s="49" t="n">
        <v>44.19</v>
      </c>
      <c r="J208" s="49" t="n">
        <v>6.71</v>
      </c>
      <c r="K208" s="49" t="n">
        <v>4</v>
      </c>
      <c r="L208" s="49" t="n">
        <v>5</v>
      </c>
      <c r="M208" s="49" t="n">
        <v>0</v>
      </c>
      <c r="N208" s="49" t="n">
        <v>1</v>
      </c>
      <c r="O208" s="49" t="n">
        <v>4</v>
      </c>
      <c r="P208" s="49" t="n">
        <v>120</v>
      </c>
      <c r="Q208" s="49" t="n">
        <v>4.05547862305418</v>
      </c>
      <c r="R208" s="49" t="n">
        <v>1600</v>
      </c>
      <c r="S208" s="49" t="n">
        <v>0</v>
      </c>
      <c r="T208" s="49" t="n">
        <v>5</v>
      </c>
      <c r="U208" s="49" t="n">
        <v>0</v>
      </c>
      <c r="V208" s="49" t="n">
        <v>0</v>
      </c>
      <c r="W208" s="49" t="n">
        <v>0</v>
      </c>
      <c r="X208" s="49" t="n">
        <v>82.13</v>
      </c>
    </row>
    <row r="209">
      <c r="A209" s="49" t="inlineStr">
        <is>
          <t>Swtich grass</t>
        </is>
      </c>
      <c r="B209" s="49" t="n">
        <v>34.44</v>
      </c>
      <c r="C209" s="49" t="n">
        <v>28.84</v>
      </c>
      <c r="D209" s="49" t="n">
        <v>8.84</v>
      </c>
      <c r="E209" s="49" t="n">
        <v>79.76000000000001</v>
      </c>
      <c r="F209" s="49" t="n">
        <v>2.02</v>
      </c>
      <c r="G209" s="49" t="n">
        <v>18.22</v>
      </c>
      <c r="H209" s="49" t="n">
        <v>48.02</v>
      </c>
      <c r="I209" s="49" t="n">
        <v>44.19</v>
      </c>
      <c r="J209" s="49" t="n">
        <v>6.71</v>
      </c>
      <c r="K209" s="49" t="n">
        <v>4</v>
      </c>
      <c r="L209" s="49" t="n">
        <v>5</v>
      </c>
      <c r="M209" s="49" t="n">
        <v>1</v>
      </c>
      <c r="N209" s="49" t="n">
        <v>0</v>
      </c>
      <c r="O209" s="49" t="n">
        <v>4</v>
      </c>
      <c r="P209" s="49" t="n">
        <v>720</v>
      </c>
      <c r="Q209" s="49" t="n">
        <v>5</v>
      </c>
      <c r="R209" s="49" t="n">
        <v>160</v>
      </c>
      <c r="S209" s="49" t="n">
        <v>1</v>
      </c>
      <c r="T209" s="49" t="n">
        <v>5</v>
      </c>
      <c r="U209" s="49" t="n">
        <v>120</v>
      </c>
      <c r="V209" s="49" t="n">
        <v>0</v>
      </c>
      <c r="W209" s="49" t="n">
        <v>1600</v>
      </c>
      <c r="X209" s="49" t="n">
        <v>98.73</v>
      </c>
    </row>
    <row r="210">
      <c r="A210" s="49" t="inlineStr">
        <is>
          <t>Swtich grass</t>
        </is>
      </c>
      <c r="B210" s="49" t="n">
        <v>34.44</v>
      </c>
      <c r="C210" s="49" t="n">
        <v>28.84</v>
      </c>
      <c r="D210" s="49" t="n">
        <v>8.84</v>
      </c>
      <c r="E210" s="49" t="n">
        <v>79.76000000000001</v>
      </c>
      <c r="F210" s="49" t="n">
        <v>2.02</v>
      </c>
      <c r="G210" s="49" t="n">
        <v>18.22</v>
      </c>
      <c r="H210" s="49" t="n">
        <v>48.02</v>
      </c>
      <c r="I210" s="49" t="n">
        <v>44.19</v>
      </c>
      <c r="J210" s="49" t="n">
        <v>6.71</v>
      </c>
      <c r="K210" s="49" t="n">
        <v>4</v>
      </c>
      <c r="L210" s="49" t="n">
        <v>5</v>
      </c>
      <c r="M210" s="49" t="n">
        <v>1</v>
      </c>
      <c r="N210" s="49" t="n">
        <v>0</v>
      </c>
      <c r="O210" s="49" t="n">
        <v>4</v>
      </c>
      <c r="P210" s="49" t="n">
        <v>720</v>
      </c>
      <c r="Q210" s="49" t="n">
        <v>4.62080695582482</v>
      </c>
      <c r="R210" s="49" t="n">
        <v>190</v>
      </c>
      <c r="S210" s="49" t="n">
        <v>1</v>
      </c>
      <c r="T210" s="49" t="n">
        <v>5</v>
      </c>
      <c r="U210" s="49" t="n">
        <v>120</v>
      </c>
      <c r="V210" s="49" t="n">
        <v>0</v>
      </c>
      <c r="W210" s="49" t="n">
        <v>1600</v>
      </c>
      <c r="X210" s="49" t="n">
        <v>98.45</v>
      </c>
    </row>
    <row r="211">
      <c r="A211" s="49" t="inlineStr">
        <is>
          <t>Swtich grass</t>
        </is>
      </c>
      <c r="B211" s="49" t="n">
        <v>34.44</v>
      </c>
      <c r="C211" s="49" t="n">
        <v>28.84</v>
      </c>
      <c r="D211" s="49" t="n">
        <v>8.84</v>
      </c>
      <c r="E211" s="49" t="n">
        <v>79.76000000000001</v>
      </c>
      <c r="F211" s="49" t="n">
        <v>2.02</v>
      </c>
      <c r="G211" s="49" t="n">
        <v>18.22</v>
      </c>
      <c r="H211" s="49" t="n">
        <v>48.02</v>
      </c>
      <c r="I211" s="49" t="n">
        <v>44.19</v>
      </c>
      <c r="J211" s="49" t="n">
        <v>6.71</v>
      </c>
      <c r="K211" s="49" t="n">
        <v>4</v>
      </c>
      <c r="L211" s="49" t="n">
        <v>5</v>
      </c>
      <c r="M211" s="49" t="n">
        <v>1</v>
      </c>
      <c r="N211" s="49" t="n">
        <v>0</v>
      </c>
      <c r="O211" s="49" t="n">
        <v>4</v>
      </c>
      <c r="P211" s="49" t="n">
        <v>720</v>
      </c>
      <c r="Q211" s="49" t="n">
        <v>4.61772396041215</v>
      </c>
      <c r="R211" s="49" t="n">
        <v>220</v>
      </c>
      <c r="S211" s="49" t="n">
        <v>1</v>
      </c>
      <c r="T211" s="49" t="n">
        <v>5</v>
      </c>
      <c r="U211" s="49" t="n">
        <v>120</v>
      </c>
      <c r="V211" s="49" t="n">
        <v>0</v>
      </c>
      <c r="W211" s="49" t="n">
        <v>1600</v>
      </c>
      <c r="X211" s="49" t="n">
        <v>98.13</v>
      </c>
    </row>
    <row r="212">
      <c r="A212" s="49" t="inlineStr">
        <is>
          <t>Swtich grass</t>
        </is>
      </c>
      <c r="B212" s="49" t="n">
        <v>34.44</v>
      </c>
      <c r="C212" s="49" t="n">
        <v>28.84</v>
      </c>
      <c r="D212" s="49" t="n">
        <v>8.84</v>
      </c>
      <c r="E212" s="49" t="n">
        <v>79.76000000000001</v>
      </c>
      <c r="F212" s="49" t="n">
        <v>2.02</v>
      </c>
      <c r="G212" s="49" t="n">
        <v>18.22</v>
      </c>
      <c r="H212" s="49" t="n">
        <v>48.02</v>
      </c>
      <c r="I212" s="49" t="n">
        <v>44.19</v>
      </c>
      <c r="J212" s="49" t="n">
        <v>6.71</v>
      </c>
      <c r="K212" s="49" t="n">
        <v>4</v>
      </c>
      <c r="L212" s="49" t="n">
        <v>5</v>
      </c>
      <c r="M212" s="49" t="n">
        <v>0</v>
      </c>
      <c r="N212" s="49" t="n">
        <v>1</v>
      </c>
      <c r="O212" s="49" t="n">
        <v>4</v>
      </c>
      <c r="P212" s="49" t="n">
        <v>120</v>
      </c>
      <c r="Q212" s="49" t="n">
        <v>4.05547862305418</v>
      </c>
      <c r="R212" s="49" t="n">
        <v>1600</v>
      </c>
      <c r="S212" s="49" t="n">
        <v>0</v>
      </c>
      <c r="T212" s="49" t="n">
        <v>5</v>
      </c>
      <c r="U212" s="49" t="n">
        <v>0</v>
      </c>
      <c r="V212" s="49" t="n">
        <v>0</v>
      </c>
      <c r="W212" s="49" t="n">
        <v>0</v>
      </c>
      <c r="X212" s="49" t="n">
        <v>82.13</v>
      </c>
    </row>
    <row r="213">
      <c r="A213" s="49" t="inlineStr">
        <is>
          <t>Vine Shoots</t>
        </is>
      </c>
      <c r="B213" s="49" t="n">
        <v>31.9</v>
      </c>
      <c r="C213" s="49" t="n">
        <v>23.2</v>
      </c>
      <c r="D213" s="49" t="n">
        <v>38.5</v>
      </c>
      <c r="E213" s="49" t="n">
        <v>71.40000000000001</v>
      </c>
      <c r="F213" s="49" t="n">
        <v>3.7</v>
      </c>
      <c r="G213" s="49" t="n">
        <v>14.6</v>
      </c>
      <c r="H213" s="49" t="n">
        <v>41.8</v>
      </c>
      <c r="I213" s="49" t="n">
        <v>51.6</v>
      </c>
      <c r="J213" s="49" t="n">
        <v>5.87</v>
      </c>
      <c r="K213" s="49" t="n">
        <v>4</v>
      </c>
      <c r="L213" s="49" t="n">
        <v>1</v>
      </c>
      <c r="M213" s="49" t="n">
        <v>1</v>
      </c>
      <c r="N213" s="49" t="n">
        <v>0</v>
      </c>
      <c r="O213" s="49" t="n">
        <v>4</v>
      </c>
      <c r="P213" s="49" t="n">
        <v>720</v>
      </c>
      <c r="Q213" s="49" t="n">
        <v>5</v>
      </c>
      <c r="R213" s="49" t="n">
        <v>180</v>
      </c>
      <c r="S213" s="49" t="n">
        <v>1</v>
      </c>
      <c r="T213" s="49" t="n">
        <v>5</v>
      </c>
      <c r="U213" s="49" t="n">
        <v>120</v>
      </c>
      <c r="V213" s="49" t="n">
        <v>5</v>
      </c>
      <c r="W213" s="49" t="n">
        <v>800</v>
      </c>
      <c r="X213" s="49" t="n">
        <v>93.5</v>
      </c>
    </row>
    <row r="214">
      <c r="A214" s="49" t="inlineStr">
        <is>
          <t>Vine Shoots</t>
        </is>
      </c>
      <c r="B214" s="49" t="n">
        <v>31.9</v>
      </c>
      <c r="C214" s="49" t="n">
        <v>23.2</v>
      </c>
      <c r="D214" s="49" t="n">
        <v>38.5</v>
      </c>
      <c r="E214" s="49" t="n">
        <v>71.40000000000001</v>
      </c>
      <c r="F214" s="49" t="n">
        <v>3.7</v>
      </c>
      <c r="G214" s="49" t="n">
        <v>14.6</v>
      </c>
      <c r="H214" s="49" t="n">
        <v>41.8</v>
      </c>
      <c r="I214" s="49" t="n">
        <v>51.6</v>
      </c>
      <c r="J214" s="49" t="n">
        <v>5.87</v>
      </c>
      <c r="K214" s="49" t="n">
        <v>4</v>
      </c>
      <c r="L214" s="49" t="n">
        <v>1</v>
      </c>
      <c r="M214" s="49" t="n">
        <v>1</v>
      </c>
      <c r="N214" s="49" t="n">
        <v>0</v>
      </c>
      <c r="O214" s="49" t="n">
        <v>4</v>
      </c>
      <c r="P214" s="49" t="n">
        <v>720</v>
      </c>
      <c r="Q214" s="49" t="n">
        <v>5</v>
      </c>
      <c r="R214" s="49" t="n">
        <v>180</v>
      </c>
      <c r="S214" s="49" t="n">
        <v>1</v>
      </c>
      <c r="T214" s="49" t="n">
        <v>5</v>
      </c>
      <c r="U214" s="49" t="n">
        <v>120</v>
      </c>
      <c r="V214" s="49" t="n">
        <v>5</v>
      </c>
      <c r="W214" s="49" t="n">
        <v>1000</v>
      </c>
      <c r="X214" s="49" t="n">
        <v>94.62</v>
      </c>
    </row>
    <row r="215">
      <c r="A215" s="49" t="inlineStr">
        <is>
          <t>Vine Shoots</t>
        </is>
      </c>
      <c r="B215" s="49" t="n">
        <v>31.9</v>
      </c>
      <c r="C215" s="49" t="n">
        <v>23.2</v>
      </c>
      <c r="D215" s="49" t="n">
        <v>38.5</v>
      </c>
      <c r="E215" s="49" t="n">
        <v>71.40000000000001</v>
      </c>
      <c r="F215" s="49" t="n">
        <v>3.7</v>
      </c>
      <c r="G215" s="49" t="n">
        <v>14.6</v>
      </c>
      <c r="H215" s="49" t="n">
        <v>41.8</v>
      </c>
      <c r="I215" s="49" t="n">
        <v>51.6</v>
      </c>
      <c r="J215" s="49" t="n">
        <v>5.87</v>
      </c>
      <c r="K215" s="49" t="n">
        <v>4</v>
      </c>
      <c r="L215" s="49" t="n">
        <v>1</v>
      </c>
      <c r="M215" s="49" t="n">
        <v>1</v>
      </c>
      <c r="N215" s="49" t="n">
        <v>0</v>
      </c>
      <c r="O215" s="49" t="n">
        <v>4</v>
      </c>
      <c r="P215" s="49" t="n">
        <v>720</v>
      </c>
      <c r="Q215" s="49" t="n">
        <v>5</v>
      </c>
      <c r="R215" s="49" t="n">
        <v>180</v>
      </c>
      <c r="S215" s="49" t="n">
        <v>1</v>
      </c>
      <c r="T215" s="49" t="n">
        <v>5</v>
      </c>
      <c r="U215" s="49" t="n">
        <v>120</v>
      </c>
      <c r="V215" s="49" t="n">
        <v>5</v>
      </c>
      <c r="W215" s="49" t="n">
        <v>1200</v>
      </c>
      <c r="X215" s="49" t="n">
        <v>94.02</v>
      </c>
    </row>
    <row r="216">
      <c r="A216" s="49" t="inlineStr">
        <is>
          <t>Walnut shell</t>
        </is>
      </c>
      <c r="B216" s="49" t="n">
        <v>42.36</v>
      </c>
      <c r="C216" s="49" t="n">
        <v>10.26</v>
      </c>
      <c r="D216" s="49" t="n">
        <v>27.19</v>
      </c>
      <c r="E216" s="49" t="n">
        <v>71.52</v>
      </c>
      <c r="F216" s="49" t="n">
        <v>1.65</v>
      </c>
      <c r="G216" s="49" t="n">
        <v>19.33</v>
      </c>
      <c r="H216" s="49" t="n">
        <v>46.65</v>
      </c>
      <c r="I216" s="49" t="n">
        <v>47.54</v>
      </c>
      <c r="J216" s="49" t="n">
        <v>5.8</v>
      </c>
      <c r="K216" s="49" t="n">
        <v>4</v>
      </c>
      <c r="L216" s="49" t="n">
        <v>2</v>
      </c>
      <c r="M216" s="49" t="n">
        <v>0</v>
      </c>
      <c r="N216" s="49" t="n">
        <v>1</v>
      </c>
      <c r="O216" s="49" t="n">
        <v>4</v>
      </c>
      <c r="P216" s="49" t="n">
        <v>300</v>
      </c>
      <c r="Q216" s="49" t="n">
        <v>5</v>
      </c>
      <c r="R216" s="49" t="n">
        <v>600</v>
      </c>
      <c r="S216" s="49" t="n">
        <v>0</v>
      </c>
      <c r="T216" s="49" t="n">
        <v>5</v>
      </c>
      <c r="U216" s="49" t="n">
        <v>0</v>
      </c>
      <c r="V216" s="49" t="n">
        <v>0</v>
      </c>
      <c r="W216" s="49" t="n">
        <v>0</v>
      </c>
      <c r="X216" s="49" t="n">
        <v>88.2</v>
      </c>
    </row>
    <row r="217">
      <c r="A217" s="49" t="inlineStr">
        <is>
          <t>Walnut shell</t>
        </is>
      </c>
      <c r="B217" s="49" t="n">
        <v>42.36</v>
      </c>
      <c r="C217" s="49" t="n">
        <v>10.26</v>
      </c>
      <c r="D217" s="49" t="n">
        <v>27.19</v>
      </c>
      <c r="E217" s="49" t="n">
        <v>71.52</v>
      </c>
      <c r="F217" s="49" t="n">
        <v>1.65</v>
      </c>
      <c r="G217" s="49" t="n">
        <v>19.33</v>
      </c>
      <c r="H217" s="49" t="n">
        <v>46.65</v>
      </c>
      <c r="I217" s="49" t="n">
        <v>47.54</v>
      </c>
      <c r="J217" s="49" t="n">
        <v>5.8</v>
      </c>
      <c r="K217" s="49" t="n">
        <v>4</v>
      </c>
      <c r="L217" s="49" t="n">
        <v>2</v>
      </c>
      <c r="M217" s="49" t="n">
        <v>0</v>
      </c>
      <c r="N217" s="49" t="n">
        <v>1</v>
      </c>
      <c r="O217" s="49" t="n">
        <v>4</v>
      </c>
      <c r="P217" s="49" t="n">
        <v>300</v>
      </c>
      <c r="Q217" s="49" t="n">
        <v>5</v>
      </c>
      <c r="R217" s="49" t="n">
        <v>800</v>
      </c>
      <c r="S217" s="49" t="n">
        <v>0</v>
      </c>
      <c r="T217" s="49" t="n">
        <v>5</v>
      </c>
      <c r="U217" s="49" t="n">
        <v>0</v>
      </c>
      <c r="V217" s="49" t="n">
        <v>0</v>
      </c>
      <c r="W217" s="49" t="n">
        <v>0</v>
      </c>
      <c r="X217" s="49" t="n">
        <v>86.40000000000001</v>
      </c>
    </row>
    <row r="218">
      <c r="A218" s="49" t="inlineStr">
        <is>
          <t>Walnut shell</t>
        </is>
      </c>
      <c r="B218" s="49" t="n">
        <v>42.36</v>
      </c>
      <c r="C218" s="49" t="n">
        <v>10.26</v>
      </c>
      <c r="D218" s="49" t="n">
        <v>27.19</v>
      </c>
      <c r="E218" s="49" t="n">
        <v>71.52</v>
      </c>
      <c r="F218" s="49" t="n">
        <v>1.65</v>
      </c>
      <c r="G218" s="49" t="n">
        <v>19.33</v>
      </c>
      <c r="H218" s="49" t="n">
        <v>46.65</v>
      </c>
      <c r="I218" s="49" t="n">
        <v>47.54</v>
      </c>
      <c r="J218" s="49" t="n">
        <v>5.8</v>
      </c>
      <c r="K218" s="49" t="n">
        <v>4</v>
      </c>
      <c r="L218" s="49" t="n">
        <v>2</v>
      </c>
      <c r="M218" s="49" t="n">
        <v>0</v>
      </c>
      <c r="N218" s="49" t="n">
        <v>1</v>
      </c>
      <c r="O218" s="49" t="n">
        <v>4</v>
      </c>
      <c r="P218" s="49" t="n">
        <v>300</v>
      </c>
      <c r="Q218" s="49" t="n">
        <v>5</v>
      </c>
      <c r="R218" s="49" t="n">
        <v>1000</v>
      </c>
      <c r="S218" s="49" t="n">
        <v>0</v>
      </c>
      <c r="T218" s="49" t="n">
        <v>5</v>
      </c>
      <c r="U218" s="49" t="n">
        <v>0</v>
      </c>
      <c r="V218" s="49" t="n">
        <v>0</v>
      </c>
      <c r="W218" s="49" t="n">
        <v>0</v>
      </c>
      <c r="X218" s="49" t="n">
        <v>91.2</v>
      </c>
    </row>
    <row r="219">
      <c r="A219" s="49" t="inlineStr">
        <is>
          <t>Walnut shell</t>
        </is>
      </c>
      <c r="B219" s="49" t="n">
        <v>42.36</v>
      </c>
      <c r="C219" s="49" t="n">
        <v>10.26</v>
      </c>
      <c r="D219" s="49" t="n">
        <v>27.19</v>
      </c>
      <c r="E219" s="49" t="n">
        <v>71.52</v>
      </c>
      <c r="F219" s="49" t="n">
        <v>1.65</v>
      </c>
      <c r="G219" s="49" t="n">
        <v>19.33</v>
      </c>
      <c r="H219" s="49" t="n">
        <v>46.65</v>
      </c>
      <c r="I219" s="49" t="n">
        <v>47.54</v>
      </c>
      <c r="J219" s="49" t="n">
        <v>5.8</v>
      </c>
      <c r="K219" s="49" t="n">
        <v>4</v>
      </c>
      <c r="L219" s="49" t="n">
        <v>2</v>
      </c>
      <c r="M219" s="49" t="n">
        <v>0</v>
      </c>
      <c r="N219" s="49" t="n">
        <v>1</v>
      </c>
      <c r="O219" s="49" t="n">
        <v>4</v>
      </c>
      <c r="P219" s="49" t="n">
        <v>300</v>
      </c>
      <c r="Q219" s="49" t="n">
        <v>5</v>
      </c>
      <c r="R219" s="49" t="n">
        <v>1200</v>
      </c>
      <c r="S219" s="49" t="n">
        <v>0</v>
      </c>
      <c r="T219" s="49" t="n">
        <v>5</v>
      </c>
      <c r="U219" s="49" t="n">
        <v>0</v>
      </c>
      <c r="V219" s="49" t="n">
        <v>0</v>
      </c>
      <c r="W219" s="49" t="n">
        <v>0</v>
      </c>
      <c r="X219" s="49" t="n">
        <v>90.09999999999999</v>
      </c>
    </row>
    <row r="220">
      <c r="A220" s="49" t="inlineStr">
        <is>
          <t>Walnut shell</t>
        </is>
      </c>
      <c r="B220" s="49" t="n">
        <v>42.36</v>
      </c>
      <c r="C220" s="49" t="n">
        <v>10.26</v>
      </c>
      <c r="D220" s="49" t="n">
        <v>27.19</v>
      </c>
      <c r="E220" s="49" t="n">
        <v>71.52</v>
      </c>
      <c r="F220" s="49" t="n">
        <v>1.65</v>
      </c>
      <c r="G220" s="49" t="n">
        <v>19.33</v>
      </c>
      <c r="H220" s="49" t="n">
        <v>46.65</v>
      </c>
      <c r="I220" s="49" t="n">
        <v>47.54</v>
      </c>
      <c r="J220" s="49" t="n">
        <v>5.8</v>
      </c>
      <c r="K220" s="49" t="n">
        <v>4</v>
      </c>
      <c r="L220" s="49" t="n">
        <v>3</v>
      </c>
      <c r="M220" s="49" t="n">
        <v>0</v>
      </c>
      <c r="N220" s="49" t="n">
        <v>1</v>
      </c>
      <c r="O220" s="49" t="n">
        <v>4</v>
      </c>
      <c r="P220" s="49" t="n">
        <v>300</v>
      </c>
      <c r="Q220" s="49" t="n">
        <v>5</v>
      </c>
      <c r="R220" s="49" t="n">
        <v>1300</v>
      </c>
      <c r="S220" s="49" t="n">
        <v>0</v>
      </c>
      <c r="T220" s="49" t="n">
        <v>5</v>
      </c>
      <c r="U220" s="49" t="n">
        <v>0</v>
      </c>
      <c r="V220" s="49" t="n">
        <v>0</v>
      </c>
      <c r="W220" s="49" t="n">
        <v>0</v>
      </c>
      <c r="X220" s="49" t="n">
        <v>89.5</v>
      </c>
    </row>
    <row r="221">
      <c r="A221" s="49" t="inlineStr">
        <is>
          <t>Walnut shells</t>
        </is>
      </c>
      <c r="B221" s="49" t="n">
        <v>42.36</v>
      </c>
      <c r="C221" s="49" t="n">
        <v>10.26</v>
      </c>
      <c r="D221" s="49" t="n">
        <v>27.19</v>
      </c>
      <c r="E221" s="49" t="n">
        <v>71.52</v>
      </c>
      <c r="F221" s="49" t="n">
        <v>1.65</v>
      </c>
      <c r="G221" s="49" t="n">
        <v>19.33</v>
      </c>
      <c r="H221" s="49" t="n">
        <v>46.65</v>
      </c>
      <c r="I221" s="49" t="n">
        <v>47.54</v>
      </c>
      <c r="J221" s="49" t="n">
        <v>5.8</v>
      </c>
      <c r="K221" s="49" t="n">
        <v>4</v>
      </c>
      <c r="L221" s="49" t="n">
        <v>1</v>
      </c>
      <c r="M221" s="49" t="n">
        <v>0</v>
      </c>
      <c r="N221" s="49" t="n">
        <v>1</v>
      </c>
      <c r="O221" s="49" t="n">
        <v>4</v>
      </c>
      <c r="P221" s="49" t="n">
        <v>60</v>
      </c>
      <c r="Q221" s="49" t="n">
        <v>5</v>
      </c>
      <c r="R221" s="49" t="n">
        <v>1300</v>
      </c>
      <c r="S221" s="49" t="n">
        <v>0</v>
      </c>
      <c r="T221" s="49" t="n">
        <v>5</v>
      </c>
      <c r="U221" s="49" t="n">
        <v>0</v>
      </c>
      <c r="V221" s="49" t="n">
        <v>0</v>
      </c>
      <c r="W221" s="49" t="n">
        <v>0</v>
      </c>
      <c r="X221" s="49" t="n">
        <v>96.40000000000001</v>
      </c>
    </row>
    <row r="222">
      <c r="A222" s="49" t="inlineStr">
        <is>
          <t>Waste coffee</t>
        </is>
      </c>
      <c r="B222" s="49" t="n">
        <v>12.4</v>
      </c>
      <c r="C222" s="49" t="n">
        <v>39.1</v>
      </c>
      <c r="D222" s="49" t="n">
        <v>23.9</v>
      </c>
      <c r="E222" s="49" t="n">
        <v>78.3</v>
      </c>
      <c r="F222" s="49" t="n">
        <v>13.6</v>
      </c>
      <c r="G222" s="49" t="n">
        <v>8.119999999999999</v>
      </c>
      <c r="H222" s="49" t="n">
        <v>54.5</v>
      </c>
      <c r="I222" s="49" t="n">
        <v>7.3</v>
      </c>
      <c r="J222" s="49" t="n">
        <v>34.1</v>
      </c>
      <c r="K222" s="49" t="n">
        <v>6</v>
      </c>
      <c r="L222" s="49" t="n">
        <v>5</v>
      </c>
      <c r="M222" s="49" t="n">
        <v>0</v>
      </c>
      <c r="N222" s="49" t="n">
        <v>1</v>
      </c>
      <c r="O222" s="49" t="n">
        <v>4</v>
      </c>
      <c r="P222" s="49" t="n">
        <v>151.326447360796</v>
      </c>
      <c r="Q222" s="49" t="n">
        <v>5</v>
      </c>
      <c r="R222" s="49" t="n">
        <v>1600</v>
      </c>
      <c r="S222" s="49" t="n">
        <v>0</v>
      </c>
      <c r="T222" s="49" t="n">
        <v>5</v>
      </c>
      <c r="U222" s="49" t="n">
        <v>0</v>
      </c>
      <c r="V222" s="49" t="n">
        <v>0</v>
      </c>
      <c r="W222" s="49" t="n">
        <v>0</v>
      </c>
      <c r="X222" s="49" t="n">
        <v>94.59999999999999</v>
      </c>
    </row>
    <row r="223">
      <c r="A223" s="49" t="inlineStr">
        <is>
          <t>Waste coffee</t>
        </is>
      </c>
      <c r="B223" s="49" t="n">
        <v>12.4</v>
      </c>
      <c r="C223" s="49" t="n">
        <v>39.1</v>
      </c>
      <c r="D223" s="49" t="n">
        <v>23.9</v>
      </c>
      <c r="E223" s="49" t="n">
        <v>78.3</v>
      </c>
      <c r="F223" s="49" t="n">
        <v>13.6</v>
      </c>
      <c r="G223" s="49" t="n">
        <v>8.119999999999999</v>
      </c>
      <c r="H223" s="49" t="n">
        <v>54.5</v>
      </c>
      <c r="I223" s="49" t="n">
        <v>7.3</v>
      </c>
      <c r="J223" s="49" t="n">
        <v>34.1</v>
      </c>
      <c r="K223" s="49" t="n">
        <v>6</v>
      </c>
      <c r="L223" s="49" t="n">
        <v>5</v>
      </c>
      <c r="M223" s="49" t="n">
        <v>0</v>
      </c>
      <c r="N223" s="49" t="n">
        <v>1</v>
      </c>
      <c r="O223" s="49" t="n">
        <v>4</v>
      </c>
      <c r="P223" s="49" t="n">
        <v>120</v>
      </c>
      <c r="Q223" s="49" t="n">
        <v>5</v>
      </c>
      <c r="R223" s="49" t="n">
        <v>2000</v>
      </c>
      <c r="S223" s="49" t="n">
        <v>0</v>
      </c>
      <c r="T223" s="49" t="n">
        <v>5</v>
      </c>
      <c r="U223" s="49" t="n">
        <v>0</v>
      </c>
      <c r="V223" s="49" t="n">
        <v>0</v>
      </c>
      <c r="W223" s="49" t="n">
        <v>0</v>
      </c>
      <c r="X223" s="49" t="n">
        <v>96.59999999999999</v>
      </c>
    </row>
    <row r="224">
      <c r="A224" s="49" t="inlineStr">
        <is>
          <t>Waste coffee</t>
        </is>
      </c>
      <c r="B224" s="49" t="n">
        <v>12.4</v>
      </c>
      <c r="C224" s="49" t="n">
        <v>39.1</v>
      </c>
      <c r="D224" s="49" t="n">
        <v>23.9</v>
      </c>
      <c r="E224" s="49" t="n">
        <v>78.3</v>
      </c>
      <c r="F224" s="49" t="n">
        <v>13.6</v>
      </c>
      <c r="G224" s="49" t="n">
        <v>8.119999999999999</v>
      </c>
      <c r="H224" s="49" t="n">
        <v>54.5</v>
      </c>
      <c r="I224" s="49" t="n">
        <v>7.3</v>
      </c>
      <c r="J224" s="49" t="n">
        <v>34.1</v>
      </c>
      <c r="K224" s="49" t="n">
        <v>6</v>
      </c>
      <c r="L224" s="49" t="n">
        <v>5</v>
      </c>
      <c r="M224" s="49" t="n">
        <v>0</v>
      </c>
      <c r="N224" s="49" t="n">
        <v>1</v>
      </c>
      <c r="O224" s="49" t="n">
        <v>4</v>
      </c>
      <c r="P224" s="49" t="n">
        <v>120</v>
      </c>
      <c r="Q224" s="49" t="n">
        <v>5</v>
      </c>
      <c r="R224" s="49" t="n">
        <v>2400</v>
      </c>
      <c r="S224" s="49" t="n">
        <v>0</v>
      </c>
      <c r="T224" s="49" t="n">
        <v>5</v>
      </c>
      <c r="U224" s="49" t="n">
        <v>0</v>
      </c>
      <c r="V224" s="49" t="n">
        <v>0</v>
      </c>
      <c r="W224" s="49" t="n">
        <v>0</v>
      </c>
      <c r="X224" s="49" t="n">
        <v>97</v>
      </c>
    </row>
    <row r="225">
      <c r="A225" s="49" t="inlineStr">
        <is>
          <t>Waste coffee</t>
        </is>
      </c>
      <c r="B225" s="49" t="n">
        <v>12.4</v>
      </c>
      <c r="C225" s="49" t="n">
        <v>39.1</v>
      </c>
      <c r="D225" s="49" t="n">
        <v>23.9</v>
      </c>
      <c r="E225" s="49" t="n">
        <v>78.3</v>
      </c>
      <c r="F225" s="49" t="n">
        <v>13.6</v>
      </c>
      <c r="G225" s="49" t="n">
        <v>8.119999999999999</v>
      </c>
      <c r="H225" s="49" t="n">
        <v>54.5</v>
      </c>
      <c r="I225" s="49" t="n">
        <v>7.3</v>
      </c>
      <c r="J225" s="49" t="n">
        <v>34.1</v>
      </c>
      <c r="K225" s="49" t="n">
        <v>6</v>
      </c>
      <c r="L225" s="49" t="n">
        <v>5</v>
      </c>
      <c r="M225" s="49" t="n">
        <v>0</v>
      </c>
      <c r="N225" s="49" t="n">
        <v>1</v>
      </c>
      <c r="O225" s="49" t="n">
        <v>4</v>
      </c>
      <c r="P225" s="49" t="n">
        <v>120</v>
      </c>
      <c r="Q225" s="49" t="n">
        <v>5</v>
      </c>
      <c r="R225" s="49" t="n">
        <v>2800</v>
      </c>
      <c r="S225" s="49" t="n">
        <v>0</v>
      </c>
      <c r="T225" s="49" t="n">
        <v>5</v>
      </c>
      <c r="U225" s="49" t="n">
        <v>0</v>
      </c>
      <c r="V225" s="49" t="n">
        <v>0</v>
      </c>
      <c r="W225" s="49" t="n">
        <v>0</v>
      </c>
      <c r="X225" s="49" t="n">
        <v>97.59999999999999</v>
      </c>
    </row>
    <row r="226">
      <c r="A226" s="49" t="inlineStr">
        <is>
          <t>Water caltrop</t>
        </is>
      </c>
      <c r="B226" s="49" t="n">
        <v>34.55</v>
      </c>
      <c r="C226" s="49" t="n">
        <v>12.78</v>
      </c>
      <c r="D226" s="49" t="n">
        <v>22</v>
      </c>
      <c r="E226" s="49" t="n">
        <v>71</v>
      </c>
      <c r="F226" s="49" t="n">
        <v>6.32</v>
      </c>
      <c r="G226" s="49" t="n">
        <v>13.58</v>
      </c>
      <c r="H226" s="49" t="n">
        <v>40.05</v>
      </c>
      <c r="I226" s="49" t="n">
        <v>45.49</v>
      </c>
      <c r="J226" s="49" t="n">
        <v>6.13</v>
      </c>
      <c r="K226" s="49" t="n">
        <v>5</v>
      </c>
      <c r="L226" s="49" t="n">
        <v>1</v>
      </c>
      <c r="M226" s="49" t="n">
        <v>0</v>
      </c>
      <c r="N226" s="49" t="n">
        <v>1</v>
      </c>
      <c r="O226" s="49" t="n">
        <v>4</v>
      </c>
      <c r="P226" s="49" t="n">
        <v>180</v>
      </c>
      <c r="Q226" s="49" t="n">
        <v>5</v>
      </c>
      <c r="R226" s="49" t="n">
        <v>900</v>
      </c>
      <c r="S226" s="49" t="n">
        <v>0</v>
      </c>
      <c r="T226" s="49" t="n">
        <v>5</v>
      </c>
      <c r="U226" s="49" t="n">
        <v>0</v>
      </c>
      <c r="V226" s="49" t="n">
        <v>0</v>
      </c>
      <c r="W226" s="49" t="n">
        <v>0</v>
      </c>
      <c r="X226" s="49" t="n">
        <v>90.56</v>
      </c>
    </row>
    <row r="227">
      <c r="A227" s="49" t="inlineStr">
        <is>
          <t>Water caltrop</t>
        </is>
      </c>
      <c r="B227" s="49" t="n">
        <v>34.55</v>
      </c>
      <c r="C227" s="49" t="n">
        <v>12.78</v>
      </c>
      <c r="D227" s="49" t="n">
        <v>22</v>
      </c>
      <c r="E227" s="49" t="n">
        <v>71</v>
      </c>
      <c r="F227" s="49" t="n">
        <v>6.32</v>
      </c>
      <c r="G227" s="49" t="n">
        <v>13.58</v>
      </c>
      <c r="H227" s="49" t="n">
        <v>40.05</v>
      </c>
      <c r="I227" s="49" t="n">
        <v>45.49</v>
      </c>
      <c r="J227" s="49" t="n">
        <v>6.13</v>
      </c>
      <c r="K227" s="49" t="n">
        <v>5</v>
      </c>
      <c r="L227" s="49" t="n">
        <v>1</v>
      </c>
      <c r="M227" s="49" t="n">
        <v>0</v>
      </c>
      <c r="N227" s="49" t="n">
        <v>1</v>
      </c>
      <c r="O227" s="49" t="n">
        <v>4</v>
      </c>
      <c r="P227" s="49" t="n">
        <v>180</v>
      </c>
      <c r="Q227" s="49" t="n">
        <v>5</v>
      </c>
      <c r="R227" s="49" t="n">
        <v>1100</v>
      </c>
      <c r="S227" s="49" t="n">
        <v>0</v>
      </c>
      <c r="T227" s="49" t="n">
        <v>5</v>
      </c>
      <c r="U227" s="49" t="n">
        <v>0</v>
      </c>
      <c r="V227" s="49" t="n">
        <v>0</v>
      </c>
      <c r="W227" s="49" t="n">
        <v>0</v>
      </c>
      <c r="X227" s="49" t="n">
        <v>94.09</v>
      </c>
    </row>
    <row r="228">
      <c r="A228" s="49" t="inlineStr">
        <is>
          <t>Water caltrop</t>
        </is>
      </c>
      <c r="B228" s="49" t="n">
        <v>34.55</v>
      </c>
      <c r="C228" s="49" t="n">
        <v>12.78</v>
      </c>
      <c r="D228" s="49" t="n">
        <v>22</v>
      </c>
      <c r="E228" s="49" t="n">
        <v>71</v>
      </c>
      <c r="F228" s="49" t="n">
        <v>6.32</v>
      </c>
      <c r="G228" s="49" t="n">
        <v>13.58</v>
      </c>
      <c r="H228" s="49" t="n">
        <v>40.05</v>
      </c>
      <c r="I228" s="49" t="n">
        <v>45.49</v>
      </c>
      <c r="J228" s="49" t="n">
        <v>6.13</v>
      </c>
      <c r="K228" s="49" t="n">
        <v>5</v>
      </c>
      <c r="L228" s="49" t="n">
        <v>1</v>
      </c>
      <c r="M228" s="49" t="n">
        <v>0</v>
      </c>
      <c r="N228" s="49" t="n">
        <v>1</v>
      </c>
      <c r="O228" s="49" t="n">
        <v>4</v>
      </c>
      <c r="P228" s="49" t="n">
        <v>180</v>
      </c>
      <c r="Q228" s="49" t="n">
        <v>5</v>
      </c>
      <c r="R228" s="49" t="n">
        <v>1300</v>
      </c>
      <c r="S228" s="49" t="n">
        <v>0</v>
      </c>
      <c r="T228" s="49" t="n">
        <v>5</v>
      </c>
      <c r="U228" s="49" t="n">
        <v>0</v>
      </c>
      <c r="V228" s="49" t="n">
        <v>0</v>
      </c>
      <c r="W228" s="49" t="n">
        <v>0</v>
      </c>
      <c r="X228" s="49" t="n">
        <v>95.98</v>
      </c>
    </row>
    <row r="229">
      <c r="A229" s="49" t="inlineStr">
        <is>
          <t>Water caltrop</t>
        </is>
      </c>
      <c r="B229" s="49" t="n">
        <v>34.55</v>
      </c>
      <c r="C229" s="49" t="n">
        <v>12.78</v>
      </c>
      <c r="D229" s="49" t="n">
        <v>22</v>
      </c>
      <c r="E229" s="49" t="n">
        <v>71</v>
      </c>
      <c r="F229" s="49" t="n">
        <v>6.32</v>
      </c>
      <c r="G229" s="49" t="n">
        <v>13.58</v>
      </c>
      <c r="H229" s="49" t="n">
        <v>40.05</v>
      </c>
      <c r="I229" s="49" t="n">
        <v>45.49</v>
      </c>
      <c r="J229" s="49" t="n">
        <v>6.13</v>
      </c>
      <c r="K229" s="49" t="n">
        <v>5</v>
      </c>
      <c r="L229" s="49" t="n">
        <v>1</v>
      </c>
      <c r="M229" s="49" t="n">
        <v>0</v>
      </c>
      <c r="N229" s="49" t="n">
        <v>1</v>
      </c>
      <c r="O229" s="49" t="n">
        <v>4</v>
      </c>
      <c r="P229" s="49" t="n">
        <v>180</v>
      </c>
      <c r="Q229" s="49" t="n">
        <v>5</v>
      </c>
      <c r="R229" s="49" t="n">
        <v>1500</v>
      </c>
      <c r="S229" s="49" t="n">
        <v>0</v>
      </c>
      <c r="T229" s="49" t="n">
        <v>5</v>
      </c>
      <c r="U229" s="49" t="n">
        <v>0</v>
      </c>
      <c r="V229" s="49" t="n">
        <v>0</v>
      </c>
      <c r="W229" s="49" t="n">
        <v>0</v>
      </c>
      <c r="X229" s="49" t="n">
        <v>98.34</v>
      </c>
    </row>
    <row r="230">
      <c r="A230" s="49" t="inlineStr">
        <is>
          <t>Wheat straw</t>
        </is>
      </c>
      <c r="B230" s="49" t="n">
        <v>57.09</v>
      </c>
      <c r="C230" s="49" t="n">
        <v>16.81</v>
      </c>
      <c r="D230" s="49" t="n">
        <v>19.1</v>
      </c>
      <c r="E230" s="49" t="n">
        <v>68.23</v>
      </c>
      <c r="F230" s="49" t="n">
        <v>17.04</v>
      </c>
      <c r="G230" s="49" t="n">
        <v>14.72</v>
      </c>
      <c r="H230" s="49" t="n">
        <v>37.2</v>
      </c>
      <c r="I230" s="49" t="n">
        <v>37.3</v>
      </c>
      <c r="J230" s="49" t="n">
        <v>5.57</v>
      </c>
      <c r="K230" s="49" t="n">
        <v>4</v>
      </c>
      <c r="L230" s="49" t="n">
        <v>5</v>
      </c>
      <c r="M230" s="49" t="n">
        <v>0</v>
      </c>
      <c r="N230" s="49" t="n">
        <v>1</v>
      </c>
      <c r="O230" s="49" t="n">
        <v>4</v>
      </c>
      <c r="P230" s="49" t="n">
        <v>60</v>
      </c>
      <c r="Q230" s="49" t="n">
        <v>3.3</v>
      </c>
      <c r="R230" s="49" t="n">
        <v>1000</v>
      </c>
      <c r="S230" s="49" t="n">
        <v>0</v>
      </c>
      <c r="T230" s="49" t="n">
        <v>5</v>
      </c>
      <c r="U230" s="49" t="n">
        <v>0</v>
      </c>
      <c r="V230" s="49" t="n">
        <v>0</v>
      </c>
      <c r="W230" s="49" t="n">
        <v>0</v>
      </c>
      <c r="X230" s="49" t="n">
        <v>70.90000000000001</v>
      </c>
    </row>
    <row r="231">
      <c r="A231" s="49" t="inlineStr">
        <is>
          <t>Wheat straw</t>
        </is>
      </c>
      <c r="B231" s="49" t="n">
        <v>57.09</v>
      </c>
      <c r="C231" s="49" t="n">
        <v>16.81</v>
      </c>
      <c r="D231" s="49" t="n">
        <v>19.1</v>
      </c>
      <c r="E231" s="49" t="n">
        <v>68.23</v>
      </c>
      <c r="F231" s="49" t="n">
        <v>17.04</v>
      </c>
      <c r="G231" s="49" t="n">
        <v>14.72</v>
      </c>
      <c r="H231" s="49" t="n">
        <v>37.2</v>
      </c>
      <c r="I231" s="49" t="n">
        <v>37.3</v>
      </c>
      <c r="J231" s="49" t="n">
        <v>5.57</v>
      </c>
      <c r="K231" s="49" t="n">
        <v>4</v>
      </c>
      <c r="L231" s="49" t="n">
        <v>5</v>
      </c>
      <c r="M231" s="49" t="n">
        <v>0</v>
      </c>
      <c r="N231" s="49" t="n">
        <v>1</v>
      </c>
      <c r="O231" s="49" t="n">
        <v>4</v>
      </c>
      <c r="P231" s="49" t="n">
        <v>60</v>
      </c>
      <c r="Q231" s="49" t="n">
        <v>3.3</v>
      </c>
      <c r="R231" s="49" t="n">
        <v>1200</v>
      </c>
      <c r="S231" s="49" t="n">
        <v>0</v>
      </c>
      <c r="T231" s="49" t="n">
        <v>5</v>
      </c>
      <c r="U231" s="49" t="n">
        <v>0</v>
      </c>
      <c r="V231" s="49" t="n">
        <v>0</v>
      </c>
      <c r="W231" s="49" t="n">
        <v>0</v>
      </c>
      <c r="X231" s="49" t="n">
        <v>75.09999999999999</v>
      </c>
    </row>
    <row r="232">
      <c r="A232" s="49" t="inlineStr">
        <is>
          <t>Wheat straw</t>
        </is>
      </c>
      <c r="B232" s="49" t="n">
        <v>57.09</v>
      </c>
      <c r="C232" s="49" t="n">
        <v>16.81</v>
      </c>
      <c r="D232" s="49" t="n">
        <v>19.1</v>
      </c>
      <c r="E232" s="49" t="n">
        <v>68.23</v>
      </c>
      <c r="F232" s="49" t="n">
        <v>17.04</v>
      </c>
      <c r="G232" s="49" t="n">
        <v>14.72</v>
      </c>
      <c r="H232" s="49" t="n">
        <v>37.2</v>
      </c>
      <c r="I232" s="49" t="n">
        <v>37.3</v>
      </c>
      <c r="J232" s="49" t="n">
        <v>5.57</v>
      </c>
      <c r="K232" s="49" t="n">
        <v>4</v>
      </c>
      <c r="L232" s="49" t="n">
        <v>5</v>
      </c>
      <c r="M232" s="49" t="n">
        <v>0</v>
      </c>
      <c r="N232" s="49" t="n">
        <v>1</v>
      </c>
      <c r="O232" s="49" t="n">
        <v>4</v>
      </c>
      <c r="P232" s="49" t="n">
        <v>60</v>
      </c>
      <c r="Q232" s="49" t="n">
        <v>3.3</v>
      </c>
      <c r="R232" s="49" t="n">
        <v>1400</v>
      </c>
      <c r="S232" s="49" t="n">
        <v>0</v>
      </c>
      <c r="T232" s="49" t="n">
        <v>5</v>
      </c>
      <c r="U232" s="49" t="n">
        <v>0</v>
      </c>
      <c r="V232" s="49" t="n">
        <v>0</v>
      </c>
      <c r="W232" s="49" t="n">
        <v>0</v>
      </c>
      <c r="X232" s="49" t="n">
        <v>83.5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9"/>
  <sheetViews>
    <sheetView topLeftCell="E331" workbookViewId="0">
      <selection activeCell="S363" sqref="S363"/>
    </sheetView>
  </sheetViews>
  <sheetFormatPr baseColWidth="8" defaultRowHeight="14.4"/>
  <cols>
    <col width="19.21875" customWidth="1" style="51" min="1" max="1"/>
    <col width="12.88671875" customWidth="1" style="51" min="2" max="2"/>
    <col width="16" customWidth="1" style="51" min="3" max="3"/>
    <col width="12.88671875" customWidth="1" style="51" min="4" max="4"/>
    <col width="16.44140625" customWidth="1" style="51" min="5" max="5"/>
    <col width="12.88671875" customWidth="1" style="51" min="6" max="6"/>
    <col width="14.5546875" customWidth="1" style="51" min="7" max="7"/>
    <col width="12.88671875" customWidth="1" style="51" min="8" max="10"/>
    <col width="8.77734375" customWidth="1" style="51" min="11" max="11"/>
    <col width="9.6640625" customWidth="1" style="51" min="12" max="12"/>
    <col width="5.77734375" customWidth="1" style="51" min="13" max="13"/>
    <col width="11.6640625" customWidth="1" style="51" min="14" max="14"/>
    <col width="12.6640625" customWidth="1" style="51" min="15" max="15"/>
    <col width="12.88671875" customWidth="1" style="51" min="16" max="16"/>
    <col width="15.5546875" customWidth="1" style="51" min="17" max="17"/>
    <col width="16.21875" customWidth="1" style="51" min="18" max="18"/>
    <col width="11.6640625" customWidth="1" style="51" min="19" max="19"/>
    <col width="12.6640625" customWidth="1" style="51" min="20" max="20"/>
    <col width="12.88671875" customWidth="1" style="51" min="21" max="21"/>
    <col width="15.5546875" customWidth="1" style="51" min="22" max="22"/>
    <col width="16.21875" customWidth="1" style="51" min="23" max="23"/>
    <col width="10.109375" customWidth="1" style="51" min="24" max="24"/>
  </cols>
  <sheetData>
    <row r="1">
      <c r="A1" s="50" t="inlineStr">
        <is>
          <t>Biomass</t>
        </is>
      </c>
      <c r="B1" s="50" t="inlineStr">
        <is>
          <t>Cellulose%</t>
        </is>
      </c>
      <c r="C1" s="50" t="inlineStr">
        <is>
          <t>Hemi-cellulose%</t>
        </is>
      </c>
      <c r="D1" s="50" t="inlineStr">
        <is>
          <t>Lignin%</t>
        </is>
      </c>
      <c r="E1" s="50" t="inlineStr">
        <is>
          <t>Volatile Matter%</t>
        </is>
      </c>
      <c r="F1" s="50" t="inlineStr">
        <is>
          <t>Ash%</t>
        </is>
      </c>
      <c r="G1" s="50" t="inlineStr">
        <is>
          <t>Fixed Carbon%</t>
        </is>
      </c>
      <c r="H1" s="50" t="inlineStr">
        <is>
          <t>Carbon%</t>
        </is>
      </c>
      <c r="I1" s="50" t="inlineStr">
        <is>
          <t>Oxygen%</t>
        </is>
      </c>
      <c r="J1" s="50" t="inlineStr">
        <is>
          <t>Hydrogen%</t>
        </is>
      </c>
      <c r="K1" s="50" t="inlineStr">
        <is>
          <t>Prewash</t>
        </is>
      </c>
      <c r="L1" s="50" t="inlineStr">
        <is>
          <t>Postwash</t>
        </is>
      </c>
      <c r="M1" s="50" t="inlineStr">
        <is>
          <t>Type</t>
        </is>
      </c>
      <c r="N1" s="50" t="inlineStr">
        <is>
          <t>Method_01</t>
        </is>
      </c>
      <c r="O1" s="50" t="inlineStr">
        <is>
          <t>Activator_01</t>
        </is>
      </c>
      <c r="P1" s="50" t="inlineStr">
        <is>
          <t>Time_01</t>
        </is>
      </c>
      <c r="Q1" s="50" t="inlineStr">
        <is>
          <t>Heating rate_01</t>
        </is>
      </c>
      <c r="R1" s="50" t="inlineStr">
        <is>
          <t>Temperature_01</t>
        </is>
      </c>
      <c r="S1" s="50" t="inlineStr">
        <is>
          <t>Method_02</t>
        </is>
      </c>
      <c r="T1" s="50" t="inlineStr">
        <is>
          <t>Activator_02</t>
        </is>
      </c>
      <c r="U1" s="50" t="inlineStr">
        <is>
          <t>Time_02</t>
        </is>
      </c>
      <c r="V1" s="50" t="inlineStr">
        <is>
          <t>Heating rate_02</t>
        </is>
      </c>
      <c r="W1" s="50" t="inlineStr">
        <is>
          <t>Temperature_02</t>
        </is>
      </c>
      <c r="X1" s="50" t="inlineStr">
        <is>
          <t>D-Spacing</t>
        </is>
      </c>
    </row>
    <row r="2">
      <c r="A2" s="51" t="inlineStr">
        <is>
          <t>Alkali Lignin</t>
        </is>
      </c>
      <c r="B2" s="51" t="n">
        <v>0</v>
      </c>
      <c r="C2" s="51" t="n">
        <v>0</v>
      </c>
      <c r="D2" s="51" t="n">
        <v>100</v>
      </c>
      <c r="E2" s="51" t="n">
        <v>68.95923718526311</v>
      </c>
      <c r="F2" s="51" t="n">
        <v>3.85650251849244</v>
      </c>
      <c r="G2" s="51" t="n">
        <v>21.9334593054885</v>
      </c>
      <c r="H2" s="51" t="n">
        <v>45.695702977591</v>
      </c>
      <c r="I2" s="51" t="n">
        <v>44.7190770244817</v>
      </c>
      <c r="J2" s="51" t="n">
        <v>5.98146243273457</v>
      </c>
      <c r="K2" s="51" t="n">
        <v>4</v>
      </c>
      <c r="L2" s="51" t="n">
        <v>5</v>
      </c>
      <c r="M2" s="51" t="n">
        <v>0</v>
      </c>
      <c r="N2" s="51" t="n">
        <v>1</v>
      </c>
      <c r="O2" s="51" t="n">
        <v>4</v>
      </c>
      <c r="P2" s="51" t="n">
        <v>180</v>
      </c>
      <c r="Q2" s="51" t="n">
        <v>2</v>
      </c>
      <c r="R2" s="51" t="n">
        <v>1300</v>
      </c>
      <c r="S2" s="51" t="n">
        <v>0</v>
      </c>
      <c r="T2" s="51" t="n">
        <v>5</v>
      </c>
      <c r="U2" s="51" t="n">
        <v>0</v>
      </c>
      <c r="V2" s="51" t="n">
        <v>0</v>
      </c>
      <c r="W2" s="51" t="n">
        <v>0</v>
      </c>
      <c r="X2" s="51" t="n">
        <v>0.382</v>
      </c>
    </row>
    <row r="3">
      <c r="A3" s="51" t="inlineStr">
        <is>
          <t>Alkali Lignin</t>
        </is>
      </c>
      <c r="B3" s="51" t="n">
        <v>0</v>
      </c>
      <c r="C3" s="51" t="n">
        <v>0</v>
      </c>
      <c r="D3" s="51" t="n">
        <v>100</v>
      </c>
      <c r="E3" s="51" t="n">
        <v>68.9592372041144</v>
      </c>
      <c r="F3" s="51" t="n">
        <v>3.8565025196313</v>
      </c>
      <c r="G3" s="51" t="n">
        <v>21.9334592805848</v>
      </c>
      <c r="H3" s="51" t="n">
        <v>45.6957029750271</v>
      </c>
      <c r="I3" s="51" t="n">
        <v>44.7190770297867</v>
      </c>
      <c r="J3" s="51" t="n">
        <v>5.98146243361558</v>
      </c>
      <c r="K3" s="51" t="n">
        <v>4</v>
      </c>
      <c r="L3" s="51" t="n">
        <v>5</v>
      </c>
      <c r="M3" s="51" t="n">
        <v>0</v>
      </c>
      <c r="N3" s="51" t="n">
        <v>1</v>
      </c>
      <c r="O3" s="51" t="n">
        <v>4</v>
      </c>
      <c r="P3" s="51" t="n">
        <v>180</v>
      </c>
      <c r="Q3" s="51" t="n">
        <v>2</v>
      </c>
      <c r="R3" s="51" t="n">
        <v>1300</v>
      </c>
      <c r="S3" s="51" t="n">
        <v>0</v>
      </c>
      <c r="T3" s="51" t="n">
        <v>5</v>
      </c>
      <c r="U3" s="51" t="n">
        <v>0</v>
      </c>
      <c r="V3" s="51" t="n">
        <v>0</v>
      </c>
      <c r="W3" s="51" t="n">
        <v>0</v>
      </c>
      <c r="X3" s="51" t="n">
        <v>0.389</v>
      </c>
    </row>
    <row r="4">
      <c r="A4" s="51" t="inlineStr">
        <is>
          <t>Almond shell</t>
        </is>
      </c>
      <c r="B4" s="51" t="n">
        <v>38.47</v>
      </c>
      <c r="C4" s="51" t="n">
        <v>28.82</v>
      </c>
      <c r="D4" s="51" t="n">
        <v>29.54</v>
      </c>
      <c r="E4" s="51" t="n">
        <v>75.73</v>
      </c>
      <c r="F4" s="51" t="n">
        <v>12.48</v>
      </c>
      <c r="G4" s="51" t="n">
        <v>11.14</v>
      </c>
      <c r="H4" s="51" t="n">
        <v>42.92</v>
      </c>
      <c r="I4" s="51" t="n">
        <v>50.56</v>
      </c>
      <c r="J4" s="51" t="n">
        <v>5.8</v>
      </c>
      <c r="K4" s="51" t="n">
        <v>1</v>
      </c>
      <c r="L4" s="51" t="n">
        <v>5</v>
      </c>
      <c r="M4" s="51" t="n">
        <v>1</v>
      </c>
      <c r="N4" s="51" t="n">
        <v>1</v>
      </c>
      <c r="O4" s="51" t="n">
        <v>4</v>
      </c>
      <c r="P4" s="51" t="n">
        <v>120</v>
      </c>
      <c r="Q4" s="51" t="n">
        <v>5</v>
      </c>
      <c r="R4" s="51" t="n">
        <v>600</v>
      </c>
      <c r="S4" s="51" t="n">
        <v>1</v>
      </c>
      <c r="T4" s="51" t="n">
        <v>5</v>
      </c>
      <c r="U4" s="51" t="n">
        <v>180</v>
      </c>
      <c r="V4" s="51" t="n">
        <v>5</v>
      </c>
      <c r="W4" s="51" t="n">
        <v>1300</v>
      </c>
      <c r="X4" s="51" t="n">
        <v>0.388</v>
      </c>
    </row>
    <row r="5">
      <c r="A5" s="51" t="inlineStr">
        <is>
          <t>Almond shell</t>
        </is>
      </c>
      <c r="B5" s="51" t="n">
        <v>38.47</v>
      </c>
      <c r="C5" s="51" t="n">
        <v>28.82</v>
      </c>
      <c r="D5" s="51" t="n">
        <v>29.54</v>
      </c>
      <c r="E5" s="51" t="n">
        <v>75.73</v>
      </c>
      <c r="F5" s="51" t="n">
        <v>12.48</v>
      </c>
      <c r="G5" s="51" t="n">
        <v>11.14</v>
      </c>
      <c r="H5" s="51" t="n">
        <v>42.92</v>
      </c>
      <c r="I5" s="51" t="n">
        <v>50.56</v>
      </c>
      <c r="J5" s="51" t="n">
        <v>5.8</v>
      </c>
      <c r="K5" s="51" t="n">
        <v>1</v>
      </c>
      <c r="L5" s="51" t="n">
        <v>5</v>
      </c>
      <c r="M5" s="51" t="n">
        <v>1</v>
      </c>
      <c r="N5" s="51" t="n">
        <v>1</v>
      </c>
      <c r="O5" s="51" t="n">
        <v>4</v>
      </c>
      <c r="P5" s="51" t="n">
        <v>120</v>
      </c>
      <c r="Q5" s="51" t="n">
        <v>5</v>
      </c>
      <c r="R5" s="51" t="n">
        <v>600</v>
      </c>
      <c r="S5" s="51" t="n">
        <v>1</v>
      </c>
      <c r="T5" s="51" t="n">
        <v>5</v>
      </c>
      <c r="U5" s="51" t="n">
        <v>180</v>
      </c>
      <c r="V5" s="51" t="n">
        <v>5</v>
      </c>
      <c r="W5" s="51" t="n">
        <v>1300</v>
      </c>
      <c r="X5" s="51" t="n">
        <v>0.389</v>
      </c>
    </row>
    <row r="6">
      <c r="A6" s="51" t="inlineStr">
        <is>
          <t>Almond shell</t>
        </is>
      </c>
      <c r="B6" s="51" t="n">
        <v>38.47</v>
      </c>
      <c r="C6" s="51" t="n">
        <v>28.82</v>
      </c>
      <c r="D6" s="51" t="n">
        <v>29.54</v>
      </c>
      <c r="E6" s="51" t="n">
        <v>75.73</v>
      </c>
      <c r="F6" s="51" t="n">
        <v>12.48</v>
      </c>
      <c r="G6" s="51" t="n">
        <v>11.14</v>
      </c>
      <c r="H6" s="51" t="n">
        <v>42.92</v>
      </c>
      <c r="I6" s="51" t="n">
        <v>50.56</v>
      </c>
      <c r="J6" s="51" t="n">
        <v>5.8</v>
      </c>
      <c r="K6" s="51" t="n">
        <v>1</v>
      </c>
      <c r="L6" s="51" t="n">
        <v>5</v>
      </c>
      <c r="M6" s="51" t="n">
        <v>1</v>
      </c>
      <c r="N6" s="51" t="n">
        <v>1</v>
      </c>
      <c r="O6" s="51" t="n">
        <v>4</v>
      </c>
      <c r="P6" s="51" t="n">
        <v>120</v>
      </c>
      <c r="Q6" s="51" t="n">
        <v>5</v>
      </c>
      <c r="R6" s="51" t="n">
        <v>600</v>
      </c>
      <c r="S6" s="51" t="n">
        <v>1</v>
      </c>
      <c r="T6" s="51" t="n">
        <v>5</v>
      </c>
      <c r="U6" s="51" t="n">
        <v>180</v>
      </c>
      <c r="V6" s="51" t="n">
        <v>5</v>
      </c>
      <c r="W6" s="51" t="n">
        <v>1300</v>
      </c>
      <c r="X6" s="51" t="n">
        <v>0.391</v>
      </c>
    </row>
    <row r="7">
      <c r="A7" s="51" t="inlineStr">
        <is>
          <t>Almond shell</t>
        </is>
      </c>
      <c r="B7" s="51" t="n">
        <v>38.47</v>
      </c>
      <c r="C7" s="51" t="n">
        <v>28.82</v>
      </c>
      <c r="D7" s="51" t="n">
        <v>29.54</v>
      </c>
      <c r="E7" s="51" t="n">
        <v>75.73</v>
      </c>
      <c r="F7" s="51" t="n">
        <v>12.48</v>
      </c>
      <c r="G7" s="51" t="n">
        <v>11.14</v>
      </c>
      <c r="H7" s="51" t="n">
        <v>42.92</v>
      </c>
      <c r="I7" s="51" t="n">
        <v>50.56</v>
      </c>
      <c r="J7" s="51" t="n">
        <v>5.8</v>
      </c>
      <c r="K7" s="51" t="n">
        <v>1</v>
      </c>
      <c r="L7" s="51" t="n">
        <v>5</v>
      </c>
      <c r="M7" s="51" t="n">
        <v>1</v>
      </c>
      <c r="N7" s="51" t="n">
        <v>1</v>
      </c>
      <c r="O7" s="51" t="n">
        <v>4</v>
      </c>
      <c r="P7" s="51" t="n">
        <v>120</v>
      </c>
      <c r="Q7" s="51" t="n">
        <v>5</v>
      </c>
      <c r="R7" s="51" t="n">
        <v>600</v>
      </c>
      <c r="S7" s="51" t="n">
        <v>1</v>
      </c>
      <c r="T7" s="51" t="n">
        <v>5</v>
      </c>
      <c r="U7" s="51" t="n">
        <v>180</v>
      </c>
      <c r="V7" s="51" t="n">
        <v>5</v>
      </c>
      <c r="W7" s="51" t="n">
        <v>1300</v>
      </c>
      <c r="X7" s="51" t="n">
        <v>0.393</v>
      </c>
    </row>
    <row r="8">
      <c r="A8" s="51" t="inlineStr">
        <is>
          <t>Apple pomace</t>
        </is>
      </c>
      <c r="B8" s="51" t="n">
        <v>25</v>
      </c>
      <c r="C8" s="51" t="n">
        <v>12</v>
      </c>
      <c r="D8" s="51" t="n">
        <v>18</v>
      </c>
      <c r="E8" s="51" t="n">
        <v>91.31999999999999</v>
      </c>
      <c r="F8" s="51" t="n">
        <v>3.4</v>
      </c>
      <c r="G8" s="51" t="n">
        <v>6.41</v>
      </c>
      <c r="H8" s="51" t="n">
        <v>47.98</v>
      </c>
      <c r="I8" s="51" t="n">
        <v>37.44</v>
      </c>
      <c r="J8" s="51" t="n">
        <v>6.65</v>
      </c>
      <c r="K8" s="51" t="n">
        <v>4</v>
      </c>
      <c r="L8" s="51" t="n">
        <v>6</v>
      </c>
      <c r="M8" s="51" t="n">
        <v>1</v>
      </c>
      <c r="N8" s="51" t="n">
        <v>0</v>
      </c>
      <c r="O8" s="51" t="n">
        <v>6</v>
      </c>
      <c r="P8" s="51" t="n">
        <v>1800</v>
      </c>
      <c r="Q8" s="51" t="n">
        <v>9.33902507440621</v>
      </c>
      <c r="R8" s="51" t="n">
        <v>180</v>
      </c>
      <c r="S8" s="51" t="n">
        <v>1</v>
      </c>
      <c r="T8" s="51" t="n">
        <v>5</v>
      </c>
      <c r="U8" s="51" t="n">
        <v>160.589303781979</v>
      </c>
      <c r="V8" s="51" t="n">
        <v>5</v>
      </c>
      <c r="W8" s="51" t="n">
        <v>700</v>
      </c>
      <c r="X8" s="51" t="n">
        <v>0.359</v>
      </c>
    </row>
    <row r="9">
      <c r="A9" s="51" t="inlineStr">
        <is>
          <t>Apple pomace</t>
        </is>
      </c>
      <c r="B9" s="51" t="n">
        <v>25</v>
      </c>
      <c r="C9" s="51" t="n">
        <v>12</v>
      </c>
      <c r="D9" s="51" t="n">
        <v>18</v>
      </c>
      <c r="E9" s="51" t="n">
        <v>91.31999999999999</v>
      </c>
      <c r="F9" s="51" t="n">
        <v>3.4</v>
      </c>
      <c r="G9" s="51" t="n">
        <v>6.41</v>
      </c>
      <c r="H9" s="51" t="n">
        <v>47.98</v>
      </c>
      <c r="I9" s="51" t="n">
        <v>37.44</v>
      </c>
      <c r="J9" s="51" t="n">
        <v>6.65</v>
      </c>
      <c r="K9" s="51" t="n">
        <v>4</v>
      </c>
      <c r="L9" s="51" t="n">
        <v>6</v>
      </c>
      <c r="M9" s="51" t="n">
        <v>1</v>
      </c>
      <c r="N9" s="51" t="n">
        <v>0</v>
      </c>
      <c r="O9" s="51" t="n">
        <v>6</v>
      </c>
      <c r="P9" s="51" t="n">
        <v>1800</v>
      </c>
      <c r="Q9" s="51" t="n">
        <v>9.213426951779519</v>
      </c>
      <c r="R9" s="51" t="n">
        <v>180</v>
      </c>
      <c r="S9" s="51" t="n">
        <v>1</v>
      </c>
      <c r="T9" s="51" t="n">
        <v>5</v>
      </c>
      <c r="U9" s="51" t="n">
        <v>159.327749707141</v>
      </c>
      <c r="V9" s="51" t="n">
        <v>5</v>
      </c>
      <c r="W9" s="51" t="n">
        <v>600</v>
      </c>
      <c r="X9" s="51" t="n">
        <v>0.372</v>
      </c>
    </row>
    <row r="10">
      <c r="A10" s="51" t="inlineStr">
        <is>
          <t>Apple pomace</t>
        </is>
      </c>
      <c r="B10" s="51" t="n">
        <v>25</v>
      </c>
      <c r="C10" s="51" t="n">
        <v>12</v>
      </c>
      <c r="D10" s="51" t="n">
        <v>18</v>
      </c>
      <c r="E10" s="51" t="n">
        <v>91.31999999999999</v>
      </c>
      <c r="F10" s="51" t="n">
        <v>3.4</v>
      </c>
      <c r="G10" s="51" t="n">
        <v>6.41</v>
      </c>
      <c r="H10" s="51" t="n">
        <v>47.98</v>
      </c>
      <c r="I10" s="51" t="n">
        <v>37.44</v>
      </c>
      <c r="J10" s="51" t="n">
        <v>6.65</v>
      </c>
      <c r="K10" s="51" t="n">
        <v>4</v>
      </c>
      <c r="L10" s="51" t="n">
        <v>6</v>
      </c>
      <c r="M10" s="51" t="n">
        <v>1</v>
      </c>
      <c r="N10" s="51" t="n">
        <v>0</v>
      </c>
      <c r="O10" s="51" t="n">
        <v>0</v>
      </c>
      <c r="P10" s="51" t="n">
        <v>1440</v>
      </c>
      <c r="Q10" s="51" t="n">
        <v>8.83460735648362</v>
      </c>
      <c r="R10" s="51" t="n">
        <v>180</v>
      </c>
      <c r="S10" s="51" t="n">
        <v>1</v>
      </c>
      <c r="T10" s="51" t="n">
        <v>5</v>
      </c>
      <c r="U10" s="51" t="n">
        <v>157.495412317051</v>
      </c>
      <c r="V10" s="51" t="n">
        <v>5</v>
      </c>
      <c r="W10" s="51" t="n">
        <v>700</v>
      </c>
      <c r="X10" s="51" t="n">
        <v>0.379</v>
      </c>
    </row>
    <row r="11">
      <c r="A11" s="51" t="inlineStr">
        <is>
          <t>Apple pomace</t>
        </is>
      </c>
      <c r="B11" s="51" t="n">
        <v>25</v>
      </c>
      <c r="C11" s="51" t="n">
        <v>12</v>
      </c>
      <c r="D11" s="51" t="n">
        <v>18</v>
      </c>
      <c r="E11" s="51" t="n">
        <v>91.31999999999999</v>
      </c>
      <c r="F11" s="51" t="n">
        <v>3.4</v>
      </c>
      <c r="G11" s="51" t="n">
        <v>6.41</v>
      </c>
      <c r="H11" s="51" t="n">
        <v>47.98</v>
      </c>
      <c r="I11" s="51" t="n">
        <v>37.44</v>
      </c>
      <c r="J11" s="51" t="n">
        <v>6.65</v>
      </c>
      <c r="K11" s="51" t="n">
        <v>4</v>
      </c>
      <c r="L11" s="51" t="n">
        <v>6</v>
      </c>
      <c r="M11" s="51" t="n">
        <v>1</v>
      </c>
      <c r="N11" s="51" t="n">
        <v>0</v>
      </c>
      <c r="O11" s="51" t="n">
        <v>0</v>
      </c>
      <c r="P11" s="51" t="n">
        <v>1440</v>
      </c>
      <c r="Q11" s="51" t="n">
        <v>8.524573152098739</v>
      </c>
      <c r="R11" s="51" t="n">
        <v>180</v>
      </c>
      <c r="S11" s="51" t="n">
        <v>1</v>
      </c>
      <c r="T11" s="51" t="n">
        <v>5</v>
      </c>
      <c r="U11" s="51" t="n">
        <v>155.923588116756</v>
      </c>
      <c r="V11" s="51" t="n">
        <v>5</v>
      </c>
      <c r="W11" s="51" t="n">
        <v>600</v>
      </c>
      <c r="X11" s="51" t="n">
        <v>0.381</v>
      </c>
    </row>
    <row r="12">
      <c r="A12" s="51" t="inlineStr">
        <is>
          <t>Apple pomace</t>
        </is>
      </c>
      <c r="B12" s="51" t="n">
        <v>25</v>
      </c>
      <c r="C12" s="51" t="n">
        <v>12</v>
      </c>
      <c r="D12" s="51" t="n">
        <v>18</v>
      </c>
      <c r="E12" s="51" t="n">
        <v>91.31999999999999</v>
      </c>
      <c r="F12" s="51" t="n">
        <v>3.4</v>
      </c>
      <c r="G12" s="51" t="n">
        <v>6.41</v>
      </c>
      <c r="H12" s="51" t="n">
        <v>47.98</v>
      </c>
      <c r="I12" s="51" t="n">
        <v>37.44</v>
      </c>
      <c r="J12" s="51" t="n">
        <v>6.65</v>
      </c>
      <c r="K12" s="51" t="n">
        <v>4</v>
      </c>
      <c r="L12" s="51" t="n">
        <v>6</v>
      </c>
      <c r="M12" s="51" t="n">
        <v>1</v>
      </c>
      <c r="N12" s="51" t="n">
        <v>0</v>
      </c>
      <c r="O12" s="51" t="n">
        <v>0</v>
      </c>
      <c r="P12" s="51" t="n">
        <v>1440</v>
      </c>
      <c r="Q12" s="51" t="n">
        <v>7.47299454175621</v>
      </c>
      <c r="R12" s="51" t="n">
        <v>180</v>
      </c>
      <c r="S12" s="51" t="n">
        <v>1</v>
      </c>
      <c r="T12" s="51" t="n">
        <v>5</v>
      </c>
      <c r="U12" s="51" t="n">
        <v>129.083817109722</v>
      </c>
      <c r="V12" s="51" t="n">
        <v>5</v>
      </c>
      <c r="W12" s="51" t="n">
        <v>500</v>
      </c>
      <c r="X12" s="51" t="n">
        <v>0.384</v>
      </c>
    </row>
    <row r="13">
      <c r="A13" s="51" t="inlineStr">
        <is>
          <t>Apple pomace</t>
        </is>
      </c>
      <c r="B13" s="51" t="n">
        <v>25</v>
      </c>
      <c r="C13" s="51" t="n">
        <v>12</v>
      </c>
      <c r="D13" s="51" t="n">
        <v>18</v>
      </c>
      <c r="E13" s="51" t="n">
        <v>91.31999999999999</v>
      </c>
      <c r="F13" s="51" t="n">
        <v>3.4</v>
      </c>
      <c r="G13" s="51" t="n">
        <v>6.41</v>
      </c>
      <c r="H13" s="51" t="n">
        <v>47.98</v>
      </c>
      <c r="I13" s="51" t="n">
        <v>37.44</v>
      </c>
      <c r="J13" s="51" t="n">
        <v>6.65</v>
      </c>
      <c r="K13" s="51" t="n">
        <v>4</v>
      </c>
      <c r="L13" s="51" t="n">
        <v>6</v>
      </c>
      <c r="M13" s="51" t="n">
        <v>1</v>
      </c>
      <c r="N13" s="51" t="n">
        <v>0</v>
      </c>
      <c r="O13" s="51" t="n">
        <v>6</v>
      </c>
      <c r="P13" s="51" t="n">
        <v>1800</v>
      </c>
      <c r="Q13" s="51" t="n">
        <v>8.319685960255089</v>
      </c>
      <c r="R13" s="51" t="n">
        <v>180</v>
      </c>
      <c r="S13" s="51" t="n">
        <v>1</v>
      </c>
      <c r="T13" s="51" t="n">
        <v>5</v>
      </c>
      <c r="U13" s="51" t="n">
        <v>102.077152479705</v>
      </c>
      <c r="V13" s="51" t="n">
        <v>5</v>
      </c>
      <c r="W13" s="51" t="n">
        <v>500</v>
      </c>
      <c r="X13" s="51" t="n">
        <v>0.384</v>
      </c>
    </row>
    <row r="14">
      <c r="A14" s="51" t="inlineStr">
        <is>
          <t>Apricot shells</t>
        </is>
      </c>
      <c r="B14" s="51" t="n">
        <v>33.3</v>
      </c>
      <c r="C14" s="51" t="n">
        <v>27.8</v>
      </c>
      <c r="D14" s="51" t="n">
        <v>52</v>
      </c>
      <c r="E14" s="51" t="n">
        <v>73.84</v>
      </c>
      <c r="F14" s="51" t="n">
        <v>0.9399999999999999</v>
      </c>
      <c r="G14" s="51" t="n">
        <v>15.51</v>
      </c>
      <c r="H14" s="51" t="n">
        <v>46.88</v>
      </c>
      <c r="I14" s="51" t="n">
        <v>45.45</v>
      </c>
      <c r="J14" s="51" t="n">
        <v>6.38</v>
      </c>
      <c r="K14" s="51" t="n">
        <v>6</v>
      </c>
      <c r="L14" s="51" t="n">
        <v>5</v>
      </c>
      <c r="M14" s="51" t="n">
        <v>1</v>
      </c>
      <c r="N14" s="51" t="n">
        <v>1</v>
      </c>
      <c r="O14" s="51" t="n">
        <v>4</v>
      </c>
      <c r="P14" s="51" t="n">
        <v>175.8318649121</v>
      </c>
      <c r="Q14" s="51" t="n">
        <v>5</v>
      </c>
      <c r="R14" s="51" t="n">
        <v>1500</v>
      </c>
      <c r="S14" s="51" t="n">
        <v>1</v>
      </c>
      <c r="T14" s="51" t="n">
        <v>7</v>
      </c>
      <c r="U14" s="51" t="n">
        <v>120</v>
      </c>
      <c r="V14" s="51" t="n">
        <v>0</v>
      </c>
      <c r="W14" s="51" t="n">
        <v>800</v>
      </c>
      <c r="X14" s="51" t="n">
        <v>0.372</v>
      </c>
    </row>
    <row r="15">
      <c r="A15" s="51" t="inlineStr">
        <is>
          <t>Apricot shells</t>
        </is>
      </c>
      <c r="B15" s="51" t="n">
        <v>33.3</v>
      </c>
      <c r="C15" s="51" t="n">
        <v>27.8</v>
      </c>
      <c r="D15" s="51" t="n">
        <v>52</v>
      </c>
      <c r="E15" s="51" t="n">
        <v>73.84</v>
      </c>
      <c r="F15" s="51" t="n">
        <v>0.9399999999999999</v>
      </c>
      <c r="G15" s="51" t="n">
        <v>15.51</v>
      </c>
      <c r="H15" s="51" t="n">
        <v>46.88</v>
      </c>
      <c r="I15" s="51" t="n">
        <v>45.45</v>
      </c>
      <c r="J15" s="51" t="n">
        <v>6.38</v>
      </c>
      <c r="K15" s="51" t="n">
        <v>6</v>
      </c>
      <c r="L15" s="51" t="n">
        <v>5</v>
      </c>
      <c r="M15" s="51" t="n">
        <v>0</v>
      </c>
      <c r="N15" s="51" t="n">
        <v>1</v>
      </c>
      <c r="O15" s="51" t="n">
        <v>4</v>
      </c>
      <c r="P15" s="51" t="n">
        <v>189.941814640298</v>
      </c>
      <c r="Q15" s="51" t="n">
        <v>5.45246687866242</v>
      </c>
      <c r="R15" s="51" t="n">
        <v>1500</v>
      </c>
      <c r="S15" s="51" t="n">
        <v>0</v>
      </c>
      <c r="T15" s="51" t="n">
        <v>5</v>
      </c>
      <c r="U15" s="51" t="n">
        <v>0</v>
      </c>
      <c r="V15" s="51" t="n">
        <v>0</v>
      </c>
      <c r="W15" s="51" t="n">
        <v>0</v>
      </c>
      <c r="X15" s="51" t="n">
        <v>0.379</v>
      </c>
    </row>
    <row r="16">
      <c r="A16" s="51" t="inlineStr">
        <is>
          <t>Apricot shells</t>
        </is>
      </c>
      <c r="B16" s="51" t="n">
        <v>33.3</v>
      </c>
      <c r="C16" s="51" t="n">
        <v>27.8</v>
      </c>
      <c r="D16" s="51" t="n">
        <v>52</v>
      </c>
      <c r="E16" s="51" t="n">
        <v>73.84</v>
      </c>
      <c r="F16" s="51" t="n">
        <v>0.9399999999999999</v>
      </c>
      <c r="G16" s="51" t="n">
        <v>15.51</v>
      </c>
      <c r="H16" s="51" t="n">
        <v>46.88</v>
      </c>
      <c r="I16" s="51" t="n">
        <v>45.45</v>
      </c>
      <c r="J16" s="51" t="n">
        <v>6.38</v>
      </c>
      <c r="K16" s="51" t="n">
        <v>6</v>
      </c>
      <c r="L16" s="51" t="n">
        <v>5</v>
      </c>
      <c r="M16" s="51" t="n">
        <v>1</v>
      </c>
      <c r="N16" s="51" t="n">
        <v>1</v>
      </c>
      <c r="O16" s="51" t="n">
        <v>4</v>
      </c>
      <c r="P16" s="51" t="n">
        <v>131.981029101058</v>
      </c>
      <c r="Q16" s="51" t="n">
        <v>5.97268940194489</v>
      </c>
      <c r="R16" s="51" t="n">
        <v>1300</v>
      </c>
      <c r="S16" s="51" t="n">
        <v>1</v>
      </c>
      <c r="T16" s="51" t="n">
        <v>7</v>
      </c>
      <c r="U16" s="51" t="n">
        <v>120</v>
      </c>
      <c r="V16" s="51" t="n">
        <v>0</v>
      </c>
      <c r="W16" s="51" t="n">
        <v>800</v>
      </c>
      <c r="X16" s="51" t="n">
        <v>0.382</v>
      </c>
    </row>
    <row r="17">
      <c r="A17" s="51" t="inlineStr">
        <is>
          <t>Apricot shells</t>
        </is>
      </c>
      <c r="B17" s="51" t="n">
        <v>33.3</v>
      </c>
      <c r="C17" s="51" t="n">
        <v>27.8</v>
      </c>
      <c r="D17" s="51" t="n">
        <v>52</v>
      </c>
      <c r="E17" s="51" t="n">
        <v>73.84</v>
      </c>
      <c r="F17" s="51" t="n">
        <v>0.9399999999999999</v>
      </c>
      <c r="G17" s="51" t="n">
        <v>15.51</v>
      </c>
      <c r="H17" s="51" t="n">
        <v>46.88</v>
      </c>
      <c r="I17" s="51" t="n">
        <v>45.45</v>
      </c>
      <c r="J17" s="51" t="n">
        <v>6.38</v>
      </c>
      <c r="K17" s="51" t="n">
        <v>6</v>
      </c>
      <c r="L17" s="51" t="n">
        <v>5</v>
      </c>
      <c r="M17" s="51" t="n">
        <v>0</v>
      </c>
      <c r="N17" s="51" t="n">
        <v>1</v>
      </c>
      <c r="O17" s="51" t="n">
        <v>4</v>
      </c>
      <c r="P17" s="51" t="n">
        <v>151.754179342575</v>
      </c>
      <c r="Q17" s="51" t="n">
        <v>5.39284982225185</v>
      </c>
      <c r="R17" s="51" t="n">
        <v>1300</v>
      </c>
      <c r="S17" s="51" t="n">
        <v>0</v>
      </c>
      <c r="T17" s="51" t="n">
        <v>5</v>
      </c>
      <c r="U17" s="51" t="n">
        <v>0</v>
      </c>
      <c r="V17" s="51" t="n">
        <v>0</v>
      </c>
      <c r="W17" s="51" t="n">
        <v>0</v>
      </c>
      <c r="X17" s="51" t="n">
        <v>0.387</v>
      </c>
    </row>
    <row r="18">
      <c r="A18" s="51" t="inlineStr">
        <is>
          <t>Apricot shells</t>
        </is>
      </c>
      <c r="B18" s="51" t="n">
        <v>33.3</v>
      </c>
      <c r="C18" s="51" t="n">
        <v>27.8</v>
      </c>
      <c r="D18" s="51" t="n">
        <v>52</v>
      </c>
      <c r="E18" s="51" t="n">
        <v>73.84</v>
      </c>
      <c r="F18" s="51" t="n">
        <v>0.9399999999999999</v>
      </c>
      <c r="G18" s="51" t="n">
        <v>15.51</v>
      </c>
      <c r="H18" s="51" t="n">
        <v>46.88</v>
      </c>
      <c r="I18" s="51" t="n">
        <v>45.45</v>
      </c>
      <c r="J18" s="51" t="n">
        <v>6.38</v>
      </c>
      <c r="K18" s="51" t="n">
        <v>6</v>
      </c>
      <c r="L18" s="51" t="n">
        <v>5</v>
      </c>
      <c r="M18" s="51" t="n">
        <v>1</v>
      </c>
      <c r="N18" s="51" t="n">
        <v>1</v>
      </c>
      <c r="O18" s="51" t="n">
        <v>4</v>
      </c>
      <c r="P18" s="51" t="n">
        <v>108.933637305437</v>
      </c>
      <c r="Q18" s="51" t="n">
        <v>6.90041440165281</v>
      </c>
      <c r="R18" s="51" t="n">
        <v>1100</v>
      </c>
      <c r="S18" s="51" t="n">
        <v>1</v>
      </c>
      <c r="T18" s="51" t="n">
        <v>7</v>
      </c>
      <c r="U18" s="51" t="n">
        <v>120</v>
      </c>
      <c r="V18" s="51" t="n">
        <v>0</v>
      </c>
      <c r="W18" s="51" t="n">
        <v>800</v>
      </c>
      <c r="X18" s="51" t="n">
        <v>0.388</v>
      </c>
    </row>
    <row r="19">
      <c r="A19" s="51" t="inlineStr">
        <is>
          <t>Apricot shells</t>
        </is>
      </c>
      <c r="B19" s="51" t="n">
        <v>33.3</v>
      </c>
      <c r="C19" s="51" t="n">
        <v>27.8</v>
      </c>
      <c r="D19" s="51" t="n">
        <v>52</v>
      </c>
      <c r="E19" s="51" t="n">
        <v>73.84</v>
      </c>
      <c r="F19" s="51" t="n">
        <v>0.9399999999999999</v>
      </c>
      <c r="G19" s="51" t="n">
        <v>15.51</v>
      </c>
      <c r="H19" s="51" t="n">
        <v>46.88</v>
      </c>
      <c r="I19" s="51" t="n">
        <v>45.45</v>
      </c>
      <c r="J19" s="51" t="n">
        <v>6.38</v>
      </c>
      <c r="K19" s="51" t="n">
        <v>6</v>
      </c>
      <c r="L19" s="51" t="n">
        <v>5</v>
      </c>
      <c r="M19" s="51" t="n">
        <v>1</v>
      </c>
      <c r="N19" s="51" t="n">
        <v>1</v>
      </c>
      <c r="O19" s="51" t="n">
        <v>4</v>
      </c>
      <c r="P19" s="51" t="n">
        <v>98.223951146399</v>
      </c>
      <c r="Q19" s="51" t="n">
        <v>5.40205937727459</v>
      </c>
      <c r="R19" s="51" t="n">
        <v>900</v>
      </c>
      <c r="S19" s="51" t="n">
        <v>1</v>
      </c>
      <c r="T19" s="51" t="n">
        <v>7</v>
      </c>
      <c r="U19" s="51" t="n">
        <v>120</v>
      </c>
      <c r="V19" s="51" t="n">
        <v>0</v>
      </c>
      <c r="W19" s="51" t="n">
        <v>800</v>
      </c>
      <c r="X19" s="51" t="n">
        <v>0.392</v>
      </c>
    </row>
    <row r="20">
      <c r="A20" s="51" t="inlineStr">
        <is>
          <t>Apricot shells</t>
        </is>
      </c>
      <c r="B20" s="51" t="n">
        <v>33.3</v>
      </c>
      <c r="C20" s="51" t="n">
        <v>27.8</v>
      </c>
      <c r="D20" s="51" t="n">
        <v>52</v>
      </c>
      <c r="E20" s="51" t="n">
        <v>73.84</v>
      </c>
      <c r="F20" s="51" t="n">
        <v>0.9399999999999999</v>
      </c>
      <c r="G20" s="51" t="n">
        <v>15.51</v>
      </c>
      <c r="H20" s="51" t="n">
        <v>46.88</v>
      </c>
      <c r="I20" s="51" t="n">
        <v>45.45</v>
      </c>
      <c r="J20" s="51" t="n">
        <v>6.38</v>
      </c>
      <c r="K20" s="51" t="n">
        <v>6</v>
      </c>
      <c r="L20" s="51" t="n">
        <v>5</v>
      </c>
      <c r="M20" s="51" t="n">
        <v>0</v>
      </c>
      <c r="N20" s="51" t="n">
        <v>1</v>
      </c>
      <c r="O20" s="51" t="n">
        <v>4</v>
      </c>
      <c r="P20" s="51" t="n">
        <v>176.338690644737</v>
      </c>
      <c r="Q20" s="51" t="n">
        <v>5.14879432218149</v>
      </c>
      <c r="R20" s="51" t="n">
        <v>1100</v>
      </c>
      <c r="S20" s="51" t="n">
        <v>0</v>
      </c>
      <c r="T20" s="51" t="n">
        <v>5</v>
      </c>
      <c r="U20" s="51" t="n">
        <v>0</v>
      </c>
      <c r="V20" s="51" t="n">
        <v>0</v>
      </c>
      <c r="W20" s="51" t="n">
        <v>0</v>
      </c>
      <c r="X20" s="51" t="n">
        <v>0.393</v>
      </c>
    </row>
    <row r="21">
      <c r="A21" s="51" t="inlineStr">
        <is>
          <t>Apricot shells</t>
        </is>
      </c>
      <c r="B21" s="51" t="n">
        <v>33.3</v>
      </c>
      <c r="C21" s="51" t="n">
        <v>27.8</v>
      </c>
      <c r="D21" s="51" t="n">
        <v>52</v>
      </c>
      <c r="E21" s="51" t="n">
        <v>73.84</v>
      </c>
      <c r="F21" s="51" t="n">
        <v>0.9399999999999999</v>
      </c>
      <c r="G21" s="51" t="n">
        <v>15.51</v>
      </c>
      <c r="H21" s="51" t="n">
        <v>46.88</v>
      </c>
      <c r="I21" s="51" t="n">
        <v>45.45</v>
      </c>
      <c r="J21" s="51" t="n">
        <v>6.38</v>
      </c>
      <c r="K21" s="51" t="n">
        <v>6</v>
      </c>
      <c r="L21" s="51" t="n">
        <v>5</v>
      </c>
      <c r="M21" s="51" t="n">
        <v>0</v>
      </c>
      <c r="N21" s="51" t="n">
        <v>1</v>
      </c>
      <c r="O21" s="51" t="n">
        <v>4</v>
      </c>
      <c r="P21" s="51" t="n">
        <v>115.233460818891</v>
      </c>
      <c r="Q21" s="51" t="n">
        <v>3.72149353752073</v>
      </c>
      <c r="R21" s="51" t="n">
        <v>900</v>
      </c>
      <c r="S21" s="51" t="n">
        <v>0</v>
      </c>
      <c r="T21" s="51" t="n">
        <v>5</v>
      </c>
      <c r="U21" s="51" t="n">
        <v>0</v>
      </c>
      <c r="V21" s="51" t="n">
        <v>0</v>
      </c>
      <c r="W21" s="51" t="n">
        <v>0</v>
      </c>
      <c r="X21" s="51" t="n">
        <v>0.402</v>
      </c>
    </row>
    <row r="22">
      <c r="A22" s="51" t="inlineStr">
        <is>
          <t>Argan shell</t>
        </is>
      </c>
      <c r="B22" s="51" t="n">
        <v>31.07</v>
      </c>
      <c r="C22" s="51" t="n">
        <v>27.76</v>
      </c>
      <c r="D22" s="51" t="n">
        <v>37.53</v>
      </c>
      <c r="E22" s="51" t="n">
        <v>61</v>
      </c>
      <c r="F22" s="51" t="n">
        <v>28</v>
      </c>
      <c r="G22" s="51" t="n">
        <v>1.5</v>
      </c>
      <c r="H22" s="51" t="n">
        <v>51.33</v>
      </c>
      <c r="I22" s="51" t="n">
        <v>42.345</v>
      </c>
      <c r="J22" s="51" t="n">
        <v>6.32</v>
      </c>
      <c r="K22" s="51" t="n">
        <v>1</v>
      </c>
      <c r="L22" s="51" t="n">
        <v>5</v>
      </c>
      <c r="M22" s="51" t="n">
        <v>0</v>
      </c>
      <c r="N22" s="51" t="n">
        <v>1</v>
      </c>
      <c r="O22" s="51" t="n">
        <v>4</v>
      </c>
      <c r="P22" s="51" t="n">
        <v>60</v>
      </c>
      <c r="Q22" s="51" t="n">
        <v>5</v>
      </c>
      <c r="R22" s="51" t="n">
        <v>1300</v>
      </c>
      <c r="S22" s="51" t="n">
        <v>0</v>
      </c>
      <c r="T22" s="51" t="n">
        <v>5</v>
      </c>
      <c r="U22" s="51" t="n">
        <v>0</v>
      </c>
      <c r="V22" s="51" t="n">
        <v>0</v>
      </c>
      <c r="W22" s="51" t="n">
        <v>0</v>
      </c>
      <c r="X22" s="51" t="n">
        <v>0.385</v>
      </c>
    </row>
    <row r="23">
      <c r="A23" s="51" t="inlineStr">
        <is>
          <t>Argan shell</t>
        </is>
      </c>
      <c r="B23" s="51" t="n">
        <v>31.07</v>
      </c>
      <c r="C23" s="51" t="n">
        <v>27.76</v>
      </c>
      <c r="D23" s="51" t="n">
        <v>37.53</v>
      </c>
      <c r="E23" s="51" t="n">
        <v>61</v>
      </c>
      <c r="F23" s="51" t="n">
        <v>28</v>
      </c>
      <c r="G23" s="51" t="n">
        <v>1.5</v>
      </c>
      <c r="H23" s="51" t="n">
        <v>51.33</v>
      </c>
      <c r="I23" s="51" t="n">
        <v>42.345</v>
      </c>
      <c r="J23" s="51" t="n">
        <v>6.32</v>
      </c>
      <c r="K23" s="51" t="n">
        <v>5</v>
      </c>
      <c r="L23" s="51" t="n">
        <v>5</v>
      </c>
      <c r="M23" s="51" t="n">
        <v>0</v>
      </c>
      <c r="N23" s="51" t="n">
        <v>1</v>
      </c>
      <c r="O23" s="51" t="n">
        <v>4</v>
      </c>
      <c r="P23" s="51" t="n">
        <v>60</v>
      </c>
      <c r="Q23" s="51" t="n">
        <v>5</v>
      </c>
      <c r="R23" s="51" t="n">
        <v>1300</v>
      </c>
      <c r="S23" s="51" t="n">
        <v>0</v>
      </c>
      <c r="T23" s="51" t="n">
        <v>5</v>
      </c>
      <c r="U23" s="51" t="n">
        <v>0</v>
      </c>
      <c r="V23" s="51" t="n">
        <v>0</v>
      </c>
      <c r="W23" s="51" t="n">
        <v>0</v>
      </c>
      <c r="X23" s="51" t="n">
        <v>0.388</v>
      </c>
    </row>
    <row r="24">
      <c r="A24" s="51" t="inlineStr">
        <is>
          <t>Argan shell</t>
        </is>
      </c>
      <c r="B24" s="51" t="n">
        <v>31.07</v>
      </c>
      <c r="C24" s="51" t="n">
        <v>27.76</v>
      </c>
      <c r="D24" s="51" t="n">
        <v>37.53</v>
      </c>
      <c r="E24" s="51" t="n">
        <v>61</v>
      </c>
      <c r="F24" s="51" t="n">
        <v>28</v>
      </c>
      <c r="G24" s="51" t="n">
        <v>1.5</v>
      </c>
      <c r="H24" s="51" t="n">
        <v>51.33</v>
      </c>
      <c r="I24" s="51" t="n">
        <v>42.345</v>
      </c>
      <c r="J24" s="51" t="n">
        <v>6.32</v>
      </c>
      <c r="K24" s="51" t="n">
        <v>1</v>
      </c>
      <c r="L24" s="51" t="n">
        <v>5</v>
      </c>
      <c r="M24" s="51" t="n">
        <v>0</v>
      </c>
      <c r="N24" s="51" t="n">
        <v>1</v>
      </c>
      <c r="O24" s="51" t="n">
        <v>4</v>
      </c>
      <c r="P24" s="51" t="n">
        <v>60</v>
      </c>
      <c r="Q24" s="51" t="n">
        <v>5</v>
      </c>
      <c r="R24" s="51" t="n">
        <v>1000</v>
      </c>
      <c r="S24" s="51" t="n">
        <v>0</v>
      </c>
      <c r="T24" s="51" t="n">
        <v>5</v>
      </c>
      <c r="U24" s="51" t="n">
        <v>0</v>
      </c>
      <c r="V24" s="51" t="n">
        <v>0</v>
      </c>
      <c r="W24" s="51" t="n">
        <v>0</v>
      </c>
      <c r="X24" s="51" t="n">
        <v>0.39</v>
      </c>
    </row>
    <row r="25">
      <c r="A25" s="51" t="inlineStr">
        <is>
          <t>Argan shell</t>
        </is>
      </c>
      <c r="B25" s="51" t="n">
        <v>31.07</v>
      </c>
      <c r="C25" s="51" t="n">
        <v>27.76</v>
      </c>
      <c r="D25" s="51" t="n">
        <v>37.53</v>
      </c>
      <c r="E25" s="51" t="n">
        <v>61</v>
      </c>
      <c r="F25" s="51" t="n">
        <v>28</v>
      </c>
      <c r="G25" s="51" t="n">
        <v>1.5</v>
      </c>
      <c r="H25" s="51" t="n">
        <v>51.33</v>
      </c>
      <c r="I25" s="51" t="n">
        <v>42.345</v>
      </c>
      <c r="J25" s="51" t="n">
        <v>6.32</v>
      </c>
      <c r="K25" s="51" t="n">
        <v>1</v>
      </c>
      <c r="L25" s="51" t="n">
        <v>5</v>
      </c>
      <c r="M25" s="51" t="n">
        <v>0</v>
      </c>
      <c r="N25" s="51" t="n">
        <v>1</v>
      </c>
      <c r="O25" s="51" t="n">
        <v>4</v>
      </c>
      <c r="P25" s="51" t="n">
        <v>60</v>
      </c>
      <c r="Q25" s="51" t="n">
        <v>5</v>
      </c>
      <c r="R25" s="51" t="n">
        <v>800</v>
      </c>
      <c r="S25" s="51" t="n">
        <v>0</v>
      </c>
      <c r="T25" s="51" t="n">
        <v>5</v>
      </c>
      <c r="U25" s="51" t="n">
        <v>0</v>
      </c>
      <c r="V25" s="51" t="n">
        <v>0</v>
      </c>
      <c r="W25" s="51" t="n">
        <v>0</v>
      </c>
      <c r="X25" s="51" t="n">
        <v>0.391</v>
      </c>
    </row>
    <row r="26">
      <c r="A26" s="51" t="inlineStr">
        <is>
          <t>Argan shell</t>
        </is>
      </c>
      <c r="B26" s="51" t="n">
        <v>31.07</v>
      </c>
      <c r="C26" s="51" t="n">
        <v>27.76</v>
      </c>
      <c r="D26" s="51" t="n">
        <v>37.53</v>
      </c>
      <c r="E26" s="51" t="n">
        <v>61</v>
      </c>
      <c r="F26" s="51" t="n">
        <v>28</v>
      </c>
      <c r="G26" s="51" t="n">
        <v>1.5</v>
      </c>
      <c r="H26" s="51" t="n">
        <v>51.33</v>
      </c>
      <c r="I26" s="51" t="n">
        <v>42.345</v>
      </c>
      <c r="J26" s="51" t="n">
        <v>6.32</v>
      </c>
      <c r="K26" s="51" t="n">
        <v>5</v>
      </c>
      <c r="L26" s="51" t="n">
        <v>5</v>
      </c>
      <c r="M26" s="51" t="n">
        <v>0</v>
      </c>
      <c r="N26" s="51" t="n">
        <v>1</v>
      </c>
      <c r="O26" s="51" t="n">
        <v>4</v>
      </c>
      <c r="P26" s="51" t="n">
        <v>60</v>
      </c>
      <c r="Q26" s="51" t="n">
        <v>5</v>
      </c>
      <c r="R26" s="51" t="n">
        <v>1200</v>
      </c>
      <c r="S26" s="51" t="n">
        <v>0</v>
      </c>
      <c r="T26" s="51" t="n">
        <v>5</v>
      </c>
      <c r="U26" s="51" t="n">
        <v>0</v>
      </c>
      <c r="V26" s="51" t="n">
        <v>0</v>
      </c>
      <c r="W26" s="51" t="n">
        <v>0</v>
      </c>
      <c r="X26" s="51" t="n">
        <v>0.393</v>
      </c>
    </row>
    <row r="27">
      <c r="A27" s="51" t="inlineStr">
        <is>
          <t>Argan shell</t>
        </is>
      </c>
      <c r="B27" s="51" t="n">
        <v>31.07</v>
      </c>
      <c r="C27" s="51" t="n">
        <v>27.76</v>
      </c>
      <c r="D27" s="51" t="n">
        <v>37.53</v>
      </c>
      <c r="E27" s="51" t="n">
        <v>61</v>
      </c>
      <c r="F27" s="51" t="n">
        <v>28</v>
      </c>
      <c r="G27" s="51" t="n">
        <v>1.5</v>
      </c>
      <c r="H27" s="51" t="n">
        <v>51.33</v>
      </c>
      <c r="I27" s="51" t="n">
        <v>42.345</v>
      </c>
      <c r="J27" s="51" t="n">
        <v>6.32</v>
      </c>
      <c r="K27" s="51" t="n">
        <v>1</v>
      </c>
      <c r="L27" s="51" t="n">
        <v>5</v>
      </c>
      <c r="M27" s="51" t="n">
        <v>0</v>
      </c>
      <c r="N27" s="51" t="n">
        <v>1</v>
      </c>
      <c r="O27" s="51" t="n">
        <v>4</v>
      </c>
      <c r="P27" s="51" t="n">
        <v>60</v>
      </c>
      <c r="Q27" s="51" t="n">
        <v>5</v>
      </c>
      <c r="R27" s="51" t="n">
        <v>1200</v>
      </c>
      <c r="S27" s="51" t="n">
        <v>0</v>
      </c>
      <c r="T27" s="51" t="n">
        <v>5</v>
      </c>
      <c r="U27" s="51" t="n">
        <v>0</v>
      </c>
      <c r="V27" s="51" t="n">
        <v>0</v>
      </c>
      <c r="W27" s="51" t="n">
        <v>0</v>
      </c>
      <c r="X27" s="51" t="n">
        <v>0.393</v>
      </c>
    </row>
    <row r="28">
      <c r="A28" s="51" t="inlineStr">
        <is>
          <t>Argan shell</t>
        </is>
      </c>
      <c r="B28" s="51" t="n">
        <v>31.07</v>
      </c>
      <c r="C28" s="51" t="n">
        <v>27.76</v>
      </c>
      <c r="D28" s="51" t="n">
        <v>37.53</v>
      </c>
      <c r="E28" s="51" t="n">
        <v>61</v>
      </c>
      <c r="F28" s="51" t="n">
        <v>28</v>
      </c>
      <c r="G28" s="51" t="n">
        <v>1.5</v>
      </c>
      <c r="H28" s="51" t="n">
        <v>51.33</v>
      </c>
      <c r="I28" s="51" t="n">
        <v>42.345</v>
      </c>
      <c r="J28" s="51" t="n">
        <v>6.32</v>
      </c>
      <c r="K28" s="51" t="n">
        <v>5</v>
      </c>
      <c r="L28" s="51" t="n">
        <v>5</v>
      </c>
      <c r="M28" s="51" t="n">
        <v>0</v>
      </c>
      <c r="N28" s="51" t="n">
        <v>1</v>
      </c>
      <c r="O28" s="51" t="n">
        <v>4</v>
      </c>
      <c r="P28" s="51" t="n">
        <v>60</v>
      </c>
      <c r="Q28" s="51" t="n">
        <v>5</v>
      </c>
      <c r="R28" s="51" t="n">
        <v>800</v>
      </c>
      <c r="S28" s="51" t="n">
        <v>0</v>
      </c>
      <c r="T28" s="51" t="n">
        <v>5</v>
      </c>
      <c r="U28" s="51" t="n">
        <v>0</v>
      </c>
      <c r="V28" s="51" t="n">
        <v>0</v>
      </c>
      <c r="W28" s="51" t="n">
        <v>0</v>
      </c>
      <c r="X28" s="51" t="n">
        <v>0.4</v>
      </c>
    </row>
    <row r="29">
      <c r="A29" s="51" t="inlineStr">
        <is>
          <t>Argan shell</t>
        </is>
      </c>
      <c r="B29" s="51" t="n">
        <v>31.07</v>
      </c>
      <c r="C29" s="51" t="n">
        <v>27.76</v>
      </c>
      <c r="D29" s="51" t="n">
        <v>37.53</v>
      </c>
      <c r="E29" s="51" t="n">
        <v>61</v>
      </c>
      <c r="F29" s="51" t="n">
        <v>28</v>
      </c>
      <c r="G29" s="51" t="n">
        <v>1.5</v>
      </c>
      <c r="H29" s="51" t="n">
        <v>51.33</v>
      </c>
      <c r="I29" s="51" t="n">
        <v>42.345</v>
      </c>
      <c r="J29" s="51" t="n">
        <v>6.32</v>
      </c>
      <c r="K29" s="51" t="n">
        <v>5</v>
      </c>
      <c r="L29" s="51" t="n">
        <v>5</v>
      </c>
      <c r="M29" s="51" t="n">
        <v>0</v>
      </c>
      <c r="N29" s="51" t="n">
        <v>1</v>
      </c>
      <c r="O29" s="51" t="n">
        <v>4</v>
      </c>
      <c r="P29" s="51" t="n">
        <v>60</v>
      </c>
      <c r="Q29" s="51" t="n">
        <v>5</v>
      </c>
      <c r="R29" s="51" t="n">
        <v>1000</v>
      </c>
      <c r="S29" s="51" t="n">
        <v>0</v>
      </c>
      <c r="T29" s="51" t="n">
        <v>5</v>
      </c>
      <c r="U29" s="51" t="n">
        <v>0</v>
      </c>
      <c r="V29" s="51" t="n">
        <v>0</v>
      </c>
      <c r="W29" s="51" t="n">
        <v>0</v>
      </c>
      <c r="X29" s="51" t="n">
        <v>0.4</v>
      </c>
    </row>
    <row r="30">
      <c r="A30" s="51" t="inlineStr">
        <is>
          <t>Bagasse</t>
        </is>
      </c>
      <c r="B30" s="51" t="n">
        <v>36.5</v>
      </c>
      <c r="C30" s="51" t="n">
        <v>26</v>
      </c>
      <c r="D30" s="51" t="n">
        <v>18.5</v>
      </c>
      <c r="E30" s="51" t="n">
        <v>83.5</v>
      </c>
      <c r="F30" s="51" t="n">
        <v>4.2</v>
      </c>
      <c r="G30" s="51" t="n">
        <v>12.5</v>
      </c>
      <c r="H30" s="51" t="n">
        <v>43.1</v>
      </c>
      <c r="I30" s="51" t="n">
        <v>51.4</v>
      </c>
      <c r="J30" s="51" t="n">
        <v>5.51</v>
      </c>
      <c r="K30" s="51" t="n">
        <v>4</v>
      </c>
      <c r="L30" s="51" t="n">
        <v>5</v>
      </c>
      <c r="M30" s="51" t="n">
        <v>0</v>
      </c>
      <c r="N30" s="51" t="n">
        <v>1</v>
      </c>
      <c r="O30" s="51" t="n">
        <v>4</v>
      </c>
      <c r="P30" s="51" t="n">
        <v>120</v>
      </c>
      <c r="Q30" s="51" t="n">
        <v>5</v>
      </c>
      <c r="R30" s="51" t="n">
        <v>1000</v>
      </c>
      <c r="S30" s="51" t="n">
        <v>0</v>
      </c>
      <c r="T30" s="51" t="n">
        <v>5</v>
      </c>
      <c r="U30" s="51" t="n">
        <v>0</v>
      </c>
      <c r="V30" s="51" t="n">
        <v>0</v>
      </c>
      <c r="W30" s="51" t="n">
        <v>0</v>
      </c>
      <c r="X30" s="51" t="n">
        <v>0.377</v>
      </c>
    </row>
    <row r="31">
      <c r="A31" s="51" t="inlineStr">
        <is>
          <t>Bagasse</t>
        </is>
      </c>
      <c r="B31" s="51" t="n">
        <v>36.5</v>
      </c>
      <c r="C31" s="51" t="n">
        <v>26</v>
      </c>
      <c r="D31" s="51" t="n">
        <v>18.5</v>
      </c>
      <c r="E31" s="51" t="n">
        <v>83.5</v>
      </c>
      <c r="F31" s="51" t="n">
        <v>4.2</v>
      </c>
      <c r="G31" s="51" t="n">
        <v>12.5</v>
      </c>
      <c r="H31" s="51" t="n">
        <v>43.1</v>
      </c>
      <c r="I31" s="51" t="n">
        <v>51.4</v>
      </c>
      <c r="J31" s="51" t="n">
        <v>5.51</v>
      </c>
      <c r="K31" s="51" t="n">
        <v>4</v>
      </c>
      <c r="L31" s="51" t="n">
        <v>5</v>
      </c>
      <c r="M31" s="51" t="n">
        <v>0</v>
      </c>
      <c r="N31" s="51" t="n">
        <v>1</v>
      </c>
      <c r="O31" s="51" t="n">
        <v>4</v>
      </c>
      <c r="P31" s="51" t="n">
        <v>120</v>
      </c>
      <c r="Q31" s="51" t="n">
        <v>5</v>
      </c>
      <c r="R31" s="51" t="n">
        <v>900</v>
      </c>
      <c r="S31" s="51" t="n">
        <v>0</v>
      </c>
      <c r="T31" s="51" t="n">
        <v>5</v>
      </c>
      <c r="U31" s="51" t="n">
        <v>0</v>
      </c>
      <c r="V31" s="51" t="n">
        <v>0</v>
      </c>
      <c r="W31" s="51" t="n">
        <v>0</v>
      </c>
      <c r="X31" s="51" t="n">
        <v>0.383</v>
      </c>
    </row>
    <row r="32">
      <c r="A32" s="51" t="inlineStr">
        <is>
          <t>Bagasse</t>
        </is>
      </c>
      <c r="B32" s="51" t="n">
        <v>36.5</v>
      </c>
      <c r="C32" s="51" t="n">
        <v>26</v>
      </c>
      <c r="D32" s="51" t="n">
        <v>18.5</v>
      </c>
      <c r="E32" s="51" t="n">
        <v>83.5</v>
      </c>
      <c r="F32" s="51" t="n">
        <v>4.2</v>
      </c>
      <c r="G32" s="51" t="n">
        <v>12.5</v>
      </c>
      <c r="H32" s="51" t="n">
        <v>43.1</v>
      </c>
      <c r="I32" s="51" t="n">
        <v>51.4</v>
      </c>
      <c r="J32" s="51" t="n">
        <v>5.51</v>
      </c>
      <c r="K32" s="51" t="n">
        <v>4</v>
      </c>
      <c r="L32" s="51" t="n">
        <v>5</v>
      </c>
      <c r="M32" s="51" t="n">
        <v>0</v>
      </c>
      <c r="N32" s="51" t="n">
        <v>1</v>
      </c>
      <c r="O32" s="51" t="n">
        <v>4</v>
      </c>
      <c r="P32" s="51" t="n">
        <v>120</v>
      </c>
      <c r="Q32" s="51" t="n">
        <v>5</v>
      </c>
      <c r="R32" s="51" t="n">
        <v>1100</v>
      </c>
      <c r="S32" s="51" t="n">
        <v>0</v>
      </c>
      <c r="T32" s="51" t="n">
        <v>5</v>
      </c>
      <c r="U32" s="51" t="n">
        <v>0</v>
      </c>
      <c r="V32" s="51" t="n">
        <v>0</v>
      </c>
      <c r="W32" s="51" t="n">
        <v>0</v>
      </c>
      <c r="X32" s="51" t="n">
        <v>0.383</v>
      </c>
    </row>
    <row r="33">
      <c r="A33" s="51" t="inlineStr">
        <is>
          <t>Bamboo powder</t>
        </is>
      </c>
      <c r="B33" s="51" t="n">
        <v>52.588285374521</v>
      </c>
      <c r="C33" s="51" t="n">
        <v>17.7960632822424</v>
      </c>
      <c r="D33" s="51" t="n">
        <v>18.8230555230696</v>
      </c>
      <c r="E33" s="51" t="n">
        <v>89.94</v>
      </c>
      <c r="F33" s="51" t="n">
        <v>0.51</v>
      </c>
      <c r="G33" s="51" t="n">
        <v>14.55</v>
      </c>
      <c r="H33" s="51" t="n">
        <v>48.75</v>
      </c>
      <c r="I33" s="51" t="n">
        <v>45.02</v>
      </c>
      <c r="J33" s="51" t="n">
        <v>5.98</v>
      </c>
      <c r="K33" s="51" t="n">
        <v>1</v>
      </c>
      <c r="L33" s="51" t="n">
        <v>5</v>
      </c>
      <c r="M33" s="51" t="n">
        <v>1</v>
      </c>
      <c r="N33" s="51" t="n">
        <v>1</v>
      </c>
      <c r="O33" s="51" t="n">
        <v>4</v>
      </c>
      <c r="P33" s="51" t="n">
        <v>300</v>
      </c>
      <c r="Q33" s="51" t="n">
        <v>4</v>
      </c>
      <c r="R33" s="51" t="n">
        <v>400</v>
      </c>
      <c r="S33" s="51" t="n">
        <v>1</v>
      </c>
      <c r="T33" s="51" t="n">
        <v>5</v>
      </c>
      <c r="U33" s="51" t="n">
        <v>120</v>
      </c>
      <c r="V33" s="51" t="n">
        <v>5</v>
      </c>
      <c r="W33" s="51" t="n">
        <v>1600</v>
      </c>
      <c r="X33" s="51" t="n">
        <v>0.378</v>
      </c>
    </row>
    <row r="34">
      <c r="A34" s="51" t="inlineStr">
        <is>
          <t>Bamboo powder</t>
        </is>
      </c>
      <c r="B34" s="51" t="n">
        <v>52.588285374521</v>
      </c>
      <c r="C34" s="51" t="n">
        <v>17.7960632822424</v>
      </c>
      <c r="D34" s="51" t="n">
        <v>18.8230555230696</v>
      </c>
      <c r="E34" s="51" t="n">
        <v>89.94</v>
      </c>
      <c r="F34" s="51" t="n">
        <v>0.51</v>
      </c>
      <c r="G34" s="51" t="n">
        <v>14.55</v>
      </c>
      <c r="H34" s="51" t="n">
        <v>48.75</v>
      </c>
      <c r="I34" s="51" t="n">
        <v>45.02</v>
      </c>
      <c r="J34" s="51" t="n">
        <v>5.98</v>
      </c>
      <c r="K34" s="51" t="n">
        <v>1</v>
      </c>
      <c r="L34" s="51" t="n">
        <v>5</v>
      </c>
      <c r="M34" s="51" t="n">
        <v>1</v>
      </c>
      <c r="N34" s="51" t="n">
        <v>1</v>
      </c>
      <c r="O34" s="51" t="n">
        <v>4</v>
      </c>
      <c r="P34" s="51" t="n">
        <v>300</v>
      </c>
      <c r="Q34" s="51" t="n">
        <v>4</v>
      </c>
      <c r="R34" s="51" t="n">
        <v>400</v>
      </c>
      <c r="S34" s="51" t="n">
        <v>1</v>
      </c>
      <c r="T34" s="51" t="n">
        <v>5</v>
      </c>
      <c r="U34" s="51" t="n">
        <v>120</v>
      </c>
      <c r="V34" s="51" t="n">
        <v>5</v>
      </c>
      <c r="W34" s="51" t="n">
        <v>1400</v>
      </c>
      <c r="X34" s="51" t="n">
        <v>0.382</v>
      </c>
    </row>
    <row r="35">
      <c r="A35" s="51" t="inlineStr">
        <is>
          <t>Bamboo powder</t>
        </is>
      </c>
      <c r="B35" s="51" t="n">
        <v>52.588285374521</v>
      </c>
      <c r="C35" s="51" t="n">
        <v>17.7960632822424</v>
      </c>
      <c r="D35" s="51" t="n">
        <v>18.8230555230696</v>
      </c>
      <c r="E35" s="51" t="n">
        <v>89.94</v>
      </c>
      <c r="F35" s="51" t="n">
        <v>0.51</v>
      </c>
      <c r="G35" s="51" t="n">
        <v>14.55</v>
      </c>
      <c r="H35" s="51" t="n">
        <v>48.75</v>
      </c>
      <c r="I35" s="51" t="n">
        <v>45.02</v>
      </c>
      <c r="J35" s="51" t="n">
        <v>5.98</v>
      </c>
      <c r="K35" s="51" t="n">
        <v>1</v>
      </c>
      <c r="L35" s="51" t="n">
        <v>5</v>
      </c>
      <c r="M35" s="51" t="n">
        <v>1</v>
      </c>
      <c r="N35" s="51" t="n">
        <v>1</v>
      </c>
      <c r="O35" s="51" t="n">
        <v>4</v>
      </c>
      <c r="P35" s="51" t="n">
        <v>300</v>
      </c>
      <c r="Q35" s="51" t="n">
        <v>4</v>
      </c>
      <c r="R35" s="51" t="n">
        <v>400</v>
      </c>
      <c r="S35" s="51" t="n">
        <v>1</v>
      </c>
      <c r="T35" s="51" t="n">
        <v>5</v>
      </c>
      <c r="U35" s="51" t="n">
        <v>120</v>
      </c>
      <c r="V35" s="51" t="n">
        <v>5</v>
      </c>
      <c r="W35" s="51" t="n">
        <v>1200</v>
      </c>
      <c r="X35" s="51" t="n">
        <v>0.387</v>
      </c>
    </row>
    <row r="36">
      <c r="A36" s="51" t="inlineStr">
        <is>
          <t>Bamboo powder</t>
        </is>
      </c>
      <c r="B36" s="51" t="n">
        <v>52.588285374521</v>
      </c>
      <c r="C36" s="51" t="n">
        <v>17.7960632822424</v>
      </c>
      <c r="D36" s="51" t="n">
        <v>18.8230555230696</v>
      </c>
      <c r="E36" s="51" t="n">
        <v>89.94</v>
      </c>
      <c r="F36" s="51" t="n">
        <v>0.51</v>
      </c>
      <c r="G36" s="51" t="n">
        <v>14.55</v>
      </c>
      <c r="H36" s="51" t="n">
        <v>48.75</v>
      </c>
      <c r="I36" s="51" t="n">
        <v>45.02</v>
      </c>
      <c r="J36" s="51" t="n">
        <v>5.98</v>
      </c>
      <c r="K36" s="51" t="n">
        <v>1</v>
      </c>
      <c r="L36" s="51" t="n">
        <v>5</v>
      </c>
      <c r="M36" s="51" t="n">
        <v>1</v>
      </c>
      <c r="N36" s="51" t="n">
        <v>1</v>
      </c>
      <c r="O36" s="51" t="n">
        <v>4</v>
      </c>
      <c r="P36" s="51" t="n">
        <v>300</v>
      </c>
      <c r="Q36" s="51" t="n">
        <v>4</v>
      </c>
      <c r="R36" s="51" t="n">
        <v>400</v>
      </c>
      <c r="S36" s="51" t="n">
        <v>1</v>
      </c>
      <c r="T36" s="51" t="n">
        <v>5</v>
      </c>
      <c r="U36" s="51" t="n">
        <v>120</v>
      </c>
      <c r="V36" s="51" t="n">
        <v>5</v>
      </c>
      <c r="W36" s="51" t="n">
        <v>1000</v>
      </c>
      <c r="X36" s="51" t="n">
        <v>0.397</v>
      </c>
    </row>
    <row r="37">
      <c r="A37" s="51" t="inlineStr">
        <is>
          <t>Bamboo powder</t>
        </is>
      </c>
      <c r="B37" s="51" t="n">
        <v>52.588285374521</v>
      </c>
      <c r="C37" s="51" t="n">
        <v>17.7960632822424</v>
      </c>
      <c r="D37" s="51" t="n">
        <v>18.8230555230696</v>
      </c>
      <c r="E37" s="51" t="n">
        <v>89.94</v>
      </c>
      <c r="F37" s="51" t="n">
        <v>0.51</v>
      </c>
      <c r="G37" s="51" t="n">
        <v>14.55</v>
      </c>
      <c r="H37" s="51" t="n">
        <v>48.75</v>
      </c>
      <c r="I37" s="51" t="n">
        <v>45.02</v>
      </c>
      <c r="J37" s="51" t="n">
        <v>5.98</v>
      </c>
      <c r="K37" s="51" t="n">
        <v>4</v>
      </c>
      <c r="L37" s="51" t="n">
        <v>5</v>
      </c>
      <c r="M37" s="51" t="n">
        <v>1</v>
      </c>
      <c r="N37" s="51" t="n">
        <v>1</v>
      </c>
      <c r="O37" s="51" t="n">
        <v>4</v>
      </c>
      <c r="P37" s="51" t="n">
        <v>240</v>
      </c>
      <c r="Q37" s="51" t="n">
        <v>2.5</v>
      </c>
      <c r="R37" s="51" t="n">
        <v>360</v>
      </c>
      <c r="S37" s="51" t="n">
        <v>1</v>
      </c>
      <c r="T37" s="51" t="n">
        <v>5</v>
      </c>
      <c r="U37" s="51" t="n">
        <v>120</v>
      </c>
      <c r="V37" s="51" t="n">
        <v>5</v>
      </c>
      <c r="W37" s="51" t="n">
        <v>1300</v>
      </c>
      <c r="X37" s="51" t="n">
        <v>0.385</v>
      </c>
    </row>
    <row r="38">
      <c r="A38" s="51" t="inlineStr">
        <is>
          <t>Basswood</t>
        </is>
      </c>
      <c r="B38" s="51" t="n">
        <v>34.4944041940098</v>
      </c>
      <c r="C38" s="51" t="n">
        <v>35.0525326870687</v>
      </c>
      <c r="D38" s="51" t="n">
        <v>8.842877211671199</v>
      </c>
      <c r="E38" s="51" t="n">
        <v>88.7</v>
      </c>
      <c r="F38" s="51" t="n">
        <v>11.81</v>
      </c>
      <c r="G38" s="51" t="n">
        <v>0.53</v>
      </c>
      <c r="H38" s="51" t="n">
        <v>51.2936424178279</v>
      </c>
      <c r="I38" s="51" t="n">
        <v>41.1608208411289</v>
      </c>
      <c r="J38" s="51" t="n">
        <v>5.8274955990678</v>
      </c>
      <c r="K38" s="51" t="n">
        <v>6</v>
      </c>
      <c r="L38" s="51" t="n">
        <v>1</v>
      </c>
      <c r="M38" s="51" t="n">
        <v>0</v>
      </c>
      <c r="N38" s="51" t="n">
        <v>1</v>
      </c>
      <c r="O38" s="51" t="n">
        <v>2</v>
      </c>
      <c r="P38" s="51" t="n">
        <v>131.878371938153</v>
      </c>
      <c r="Q38" s="51" t="n">
        <v>2.78242096734295</v>
      </c>
      <c r="R38" s="51" t="n">
        <v>500</v>
      </c>
      <c r="S38" s="51" t="n">
        <v>0</v>
      </c>
      <c r="T38" s="51" t="n">
        <v>5</v>
      </c>
      <c r="U38" s="51" t="n">
        <v>0</v>
      </c>
      <c r="V38" s="51" t="n">
        <v>0</v>
      </c>
      <c r="W38" s="51" t="n">
        <v>0</v>
      </c>
      <c r="X38" s="51" t="n">
        <v>0.365</v>
      </c>
    </row>
    <row r="39">
      <c r="A39" s="51" t="inlineStr">
        <is>
          <t>Beech wood</t>
        </is>
      </c>
      <c r="B39" s="51" t="n">
        <v>41.7</v>
      </c>
      <c r="C39" s="51" t="n">
        <v>37.1</v>
      </c>
      <c r="D39" s="51" t="n">
        <v>18.9</v>
      </c>
      <c r="E39" s="51" t="n">
        <v>77.90000000000001</v>
      </c>
      <c r="F39" s="51" t="n">
        <v>0.5</v>
      </c>
      <c r="G39" s="51" t="n">
        <v>21.4</v>
      </c>
      <c r="H39" s="51" t="n">
        <v>47.8</v>
      </c>
      <c r="I39" s="51" t="n">
        <v>45.1</v>
      </c>
      <c r="J39" s="51" t="n">
        <v>6.3</v>
      </c>
      <c r="K39" s="51" t="n">
        <v>4</v>
      </c>
      <c r="L39" s="51" t="n">
        <v>5</v>
      </c>
      <c r="M39" s="51" t="n">
        <v>0</v>
      </c>
      <c r="N39" s="51" t="n">
        <v>1</v>
      </c>
      <c r="O39" s="51" t="n">
        <v>4</v>
      </c>
      <c r="P39" s="51" t="n">
        <v>60</v>
      </c>
      <c r="Q39" s="51" t="n">
        <v>3.3</v>
      </c>
      <c r="R39" s="51" t="n">
        <v>1400</v>
      </c>
      <c r="S39" s="51" t="n">
        <v>0</v>
      </c>
      <c r="T39" s="51" t="n">
        <v>5</v>
      </c>
      <c r="U39" s="51" t="n">
        <v>0</v>
      </c>
      <c r="V39" s="51" t="n">
        <v>0</v>
      </c>
      <c r="W39" s="51" t="n">
        <v>0</v>
      </c>
      <c r="X39" s="51" t="n">
        <v>0.37754</v>
      </c>
    </row>
    <row r="40">
      <c r="A40" s="51" t="inlineStr">
        <is>
          <t>Beech wood</t>
        </is>
      </c>
      <c r="B40" s="51" t="n">
        <v>41.7</v>
      </c>
      <c r="C40" s="51" t="n">
        <v>37.1</v>
      </c>
      <c r="D40" s="51" t="n">
        <v>18.9</v>
      </c>
      <c r="E40" s="51" t="n">
        <v>77.90000000000001</v>
      </c>
      <c r="F40" s="51" t="n">
        <v>0.5</v>
      </c>
      <c r="G40" s="51" t="n">
        <v>21.4</v>
      </c>
      <c r="H40" s="51" t="n">
        <v>47.8</v>
      </c>
      <c r="I40" s="51" t="n">
        <v>45.1</v>
      </c>
      <c r="J40" s="51" t="n">
        <v>6.3</v>
      </c>
      <c r="K40" s="51" t="n">
        <v>4</v>
      </c>
      <c r="L40" s="51" t="n">
        <v>5</v>
      </c>
      <c r="M40" s="51" t="n">
        <v>0</v>
      </c>
      <c r="N40" s="51" t="n">
        <v>1</v>
      </c>
      <c r="O40" s="51" t="n">
        <v>4</v>
      </c>
      <c r="P40" s="51" t="n">
        <v>60</v>
      </c>
      <c r="Q40" s="51" t="n">
        <v>3.3</v>
      </c>
      <c r="R40" s="51" t="n">
        <v>1200</v>
      </c>
      <c r="S40" s="51" t="n">
        <v>0</v>
      </c>
      <c r="T40" s="51" t="n">
        <v>5</v>
      </c>
      <c r="U40" s="51" t="n">
        <v>0</v>
      </c>
      <c r="V40" s="51" t="n">
        <v>0</v>
      </c>
      <c r="W40" s="51" t="n">
        <v>0</v>
      </c>
      <c r="X40" s="51" t="n">
        <v>0.3881</v>
      </c>
    </row>
    <row r="41">
      <c r="A41" s="51" t="inlineStr">
        <is>
          <t>Beech wood</t>
        </is>
      </c>
      <c r="B41" s="51" t="n">
        <v>41.7</v>
      </c>
      <c r="C41" s="51" t="n">
        <v>37.1</v>
      </c>
      <c r="D41" s="51" t="n">
        <v>18.9</v>
      </c>
      <c r="E41" s="51" t="n">
        <v>77.90000000000001</v>
      </c>
      <c r="F41" s="51" t="n">
        <v>0.5</v>
      </c>
      <c r="G41" s="51" t="n">
        <v>21.4</v>
      </c>
      <c r="H41" s="51" t="n">
        <v>47.8</v>
      </c>
      <c r="I41" s="51" t="n">
        <v>45.1</v>
      </c>
      <c r="J41" s="51" t="n">
        <v>6.3</v>
      </c>
      <c r="K41" s="51" t="n">
        <v>4</v>
      </c>
      <c r="L41" s="51" t="n">
        <v>5</v>
      </c>
      <c r="M41" s="51" t="n">
        <v>0</v>
      </c>
      <c r="N41" s="51" t="n">
        <v>1</v>
      </c>
      <c r="O41" s="51" t="n">
        <v>4</v>
      </c>
      <c r="P41" s="51" t="n">
        <v>60</v>
      </c>
      <c r="Q41" s="51" t="n">
        <v>3.3</v>
      </c>
      <c r="R41" s="51" t="n">
        <v>1000</v>
      </c>
      <c r="S41" s="51" t="n">
        <v>0</v>
      </c>
      <c r="T41" s="51" t="n">
        <v>5</v>
      </c>
      <c r="U41" s="51" t="n">
        <v>0</v>
      </c>
      <c r="V41" s="51" t="n">
        <v>0</v>
      </c>
      <c r="W41" s="51" t="n">
        <v>0</v>
      </c>
      <c r="X41" s="51" t="n">
        <v>0.399</v>
      </c>
    </row>
    <row r="42">
      <c r="A42" s="51" t="inlineStr">
        <is>
          <t>Buckwheat hulls</t>
        </is>
      </c>
      <c r="B42" s="51" t="n">
        <v>20.4</v>
      </c>
      <c r="C42" s="51" t="n">
        <v>18.5</v>
      </c>
      <c r="D42" s="51" t="n">
        <v>27</v>
      </c>
      <c r="E42" s="51" t="n">
        <v>66.90000000000001</v>
      </c>
      <c r="F42" s="51" t="n">
        <v>2.6</v>
      </c>
      <c r="G42" s="51" t="n">
        <v>18.1</v>
      </c>
      <c r="H42" s="51" t="n">
        <v>47.5</v>
      </c>
      <c r="I42" s="51" t="n">
        <v>44.1</v>
      </c>
      <c r="J42" s="51" t="n">
        <v>5.8</v>
      </c>
      <c r="K42" s="51" t="n">
        <v>3</v>
      </c>
      <c r="L42" s="51" t="n">
        <v>5</v>
      </c>
      <c r="M42" s="51" t="n">
        <v>0</v>
      </c>
      <c r="N42" s="51" t="n">
        <v>1</v>
      </c>
      <c r="O42" s="51" t="n">
        <v>4</v>
      </c>
      <c r="P42" s="51" t="n">
        <v>120</v>
      </c>
      <c r="Q42" s="51" t="n">
        <v>3</v>
      </c>
      <c r="R42" s="51" t="n">
        <v>1300</v>
      </c>
      <c r="S42" s="51" t="n">
        <v>0</v>
      </c>
      <c r="T42" s="51" t="n">
        <v>5</v>
      </c>
      <c r="U42" s="51" t="n">
        <v>0</v>
      </c>
      <c r="V42" s="51" t="n">
        <v>0</v>
      </c>
      <c r="W42" s="51" t="n">
        <v>0</v>
      </c>
      <c r="X42" s="51" t="n">
        <v>0.374</v>
      </c>
    </row>
    <row r="43">
      <c r="A43" s="51" t="inlineStr">
        <is>
          <t>Buckwheat hulls</t>
        </is>
      </c>
      <c r="B43" s="51" t="n">
        <v>20.4</v>
      </c>
      <c r="C43" s="51" t="n">
        <v>18.5</v>
      </c>
      <c r="D43" s="51" t="n">
        <v>27</v>
      </c>
      <c r="E43" s="51" t="n">
        <v>66.90000000000001</v>
      </c>
      <c r="F43" s="51" t="n">
        <v>2.6</v>
      </c>
      <c r="G43" s="51" t="n">
        <v>18.1</v>
      </c>
      <c r="H43" s="51" t="n">
        <v>47.5</v>
      </c>
      <c r="I43" s="51" t="n">
        <v>44.1</v>
      </c>
      <c r="J43" s="51" t="n">
        <v>5.8</v>
      </c>
      <c r="K43" s="51" t="n">
        <v>3</v>
      </c>
      <c r="L43" s="51" t="n">
        <v>5</v>
      </c>
      <c r="M43" s="51" t="n">
        <v>0</v>
      </c>
      <c r="N43" s="51" t="n">
        <v>1</v>
      </c>
      <c r="O43" s="51" t="n">
        <v>4</v>
      </c>
      <c r="P43" s="51" t="n">
        <v>120</v>
      </c>
      <c r="Q43" s="51" t="n">
        <v>3</v>
      </c>
      <c r="R43" s="51" t="n">
        <v>1100</v>
      </c>
      <c r="S43" s="51" t="n">
        <v>0</v>
      </c>
      <c r="T43" s="51" t="n">
        <v>5</v>
      </c>
      <c r="U43" s="51" t="n">
        <v>0</v>
      </c>
      <c r="V43" s="51" t="n">
        <v>0</v>
      </c>
      <c r="W43" s="51" t="n">
        <v>0</v>
      </c>
      <c r="X43" s="51" t="n">
        <v>0.383</v>
      </c>
    </row>
    <row r="44">
      <c r="A44" s="51" t="inlineStr">
        <is>
          <t>Buckwheat hulls</t>
        </is>
      </c>
      <c r="B44" s="51" t="n">
        <v>20.4</v>
      </c>
      <c r="C44" s="51" t="n">
        <v>18.5</v>
      </c>
      <c r="D44" s="51" t="n">
        <v>27</v>
      </c>
      <c r="E44" s="51" t="n">
        <v>66.90000000000001</v>
      </c>
      <c r="F44" s="51" t="n">
        <v>2.6</v>
      </c>
      <c r="G44" s="51" t="n">
        <v>18.1</v>
      </c>
      <c r="H44" s="51" t="n">
        <v>47.5</v>
      </c>
      <c r="I44" s="51" t="n">
        <v>44.1</v>
      </c>
      <c r="J44" s="51" t="n">
        <v>5.8</v>
      </c>
      <c r="K44" s="51" t="n">
        <v>3</v>
      </c>
      <c r="L44" s="51" t="n">
        <v>5</v>
      </c>
      <c r="M44" s="51" t="n">
        <v>0</v>
      </c>
      <c r="N44" s="51" t="n">
        <v>1</v>
      </c>
      <c r="O44" s="51" t="n">
        <v>4</v>
      </c>
      <c r="P44" s="51" t="n">
        <v>120</v>
      </c>
      <c r="Q44" s="51" t="n">
        <v>3</v>
      </c>
      <c r="R44" s="51" t="n">
        <v>900</v>
      </c>
      <c r="S44" s="51" t="n">
        <v>0</v>
      </c>
      <c r="T44" s="51" t="n">
        <v>5</v>
      </c>
      <c r="U44" s="51" t="n">
        <v>0</v>
      </c>
      <c r="V44" s="51" t="n">
        <v>0</v>
      </c>
      <c r="W44" s="51" t="n">
        <v>0</v>
      </c>
      <c r="X44" s="51" t="n">
        <v>0.384</v>
      </c>
    </row>
    <row r="45">
      <c r="A45" s="51" t="inlineStr">
        <is>
          <t>Buckwheat hulls</t>
        </is>
      </c>
      <c r="B45" s="51" t="n">
        <v>20.4</v>
      </c>
      <c r="C45" s="51" t="n">
        <v>18.5</v>
      </c>
      <c r="D45" s="51" t="n">
        <v>27</v>
      </c>
      <c r="E45" s="51" t="n">
        <v>66.90000000000001</v>
      </c>
      <c r="F45" s="51" t="n">
        <v>2.6</v>
      </c>
      <c r="G45" s="51" t="n">
        <v>18.1</v>
      </c>
      <c r="H45" s="51" t="n">
        <v>47.5</v>
      </c>
      <c r="I45" s="51" t="n">
        <v>44.1</v>
      </c>
      <c r="J45" s="51" t="n">
        <v>5.8</v>
      </c>
      <c r="K45" s="51" t="n">
        <v>3</v>
      </c>
      <c r="L45" s="51" t="n">
        <v>5</v>
      </c>
      <c r="M45" s="51" t="n">
        <v>0</v>
      </c>
      <c r="N45" s="51" t="n">
        <v>1</v>
      </c>
      <c r="O45" s="51" t="n">
        <v>4</v>
      </c>
      <c r="P45" s="51" t="n">
        <v>120</v>
      </c>
      <c r="Q45" s="51" t="n">
        <v>3</v>
      </c>
      <c r="R45" s="51" t="n">
        <v>700</v>
      </c>
      <c r="S45" s="51" t="n">
        <v>0</v>
      </c>
      <c r="T45" s="51" t="n">
        <v>5</v>
      </c>
      <c r="U45" s="51" t="n">
        <v>0</v>
      </c>
      <c r="V45" s="51" t="n">
        <v>0</v>
      </c>
      <c r="W45" s="51" t="n">
        <v>0</v>
      </c>
      <c r="X45" s="51" t="n">
        <v>0.387</v>
      </c>
    </row>
    <row r="46">
      <c r="A46" s="51" t="inlineStr">
        <is>
          <t>Cedarwood bark</t>
        </is>
      </c>
      <c r="B46" s="51" t="n">
        <v>43.6145551728204</v>
      </c>
      <c r="C46" s="51" t="n">
        <v>33.6995583465329</v>
      </c>
      <c r="D46" s="51" t="n">
        <v>13.3610322755561</v>
      </c>
      <c r="E46" s="51" t="n">
        <v>69.78239425311681</v>
      </c>
      <c r="F46" s="51" t="n">
        <v>4.5727416202086</v>
      </c>
      <c r="G46" s="51" t="n">
        <v>23.9632619582685</v>
      </c>
      <c r="H46" s="51" t="n">
        <v>48.69</v>
      </c>
      <c r="I46" s="51" t="n">
        <v>44.72</v>
      </c>
      <c r="J46" s="51" t="n">
        <v>6.13</v>
      </c>
      <c r="K46" s="51" t="n">
        <v>6</v>
      </c>
      <c r="L46" s="51" t="n">
        <v>1</v>
      </c>
      <c r="M46" s="51" t="n">
        <v>0</v>
      </c>
      <c r="N46" s="51" t="n">
        <v>1</v>
      </c>
      <c r="O46" s="51" t="n">
        <v>4</v>
      </c>
      <c r="P46" s="51" t="n">
        <v>120</v>
      </c>
      <c r="Q46" s="51" t="n">
        <v>3</v>
      </c>
      <c r="R46" s="51" t="n">
        <v>1000</v>
      </c>
      <c r="S46" s="51" t="n">
        <v>0</v>
      </c>
      <c r="T46" s="51" t="n">
        <v>5</v>
      </c>
      <c r="U46" s="51" t="n">
        <v>0</v>
      </c>
      <c r="V46" s="51" t="n">
        <v>0</v>
      </c>
      <c r="W46" s="51" t="n">
        <v>0</v>
      </c>
      <c r="X46" s="51" t="n">
        <v>0.386</v>
      </c>
    </row>
    <row r="47">
      <c r="A47" s="51" t="inlineStr">
        <is>
          <t>Cedarwood bark</t>
        </is>
      </c>
      <c r="B47" s="51" t="n">
        <v>43.6145551728204</v>
      </c>
      <c r="C47" s="51" t="n">
        <v>33.6995583465329</v>
      </c>
      <c r="D47" s="51" t="n">
        <v>13.3610322755561</v>
      </c>
      <c r="E47" s="51" t="n">
        <v>69.78239425311681</v>
      </c>
      <c r="F47" s="51" t="n">
        <v>4.5727416202086</v>
      </c>
      <c r="G47" s="51" t="n">
        <v>23.9632619582685</v>
      </c>
      <c r="H47" s="51" t="n">
        <v>48.69</v>
      </c>
      <c r="I47" s="51" t="n">
        <v>44.72</v>
      </c>
      <c r="J47" s="51" t="n">
        <v>6.13</v>
      </c>
      <c r="K47" s="51" t="n">
        <v>6</v>
      </c>
      <c r="L47" s="51" t="n">
        <v>1</v>
      </c>
      <c r="M47" s="51" t="n">
        <v>0</v>
      </c>
      <c r="N47" s="51" t="n">
        <v>1</v>
      </c>
      <c r="O47" s="51" t="n">
        <v>4</v>
      </c>
      <c r="P47" s="51" t="n">
        <v>120</v>
      </c>
      <c r="Q47" s="51" t="n">
        <v>3</v>
      </c>
      <c r="R47" s="51" t="n">
        <v>800</v>
      </c>
      <c r="S47" s="51" t="n">
        <v>0</v>
      </c>
      <c r="T47" s="51" t="n">
        <v>5</v>
      </c>
      <c r="U47" s="51" t="n">
        <v>0</v>
      </c>
      <c r="V47" s="51" t="n">
        <v>0</v>
      </c>
      <c r="W47" s="51" t="n">
        <v>0</v>
      </c>
      <c r="X47" s="51" t="n">
        <v>0.389</v>
      </c>
    </row>
    <row r="48">
      <c r="A48" s="51" t="inlineStr">
        <is>
          <t>Cedarwood bark</t>
        </is>
      </c>
      <c r="B48" s="51" t="n">
        <v>43.6145551728204</v>
      </c>
      <c r="C48" s="51" t="n">
        <v>33.6995583465329</v>
      </c>
      <c r="D48" s="51" t="n">
        <v>13.3610322755561</v>
      </c>
      <c r="E48" s="51" t="n">
        <v>69.78239425311681</v>
      </c>
      <c r="F48" s="51" t="n">
        <v>4.5727416202086</v>
      </c>
      <c r="G48" s="51" t="n">
        <v>23.9632619582685</v>
      </c>
      <c r="H48" s="51" t="n">
        <v>48.69</v>
      </c>
      <c r="I48" s="51" t="n">
        <v>44.72</v>
      </c>
      <c r="J48" s="51" t="n">
        <v>6.13</v>
      </c>
      <c r="K48" s="51" t="n">
        <v>6</v>
      </c>
      <c r="L48" s="51" t="n">
        <v>1</v>
      </c>
      <c r="M48" s="51" t="n">
        <v>0</v>
      </c>
      <c r="N48" s="51" t="n">
        <v>1</v>
      </c>
      <c r="O48" s="51" t="n">
        <v>4</v>
      </c>
      <c r="P48" s="51" t="n">
        <v>120</v>
      </c>
      <c r="Q48" s="51" t="n">
        <v>3</v>
      </c>
      <c r="R48" s="51" t="n">
        <v>600</v>
      </c>
      <c r="S48" s="51" t="n">
        <v>0</v>
      </c>
      <c r="T48" s="51" t="n">
        <v>5</v>
      </c>
      <c r="U48" s="51" t="n">
        <v>0</v>
      </c>
      <c r="V48" s="51" t="n">
        <v>0</v>
      </c>
      <c r="W48" s="51" t="n">
        <v>0</v>
      </c>
      <c r="X48" s="51" t="n">
        <v>0.392</v>
      </c>
    </row>
    <row r="49">
      <c r="A49" s="51" t="inlineStr">
        <is>
          <t>Cellulose</t>
        </is>
      </c>
      <c r="B49" s="51" t="n">
        <v>100</v>
      </c>
      <c r="C49" s="51" t="n">
        <v>0</v>
      </c>
      <c r="D49" s="51" t="n">
        <v>0</v>
      </c>
      <c r="E49" s="51" t="n">
        <v>69.67887361178821</v>
      </c>
      <c r="F49" s="51" t="n">
        <v>11.1154831649635</v>
      </c>
      <c r="G49" s="51" t="n">
        <v>21.6494943291595</v>
      </c>
      <c r="H49" s="51" t="n">
        <v>47.6838622176796</v>
      </c>
      <c r="I49" s="51" t="n">
        <v>42.9268367741664</v>
      </c>
      <c r="J49" s="51" t="n">
        <v>6.15110801567795</v>
      </c>
      <c r="K49" s="51" t="n">
        <v>1</v>
      </c>
      <c r="L49" s="51" t="n">
        <v>5</v>
      </c>
      <c r="M49" s="51" t="n">
        <v>0</v>
      </c>
      <c r="N49" s="51" t="n">
        <v>1</v>
      </c>
      <c r="O49" s="51" t="n">
        <v>4</v>
      </c>
      <c r="P49" s="51" t="n">
        <v>120</v>
      </c>
      <c r="Q49" s="51" t="n">
        <v>5</v>
      </c>
      <c r="R49" s="51" t="n">
        <v>1800</v>
      </c>
      <c r="S49" s="51" t="n">
        <v>0</v>
      </c>
      <c r="T49" s="51" t="n">
        <v>5</v>
      </c>
      <c r="U49" s="51" t="n">
        <v>0</v>
      </c>
      <c r="V49" s="51" t="n">
        <v>0</v>
      </c>
      <c r="W49" s="51" t="n">
        <v>0</v>
      </c>
      <c r="X49" s="51" t="n">
        <v>0.36</v>
      </c>
    </row>
    <row r="50">
      <c r="A50" s="51" t="inlineStr">
        <is>
          <t>Cellulose</t>
        </is>
      </c>
      <c r="B50" s="51" t="n">
        <v>100</v>
      </c>
      <c r="C50" s="51" t="n">
        <v>0</v>
      </c>
      <c r="D50" s="51" t="n">
        <v>0</v>
      </c>
      <c r="E50" s="51" t="n">
        <v>69.67887361178821</v>
      </c>
      <c r="F50" s="51" t="n">
        <v>11.1154831649635</v>
      </c>
      <c r="G50" s="51" t="n">
        <v>21.6494943291595</v>
      </c>
      <c r="H50" s="51" t="n">
        <v>47.6838622176796</v>
      </c>
      <c r="I50" s="51" t="n">
        <v>42.9268367741664</v>
      </c>
      <c r="J50" s="51" t="n">
        <v>6.15110801567795</v>
      </c>
      <c r="K50" s="51" t="n">
        <v>1</v>
      </c>
      <c r="L50" s="51" t="n">
        <v>5</v>
      </c>
      <c r="M50" s="51" t="n">
        <v>0</v>
      </c>
      <c r="N50" s="51" t="n">
        <v>1</v>
      </c>
      <c r="O50" s="51" t="n">
        <v>4</v>
      </c>
      <c r="P50" s="51" t="n">
        <v>120</v>
      </c>
      <c r="Q50" s="51" t="n">
        <v>5</v>
      </c>
      <c r="R50" s="51" t="n">
        <v>1600</v>
      </c>
      <c r="S50" s="51" t="n">
        <v>0</v>
      </c>
      <c r="T50" s="51" t="n">
        <v>5</v>
      </c>
      <c r="U50" s="51" t="n">
        <v>0</v>
      </c>
      <c r="V50" s="51" t="n">
        <v>0</v>
      </c>
      <c r="W50" s="51" t="n">
        <v>0</v>
      </c>
      <c r="X50" s="51" t="n">
        <v>0.372</v>
      </c>
    </row>
    <row r="51">
      <c r="A51" s="51" t="inlineStr">
        <is>
          <t>Cellulose</t>
        </is>
      </c>
      <c r="B51" s="51" t="n">
        <v>100</v>
      </c>
      <c r="C51" s="51" t="n">
        <v>0</v>
      </c>
      <c r="D51" s="51" t="n">
        <v>0</v>
      </c>
      <c r="E51" s="51" t="n">
        <v>69.67887361178821</v>
      </c>
      <c r="F51" s="51" t="n">
        <v>11.1154831649635</v>
      </c>
      <c r="G51" s="51" t="n">
        <v>21.6494943291595</v>
      </c>
      <c r="H51" s="51" t="n">
        <v>47.6838622176796</v>
      </c>
      <c r="I51" s="51" t="n">
        <v>42.9268367741664</v>
      </c>
      <c r="J51" s="51" t="n">
        <v>6.15110801567795</v>
      </c>
      <c r="K51" s="51" t="n">
        <v>4</v>
      </c>
      <c r="L51" s="51" t="n">
        <v>5</v>
      </c>
      <c r="M51" s="51" t="n">
        <v>0</v>
      </c>
      <c r="N51" s="51" t="n">
        <v>1</v>
      </c>
      <c r="O51" s="51" t="n">
        <v>4</v>
      </c>
      <c r="P51" s="51" t="n">
        <v>240</v>
      </c>
      <c r="Q51" s="51" t="n">
        <v>5</v>
      </c>
      <c r="R51" s="51" t="n">
        <v>1600</v>
      </c>
      <c r="S51" s="51" t="n">
        <v>0</v>
      </c>
      <c r="T51" s="51" t="n">
        <v>5</v>
      </c>
      <c r="U51" s="51" t="n">
        <v>0</v>
      </c>
      <c r="V51" s="51" t="n">
        <v>0</v>
      </c>
      <c r="W51" s="51" t="n">
        <v>0</v>
      </c>
      <c r="X51" s="51" t="n">
        <v>0.382</v>
      </c>
    </row>
    <row r="52">
      <c r="A52" s="51" t="inlineStr">
        <is>
          <t>Cellulose</t>
        </is>
      </c>
      <c r="B52" s="51" t="n">
        <v>100</v>
      </c>
      <c r="C52" s="51" t="n">
        <v>0</v>
      </c>
      <c r="D52" s="51" t="n">
        <v>0</v>
      </c>
      <c r="E52" s="51" t="n">
        <v>69.67887361178821</v>
      </c>
      <c r="F52" s="51" t="n">
        <v>11.1154831649635</v>
      </c>
      <c r="G52" s="51" t="n">
        <v>21.6494943291595</v>
      </c>
      <c r="H52" s="51" t="n">
        <v>47.6838622176796</v>
      </c>
      <c r="I52" s="51" t="n">
        <v>42.9268367741664</v>
      </c>
      <c r="J52" s="51" t="n">
        <v>6.15110801567795</v>
      </c>
      <c r="K52" s="51" t="n">
        <v>1</v>
      </c>
      <c r="L52" s="51" t="n">
        <v>5</v>
      </c>
      <c r="M52" s="51" t="n">
        <v>1</v>
      </c>
      <c r="N52" s="51" t="n">
        <v>1</v>
      </c>
      <c r="O52" s="51" t="n">
        <v>4</v>
      </c>
      <c r="P52" s="51" t="n">
        <v>60</v>
      </c>
      <c r="Q52" s="51" t="n">
        <v>10</v>
      </c>
      <c r="R52" s="51" t="n">
        <v>800</v>
      </c>
      <c r="S52" s="51" t="n">
        <v>1</v>
      </c>
      <c r="T52" s="51" t="n">
        <v>5</v>
      </c>
      <c r="U52" s="51" t="n">
        <v>480</v>
      </c>
      <c r="V52" s="51" t="n">
        <v>10</v>
      </c>
      <c r="W52" s="51" t="n">
        <v>1300</v>
      </c>
      <c r="X52" s="51" t="n">
        <v>0.383</v>
      </c>
    </row>
    <row r="53">
      <c r="A53" s="51" t="inlineStr">
        <is>
          <t>Cellulose</t>
        </is>
      </c>
      <c r="B53" s="51" t="n">
        <v>100</v>
      </c>
      <c r="C53" s="51" t="n">
        <v>0</v>
      </c>
      <c r="D53" s="51" t="n">
        <v>0</v>
      </c>
      <c r="E53" s="51" t="n">
        <v>69.67887361178821</v>
      </c>
      <c r="F53" s="51" t="n">
        <v>11.1154831649635</v>
      </c>
      <c r="G53" s="51" t="n">
        <v>21.6494943291595</v>
      </c>
      <c r="H53" s="51" t="n">
        <v>47.6838622176796</v>
      </c>
      <c r="I53" s="51" t="n">
        <v>42.9268367741664</v>
      </c>
      <c r="J53" s="51" t="n">
        <v>6.15110801567795</v>
      </c>
      <c r="K53" s="51" t="n">
        <v>1</v>
      </c>
      <c r="L53" s="51" t="n">
        <v>5</v>
      </c>
      <c r="M53" s="51" t="n">
        <v>0</v>
      </c>
      <c r="N53" s="51" t="n">
        <v>1</v>
      </c>
      <c r="O53" s="51" t="n">
        <v>4</v>
      </c>
      <c r="P53" s="51" t="n">
        <v>120</v>
      </c>
      <c r="Q53" s="51" t="n">
        <v>5</v>
      </c>
      <c r="R53" s="51" t="n">
        <v>1400</v>
      </c>
      <c r="S53" s="51" t="n">
        <v>0</v>
      </c>
      <c r="T53" s="51" t="n">
        <v>5</v>
      </c>
      <c r="U53" s="51" t="n">
        <v>0</v>
      </c>
      <c r="V53" s="51" t="n">
        <v>0</v>
      </c>
      <c r="W53" s="51" t="n">
        <v>0</v>
      </c>
      <c r="X53" s="51" t="n">
        <v>0.385</v>
      </c>
    </row>
    <row r="54">
      <c r="A54" s="51" t="inlineStr">
        <is>
          <t>Cellulose</t>
        </is>
      </c>
      <c r="B54" s="51" t="n">
        <v>100</v>
      </c>
      <c r="C54" s="51" t="n">
        <v>0</v>
      </c>
      <c r="D54" s="51" t="n">
        <v>0</v>
      </c>
      <c r="E54" s="51" t="n">
        <v>69.67887361178821</v>
      </c>
      <c r="F54" s="51" t="n">
        <v>11.1154831649635</v>
      </c>
      <c r="G54" s="51" t="n">
        <v>21.6494943291595</v>
      </c>
      <c r="H54" s="51" t="n">
        <v>47.6838622176796</v>
      </c>
      <c r="I54" s="51" t="n">
        <v>42.9268367741664</v>
      </c>
      <c r="J54" s="51" t="n">
        <v>6.15110801567795</v>
      </c>
      <c r="K54" s="51" t="n">
        <v>1</v>
      </c>
      <c r="L54" s="51" t="n">
        <v>5</v>
      </c>
      <c r="M54" s="51" t="n">
        <v>0</v>
      </c>
      <c r="N54" s="51" t="n">
        <v>1</v>
      </c>
      <c r="O54" s="51" t="n">
        <v>4</v>
      </c>
      <c r="P54" s="51" t="n">
        <v>120</v>
      </c>
      <c r="Q54" s="51" t="n">
        <v>5</v>
      </c>
      <c r="R54" s="51" t="n">
        <v>1200</v>
      </c>
      <c r="S54" s="51" t="n">
        <v>0</v>
      </c>
      <c r="T54" s="51" t="n">
        <v>5</v>
      </c>
      <c r="U54" s="51" t="n">
        <v>0</v>
      </c>
      <c r="V54" s="51" t="n">
        <v>0</v>
      </c>
      <c r="W54" s="51" t="n">
        <v>0</v>
      </c>
      <c r="X54" s="51" t="n">
        <v>0.387</v>
      </c>
    </row>
    <row r="55">
      <c r="A55" s="51" t="inlineStr">
        <is>
          <t>Cellulose</t>
        </is>
      </c>
      <c r="B55" s="51" t="n">
        <v>100</v>
      </c>
      <c r="C55" s="51" t="n">
        <v>0</v>
      </c>
      <c r="D55" s="51" t="n">
        <v>0</v>
      </c>
      <c r="E55" s="51" t="n">
        <v>69.67887361178821</v>
      </c>
      <c r="F55" s="51" t="n">
        <v>11.1154831649635</v>
      </c>
      <c r="G55" s="51" t="n">
        <v>21.6494943291595</v>
      </c>
      <c r="H55" s="51" t="n">
        <v>47.6838622176796</v>
      </c>
      <c r="I55" s="51" t="n">
        <v>42.9268367741664</v>
      </c>
      <c r="J55" s="51" t="n">
        <v>6.15110801567795</v>
      </c>
      <c r="K55" s="51" t="n">
        <v>4</v>
      </c>
      <c r="L55" s="51" t="n">
        <v>5</v>
      </c>
      <c r="M55" s="51" t="n">
        <v>0</v>
      </c>
      <c r="N55" s="51" t="n">
        <v>1</v>
      </c>
      <c r="O55" s="51" t="n">
        <v>4</v>
      </c>
      <c r="P55" s="51" t="n">
        <v>240</v>
      </c>
      <c r="Q55" s="51" t="n">
        <v>5</v>
      </c>
      <c r="R55" s="51" t="n">
        <v>1400</v>
      </c>
      <c r="S55" s="51" t="n">
        <v>0</v>
      </c>
      <c r="T55" s="51" t="n">
        <v>5</v>
      </c>
      <c r="U55" s="51" t="n">
        <v>0</v>
      </c>
      <c r="V55" s="51" t="n">
        <v>0</v>
      </c>
      <c r="W55" s="51" t="n">
        <v>0</v>
      </c>
      <c r="X55" s="51" t="n">
        <v>0.388</v>
      </c>
    </row>
    <row r="56">
      <c r="A56" s="51" t="inlineStr">
        <is>
          <t>Cellulose</t>
        </is>
      </c>
      <c r="B56" s="51" t="n">
        <v>100</v>
      </c>
      <c r="C56" s="51" t="n">
        <v>0</v>
      </c>
      <c r="D56" s="51" t="n">
        <v>0</v>
      </c>
      <c r="E56" s="51" t="n">
        <v>69.67887361178821</v>
      </c>
      <c r="F56" s="51" t="n">
        <v>11.1154831649635</v>
      </c>
      <c r="G56" s="51" t="n">
        <v>21.6494943291595</v>
      </c>
      <c r="H56" s="51" t="n">
        <v>47.6838622176796</v>
      </c>
      <c r="I56" s="51" t="n">
        <v>42.9268367741664</v>
      </c>
      <c r="J56" s="51" t="n">
        <v>6.15110801567795</v>
      </c>
      <c r="K56" s="51" t="n">
        <v>4</v>
      </c>
      <c r="L56" s="51" t="n">
        <v>5</v>
      </c>
      <c r="M56" s="51" t="n">
        <v>0</v>
      </c>
      <c r="N56" s="51" t="n">
        <v>1</v>
      </c>
      <c r="O56" s="51" t="n">
        <v>4</v>
      </c>
      <c r="P56" s="51" t="n">
        <v>240</v>
      </c>
      <c r="Q56" s="51" t="n">
        <v>5</v>
      </c>
      <c r="R56" s="51" t="n">
        <v>1200</v>
      </c>
      <c r="S56" s="51" t="n">
        <v>0</v>
      </c>
      <c r="T56" s="51" t="n">
        <v>5</v>
      </c>
      <c r="U56" s="51" t="n">
        <v>0</v>
      </c>
      <c r="V56" s="51" t="n">
        <v>0</v>
      </c>
      <c r="W56" s="51" t="n">
        <v>0</v>
      </c>
      <c r="X56" s="51" t="n">
        <v>0.395</v>
      </c>
    </row>
    <row r="57">
      <c r="A57" s="51" t="inlineStr">
        <is>
          <t>Cellulose</t>
        </is>
      </c>
      <c r="B57" s="51" t="n">
        <v>100</v>
      </c>
      <c r="C57" s="51" t="n">
        <v>0</v>
      </c>
      <c r="D57" s="51" t="n">
        <v>0</v>
      </c>
      <c r="E57" s="51" t="n">
        <v>69.67887361178821</v>
      </c>
      <c r="F57" s="51" t="n">
        <v>11.1154831649635</v>
      </c>
      <c r="G57" s="51" t="n">
        <v>21.6494943291595</v>
      </c>
      <c r="H57" s="51" t="n">
        <v>47.6838622176796</v>
      </c>
      <c r="I57" s="51" t="n">
        <v>42.9268367741664</v>
      </c>
      <c r="J57" s="51" t="n">
        <v>6.15110801567795</v>
      </c>
      <c r="K57" s="51" t="n">
        <v>1</v>
      </c>
      <c r="L57" s="51" t="n">
        <v>5</v>
      </c>
      <c r="M57" s="51" t="n">
        <v>0</v>
      </c>
      <c r="N57" s="51" t="n">
        <v>1</v>
      </c>
      <c r="O57" s="51" t="n">
        <v>4</v>
      </c>
      <c r="P57" s="51" t="n">
        <v>120</v>
      </c>
      <c r="Q57" s="51" t="n">
        <v>5</v>
      </c>
      <c r="R57" s="51" t="n">
        <v>1000</v>
      </c>
      <c r="S57" s="51" t="n">
        <v>0</v>
      </c>
      <c r="T57" s="51" t="n">
        <v>5</v>
      </c>
      <c r="U57" s="51" t="n">
        <v>0</v>
      </c>
      <c r="V57" s="51" t="n">
        <v>0</v>
      </c>
      <c r="W57" s="51" t="n">
        <v>0</v>
      </c>
      <c r="X57" s="51" t="n">
        <v>0.399</v>
      </c>
    </row>
    <row r="58">
      <c r="A58" s="51" t="inlineStr">
        <is>
          <t>Cellulose</t>
        </is>
      </c>
      <c r="B58" s="51" t="n">
        <v>100</v>
      </c>
      <c r="C58" s="51" t="n">
        <v>0</v>
      </c>
      <c r="D58" s="51" t="n">
        <v>0</v>
      </c>
      <c r="E58" s="51" t="n">
        <v>69.67887361178821</v>
      </c>
      <c r="F58" s="51" t="n">
        <v>11.1154831649635</v>
      </c>
      <c r="G58" s="51" t="n">
        <v>21.6494943291595</v>
      </c>
      <c r="H58" s="51" t="n">
        <v>47.6838622176796</v>
      </c>
      <c r="I58" s="51" t="n">
        <v>42.9268367741664</v>
      </c>
      <c r="J58" s="51" t="n">
        <v>6.15110801567795</v>
      </c>
      <c r="K58" s="51" t="n">
        <v>4</v>
      </c>
      <c r="L58" s="51" t="n">
        <v>5</v>
      </c>
      <c r="M58" s="51" t="n">
        <v>0</v>
      </c>
      <c r="N58" s="51" t="n">
        <v>1</v>
      </c>
      <c r="O58" s="51" t="n">
        <v>4</v>
      </c>
      <c r="P58" s="51" t="n">
        <v>240</v>
      </c>
      <c r="Q58" s="51" t="n">
        <v>5</v>
      </c>
      <c r="R58" s="51" t="n">
        <v>1000</v>
      </c>
      <c r="S58" s="51" t="n">
        <v>0</v>
      </c>
      <c r="T58" s="51" t="n">
        <v>5</v>
      </c>
      <c r="U58" s="51" t="n">
        <v>0</v>
      </c>
      <c r="V58" s="51" t="n">
        <v>0</v>
      </c>
      <c r="W58" s="51" t="n">
        <v>0</v>
      </c>
      <c r="X58" s="51" t="n">
        <v>0.402</v>
      </c>
    </row>
    <row r="59">
      <c r="A59" s="51" t="inlineStr">
        <is>
          <t>Cellulose</t>
        </is>
      </c>
      <c r="B59" s="51" t="n">
        <v>100</v>
      </c>
      <c r="C59" s="51" t="n">
        <v>0</v>
      </c>
      <c r="D59" s="51" t="n">
        <v>0</v>
      </c>
      <c r="E59" s="51" t="n">
        <v>69.67887361178821</v>
      </c>
      <c r="F59" s="51" t="n">
        <v>11.1154831649635</v>
      </c>
      <c r="G59" s="51" t="n">
        <v>21.6494943291595</v>
      </c>
      <c r="H59" s="51" t="n">
        <v>47.6838622176796</v>
      </c>
      <c r="I59" s="51" t="n">
        <v>42.9268367741664</v>
      </c>
      <c r="J59" s="51" t="n">
        <v>6.15110801567795</v>
      </c>
      <c r="K59" s="51" t="n">
        <v>4</v>
      </c>
      <c r="L59" s="51" t="n">
        <v>5</v>
      </c>
      <c r="M59" s="51" t="n">
        <v>0</v>
      </c>
      <c r="N59" s="51" t="n">
        <v>1</v>
      </c>
      <c r="O59" s="51" t="n">
        <v>4</v>
      </c>
      <c r="P59" s="51" t="n">
        <v>240</v>
      </c>
      <c r="Q59" s="51" t="n">
        <v>5</v>
      </c>
      <c r="R59" s="51" t="n">
        <v>800</v>
      </c>
      <c r="S59" s="51" t="n">
        <v>0</v>
      </c>
      <c r="T59" s="51" t="n">
        <v>5</v>
      </c>
      <c r="U59" s="51" t="n">
        <v>0</v>
      </c>
      <c r="V59" s="51" t="n">
        <v>0</v>
      </c>
      <c r="W59" s="51" t="n">
        <v>0</v>
      </c>
      <c r="X59" s="51" t="n">
        <v>0.411</v>
      </c>
    </row>
    <row r="60">
      <c r="A60" s="51" t="inlineStr">
        <is>
          <t>Cellulose</t>
        </is>
      </c>
      <c r="B60" s="51" t="n">
        <v>100</v>
      </c>
      <c r="C60" s="51" t="n">
        <v>0</v>
      </c>
      <c r="D60" s="51" t="n">
        <v>0</v>
      </c>
      <c r="E60" s="51" t="n">
        <v>69.67887361178821</v>
      </c>
      <c r="F60" s="51" t="n">
        <v>11.1154831649635</v>
      </c>
      <c r="G60" s="51" t="n">
        <v>21.6494943291595</v>
      </c>
      <c r="H60" s="51" t="n">
        <v>47.6838622176796</v>
      </c>
      <c r="I60" s="51" t="n">
        <v>42.9268367741664</v>
      </c>
      <c r="J60" s="51" t="n">
        <v>6.15110801567795</v>
      </c>
      <c r="K60" s="51" t="n">
        <v>4</v>
      </c>
      <c r="L60" s="51" t="n">
        <v>5</v>
      </c>
      <c r="M60" s="51" t="n">
        <v>0</v>
      </c>
      <c r="N60" s="51" t="n">
        <v>1</v>
      </c>
      <c r="O60" s="51" t="n">
        <v>4</v>
      </c>
      <c r="P60" s="51" t="n">
        <v>240</v>
      </c>
      <c r="Q60" s="51" t="n">
        <v>5</v>
      </c>
      <c r="R60" s="51" t="n">
        <v>600</v>
      </c>
      <c r="S60" s="51" t="n">
        <v>0</v>
      </c>
      <c r="T60" s="51" t="n">
        <v>5</v>
      </c>
      <c r="U60" s="51" t="n">
        <v>0</v>
      </c>
      <c r="V60" s="51" t="n">
        <v>0</v>
      </c>
      <c r="W60" s="51" t="n">
        <v>0</v>
      </c>
      <c r="X60" s="51" t="n">
        <v>0.438</v>
      </c>
    </row>
    <row r="61">
      <c r="A61" s="51" t="inlineStr">
        <is>
          <t>Chrysanthemum</t>
        </is>
      </c>
      <c r="B61" s="51" t="n">
        <v>21.55</v>
      </c>
      <c r="C61" s="51" t="n">
        <v>28.4826744868035</v>
      </c>
      <c r="D61" s="51" t="n">
        <v>23.03</v>
      </c>
      <c r="E61" s="51" t="n">
        <v>69.45999999999999</v>
      </c>
      <c r="F61" s="51" t="n">
        <v>11.82</v>
      </c>
      <c r="G61" s="51" t="n">
        <v>18.69</v>
      </c>
      <c r="H61" s="51" t="n">
        <v>47.5102741880838</v>
      </c>
      <c r="I61" s="51" t="n">
        <v>40.1987410269694</v>
      </c>
      <c r="J61" s="51" t="n">
        <v>6.24645822039441</v>
      </c>
      <c r="K61" s="51" t="n">
        <v>6</v>
      </c>
      <c r="L61" s="51" t="n">
        <v>1</v>
      </c>
      <c r="M61" s="51" t="n">
        <v>0</v>
      </c>
      <c r="N61" s="51" t="n">
        <v>1</v>
      </c>
      <c r="O61" s="51" t="n">
        <v>6</v>
      </c>
      <c r="P61" s="51" t="n">
        <v>60</v>
      </c>
      <c r="Q61" s="51" t="n">
        <v>5</v>
      </c>
      <c r="R61" s="51" t="n">
        <v>700</v>
      </c>
      <c r="S61" s="51" t="n">
        <v>0</v>
      </c>
      <c r="T61" s="51" t="n">
        <v>5</v>
      </c>
      <c r="U61" s="51" t="n">
        <v>0</v>
      </c>
      <c r="V61" s="51" t="n">
        <v>0</v>
      </c>
      <c r="W61" s="51" t="n">
        <v>0</v>
      </c>
      <c r="X61" s="51" t="n">
        <v>0.372</v>
      </c>
    </row>
    <row r="62">
      <c r="A62" s="51" t="inlineStr">
        <is>
          <t>Coconut endocarp</t>
        </is>
      </c>
      <c r="B62" s="51" t="n">
        <v>33.6613953233538</v>
      </c>
      <c r="C62" s="51" t="n">
        <v>20.9825955589292</v>
      </c>
      <c r="D62" s="51" t="n">
        <v>34.9116770903997</v>
      </c>
      <c r="E62" s="51" t="n">
        <v>72.656882719756</v>
      </c>
      <c r="F62" s="51" t="n">
        <v>2.44715830164062</v>
      </c>
      <c r="G62" s="51" t="n">
        <v>19.9810529839057</v>
      </c>
      <c r="H62" s="51" t="n">
        <v>51.1</v>
      </c>
      <c r="I62" s="51" t="n">
        <v>42.6</v>
      </c>
      <c r="J62" s="51" t="n">
        <v>5.53</v>
      </c>
      <c r="K62" s="51" t="n">
        <v>6</v>
      </c>
      <c r="L62" s="51" t="n">
        <v>5</v>
      </c>
      <c r="M62" s="51" t="n">
        <v>0</v>
      </c>
      <c r="N62" s="51" t="n">
        <v>1</v>
      </c>
      <c r="O62" s="51" t="n">
        <v>4</v>
      </c>
      <c r="P62" s="51" t="n">
        <v>120</v>
      </c>
      <c r="Q62" s="51" t="n">
        <v>3.33633557044483</v>
      </c>
      <c r="R62" s="51" t="n">
        <v>900</v>
      </c>
      <c r="S62" s="51" t="n">
        <v>0</v>
      </c>
      <c r="T62" s="51" t="n">
        <v>5</v>
      </c>
      <c r="U62" s="51" t="n">
        <v>0</v>
      </c>
      <c r="V62" s="51" t="n">
        <v>0</v>
      </c>
      <c r="W62" s="51" t="n">
        <v>0</v>
      </c>
      <c r="X62" s="51" t="n">
        <v>0.3874</v>
      </c>
    </row>
    <row r="63">
      <c r="A63" s="51" t="inlineStr">
        <is>
          <t>Coconut shells</t>
        </is>
      </c>
      <c r="B63" s="51" t="n">
        <v>17.89</v>
      </c>
      <c r="C63" s="51" t="n">
        <v>56.29</v>
      </c>
      <c r="D63" s="51" t="n">
        <v>25.82</v>
      </c>
      <c r="E63" s="51" t="n">
        <v>72.2</v>
      </c>
      <c r="F63" s="51" t="n">
        <v>5.4</v>
      </c>
      <c r="G63" s="51" t="n">
        <v>22.4</v>
      </c>
      <c r="H63" s="51" t="n">
        <v>45.86</v>
      </c>
      <c r="I63" s="51" t="n">
        <v>46.43</v>
      </c>
      <c r="J63" s="51" t="n">
        <v>6.89</v>
      </c>
      <c r="K63" s="51" t="n">
        <v>4</v>
      </c>
      <c r="L63" s="51" t="n">
        <v>1</v>
      </c>
      <c r="M63" s="51" t="n">
        <v>0</v>
      </c>
      <c r="N63" s="51" t="n">
        <v>1</v>
      </c>
      <c r="O63" s="51" t="n">
        <v>4</v>
      </c>
      <c r="P63" s="51" t="n">
        <v>60</v>
      </c>
      <c r="Q63" s="51" t="n">
        <v>5</v>
      </c>
      <c r="R63" s="51" t="n">
        <v>1300</v>
      </c>
      <c r="S63" s="51" t="n">
        <v>0</v>
      </c>
      <c r="T63" s="51" t="n">
        <v>5</v>
      </c>
      <c r="U63" s="51" t="n">
        <v>0</v>
      </c>
      <c r="V63" s="51" t="n">
        <v>0</v>
      </c>
      <c r="W63" s="51" t="n">
        <v>0</v>
      </c>
      <c r="X63" s="51" t="n">
        <v>0.368</v>
      </c>
    </row>
    <row r="64">
      <c r="A64" s="51" t="inlineStr">
        <is>
          <t>Coconut shells</t>
        </is>
      </c>
      <c r="B64" s="51" t="n">
        <v>17.89</v>
      </c>
      <c r="C64" s="51" t="n">
        <v>56.29</v>
      </c>
      <c r="D64" s="51" t="n">
        <v>25.82</v>
      </c>
      <c r="E64" s="51" t="n">
        <v>83.98220245</v>
      </c>
      <c r="F64" s="51" t="n">
        <v>3.56</v>
      </c>
      <c r="G64" s="51" t="n">
        <v>12.46</v>
      </c>
      <c r="H64" s="51" t="n">
        <v>64.23</v>
      </c>
      <c r="I64" s="51" t="n">
        <v>27.61</v>
      </c>
      <c r="J64" s="51" t="n">
        <v>6.89</v>
      </c>
      <c r="K64" s="51" t="n">
        <v>4</v>
      </c>
      <c r="L64" s="51" t="n">
        <v>3</v>
      </c>
      <c r="M64" s="51" t="n">
        <v>0</v>
      </c>
      <c r="N64" s="51" t="n">
        <v>1</v>
      </c>
      <c r="O64" s="51" t="n">
        <v>4</v>
      </c>
      <c r="P64" s="51" t="n">
        <v>60</v>
      </c>
      <c r="Q64" s="51" t="n">
        <v>5</v>
      </c>
      <c r="R64" s="51" t="n">
        <v>1300</v>
      </c>
      <c r="S64" s="51" t="n">
        <v>0</v>
      </c>
      <c r="T64" s="51" t="n">
        <v>5</v>
      </c>
      <c r="U64" s="51" t="n">
        <v>0</v>
      </c>
      <c r="V64" s="51" t="n">
        <v>0</v>
      </c>
      <c r="W64" s="51" t="n">
        <v>0</v>
      </c>
      <c r="X64" s="51" t="n">
        <v>0.37</v>
      </c>
    </row>
    <row r="65">
      <c r="A65" s="51" t="inlineStr">
        <is>
          <t>Coconut shells</t>
        </is>
      </c>
      <c r="B65" s="51" t="n">
        <v>17.89</v>
      </c>
      <c r="C65" s="51" t="n">
        <v>56.29</v>
      </c>
      <c r="D65" s="51" t="n">
        <v>25.82</v>
      </c>
      <c r="E65" s="51" t="n">
        <v>83.98220245</v>
      </c>
      <c r="F65" s="51" t="n">
        <v>3.56</v>
      </c>
      <c r="G65" s="51" t="n">
        <v>12.46</v>
      </c>
      <c r="H65" s="51" t="n">
        <v>64.23</v>
      </c>
      <c r="I65" s="51" t="n">
        <v>27.61</v>
      </c>
      <c r="J65" s="51" t="n">
        <v>6.89</v>
      </c>
      <c r="K65" s="51" t="n">
        <v>1</v>
      </c>
      <c r="L65" s="51" t="n">
        <v>5</v>
      </c>
      <c r="M65" s="51" t="n">
        <v>0</v>
      </c>
      <c r="N65" s="51" t="n">
        <v>1</v>
      </c>
      <c r="O65" s="51" t="n">
        <v>4</v>
      </c>
      <c r="P65" s="51" t="n">
        <v>120</v>
      </c>
      <c r="Q65" s="51" t="n">
        <v>5</v>
      </c>
      <c r="R65" s="51" t="n">
        <v>1400</v>
      </c>
      <c r="S65" s="51" t="n">
        <v>0</v>
      </c>
      <c r="T65" s="51" t="n">
        <v>5</v>
      </c>
      <c r="U65" s="51" t="n">
        <v>0</v>
      </c>
      <c r="V65" s="51" t="n">
        <v>0</v>
      </c>
      <c r="W65" s="51" t="n">
        <v>0</v>
      </c>
      <c r="X65" s="51" t="n">
        <v>0.378</v>
      </c>
    </row>
    <row r="66">
      <c r="A66" s="51" t="inlineStr">
        <is>
          <t>Coconut shells</t>
        </is>
      </c>
      <c r="B66" s="51" t="n">
        <v>17.89</v>
      </c>
      <c r="C66" s="51" t="n">
        <v>56.29</v>
      </c>
      <c r="D66" s="51" t="n">
        <v>25.82</v>
      </c>
      <c r="E66" s="51" t="n">
        <v>83.98220245</v>
      </c>
      <c r="F66" s="51" t="n">
        <v>3.56</v>
      </c>
      <c r="G66" s="51" t="n">
        <v>12.46</v>
      </c>
      <c r="H66" s="51" t="n">
        <v>64.23</v>
      </c>
      <c r="I66" s="51" t="n">
        <v>27.61</v>
      </c>
      <c r="J66" s="51" t="n">
        <v>6.89</v>
      </c>
      <c r="K66" s="51" t="n">
        <v>4</v>
      </c>
      <c r="L66" s="51" t="n">
        <v>5</v>
      </c>
      <c r="M66" s="51" t="n">
        <v>1</v>
      </c>
      <c r="N66" s="51" t="n">
        <v>1</v>
      </c>
      <c r="O66" s="51" t="n">
        <v>4</v>
      </c>
      <c r="P66" s="51" t="n">
        <v>120</v>
      </c>
      <c r="Q66" s="51" t="n">
        <v>5</v>
      </c>
      <c r="R66" s="51" t="n">
        <v>1300</v>
      </c>
      <c r="S66" s="51" t="n">
        <v>1</v>
      </c>
      <c r="T66" s="51" t="n">
        <v>4</v>
      </c>
      <c r="U66" s="51" t="n">
        <v>120</v>
      </c>
      <c r="V66" s="51" t="n">
        <v>5</v>
      </c>
      <c r="W66" s="51" t="n">
        <v>300</v>
      </c>
      <c r="X66" s="51" t="n">
        <v>0.38</v>
      </c>
    </row>
    <row r="67">
      <c r="A67" s="51" t="inlineStr">
        <is>
          <t>Coconut shells</t>
        </is>
      </c>
      <c r="B67" s="51" t="n">
        <v>17.89</v>
      </c>
      <c r="C67" s="51" t="n">
        <v>56.29</v>
      </c>
      <c r="D67" s="51" t="n">
        <v>25.82</v>
      </c>
      <c r="E67" s="51" t="n">
        <v>83.98220245</v>
      </c>
      <c r="F67" s="51" t="n">
        <v>3.56</v>
      </c>
      <c r="G67" s="51" t="n">
        <v>12.46</v>
      </c>
      <c r="H67" s="51" t="n">
        <v>64.23</v>
      </c>
      <c r="I67" s="51" t="n">
        <v>27.61</v>
      </c>
      <c r="J67" s="51" t="n">
        <v>6.89</v>
      </c>
      <c r="K67" s="51" t="n">
        <v>4</v>
      </c>
      <c r="L67" s="51" t="n">
        <v>5</v>
      </c>
      <c r="M67" s="51" t="n">
        <v>1</v>
      </c>
      <c r="N67" s="51" t="n">
        <v>1</v>
      </c>
      <c r="O67" s="51" t="n">
        <v>4</v>
      </c>
      <c r="P67" s="51" t="n">
        <v>120</v>
      </c>
      <c r="Q67" s="51" t="n">
        <v>5</v>
      </c>
      <c r="R67" s="51" t="n">
        <v>1300</v>
      </c>
      <c r="S67" s="51" t="n">
        <v>1</v>
      </c>
      <c r="T67" s="51" t="n">
        <v>4</v>
      </c>
      <c r="U67" s="51" t="n">
        <v>120</v>
      </c>
      <c r="V67" s="51" t="n">
        <v>5</v>
      </c>
      <c r="W67" s="51" t="n">
        <v>300</v>
      </c>
      <c r="X67" s="51" t="n">
        <v>0.39</v>
      </c>
    </row>
    <row r="68">
      <c r="A68" s="51" t="inlineStr">
        <is>
          <t>Coffee ground</t>
        </is>
      </c>
      <c r="B68" s="51" t="n">
        <v>12.4</v>
      </c>
      <c r="C68" s="51" t="n">
        <v>39.1</v>
      </c>
      <c r="D68" s="51" t="n">
        <v>23.9</v>
      </c>
      <c r="E68" s="51" t="n">
        <v>83.3</v>
      </c>
      <c r="F68" s="51" t="n">
        <v>15.3</v>
      </c>
      <c r="G68" s="51" t="n">
        <v>1.5</v>
      </c>
      <c r="H68" s="51" t="n">
        <v>54.2</v>
      </c>
      <c r="I68" s="51" t="n">
        <v>33.1</v>
      </c>
      <c r="J68" s="51" t="n">
        <v>7</v>
      </c>
      <c r="K68" s="51" t="n">
        <v>4</v>
      </c>
      <c r="L68" s="51" t="n">
        <v>1</v>
      </c>
      <c r="M68" s="51" t="n">
        <v>1</v>
      </c>
      <c r="N68" s="51" t="n">
        <v>1</v>
      </c>
      <c r="O68" s="51" t="n">
        <v>4</v>
      </c>
      <c r="P68" s="51" t="n">
        <v>120</v>
      </c>
      <c r="Q68" s="51" t="n">
        <v>3</v>
      </c>
      <c r="R68" s="51" t="n">
        <v>400</v>
      </c>
      <c r="S68" s="51" t="n">
        <v>1</v>
      </c>
      <c r="T68" s="51" t="n">
        <v>5</v>
      </c>
      <c r="U68" s="51" t="n">
        <v>120</v>
      </c>
      <c r="V68" s="51" t="n">
        <v>5</v>
      </c>
      <c r="W68" s="51" t="n">
        <v>1000</v>
      </c>
      <c r="X68" s="51" t="n">
        <v>0.368</v>
      </c>
    </row>
    <row r="69">
      <c r="A69" s="51" t="inlineStr">
        <is>
          <t>Coffee ground</t>
        </is>
      </c>
      <c r="B69" s="51" t="n">
        <v>12.4</v>
      </c>
      <c r="C69" s="51" t="n">
        <v>39.1</v>
      </c>
      <c r="D69" s="51" t="n">
        <v>23.9</v>
      </c>
      <c r="E69" s="51" t="n">
        <v>83.3</v>
      </c>
      <c r="F69" s="51" t="n">
        <v>15.3</v>
      </c>
      <c r="G69" s="51" t="n">
        <v>1.5</v>
      </c>
      <c r="H69" s="51" t="n">
        <v>54.2</v>
      </c>
      <c r="I69" s="51" t="n">
        <v>33.1</v>
      </c>
      <c r="J69" s="51" t="n">
        <v>7</v>
      </c>
      <c r="K69" s="51" t="n">
        <v>4</v>
      </c>
      <c r="L69" s="51" t="n">
        <v>5</v>
      </c>
      <c r="M69" s="51" t="n">
        <v>0</v>
      </c>
      <c r="N69" s="51" t="n">
        <v>1</v>
      </c>
      <c r="O69" s="51" t="n">
        <v>0</v>
      </c>
      <c r="P69" s="51" t="n">
        <v>480</v>
      </c>
      <c r="Q69" s="51" t="n">
        <v>10</v>
      </c>
      <c r="R69" s="51" t="n">
        <v>970</v>
      </c>
      <c r="S69" s="51" t="n">
        <v>0</v>
      </c>
      <c r="T69" s="51" t="n">
        <v>5</v>
      </c>
      <c r="U69" s="51" t="n">
        <v>0</v>
      </c>
      <c r="V69" s="51" t="n">
        <v>0</v>
      </c>
      <c r="W69" s="51" t="n">
        <v>0</v>
      </c>
      <c r="X69" s="51" t="n">
        <v>0.386</v>
      </c>
    </row>
    <row r="70">
      <c r="A70" s="51" t="inlineStr">
        <is>
          <t>Coir</t>
        </is>
      </c>
      <c r="B70" s="51" t="n">
        <v>34.3359770079627</v>
      </c>
      <c r="C70" s="51" t="n">
        <v>13.4133843597305</v>
      </c>
      <c r="D70" s="51" t="n">
        <v>25.0938963518179</v>
      </c>
      <c r="E70" s="51" t="n">
        <v>69.2</v>
      </c>
      <c r="F70" s="51" t="n">
        <v>15.1</v>
      </c>
      <c r="G70" s="51" t="n">
        <v>21.6</v>
      </c>
      <c r="H70" s="51" t="n">
        <v>40.8</v>
      </c>
      <c r="I70" s="51" t="n">
        <v>40.3</v>
      </c>
      <c r="J70" s="51" t="n">
        <v>3.5</v>
      </c>
      <c r="K70" s="51" t="n">
        <v>5</v>
      </c>
      <c r="L70" s="51" t="n">
        <v>2</v>
      </c>
      <c r="M70" s="51" t="n">
        <v>0</v>
      </c>
      <c r="N70" s="51" t="n">
        <v>1</v>
      </c>
      <c r="O70" s="51" t="n">
        <v>4</v>
      </c>
      <c r="P70" s="51" t="n">
        <v>120</v>
      </c>
      <c r="Q70" s="51" t="n">
        <v>4.43310063832215</v>
      </c>
      <c r="R70" s="51" t="n">
        <v>1200</v>
      </c>
      <c r="S70" s="51" t="n">
        <v>0</v>
      </c>
      <c r="T70" s="51" t="n">
        <v>5</v>
      </c>
      <c r="U70" s="51" t="n">
        <v>0</v>
      </c>
      <c r="V70" s="51" t="n">
        <v>0</v>
      </c>
      <c r="W70" s="51" t="n">
        <v>0</v>
      </c>
      <c r="X70" s="51" t="n">
        <v>0.372</v>
      </c>
    </row>
    <row r="71">
      <c r="A71" s="51" t="inlineStr">
        <is>
          <t>Coir</t>
        </is>
      </c>
      <c r="B71" s="51" t="n">
        <v>34.3359770079627</v>
      </c>
      <c r="C71" s="51" t="n">
        <v>13.4133843597305</v>
      </c>
      <c r="D71" s="51" t="n">
        <v>25.0938963518179</v>
      </c>
      <c r="E71" s="51" t="n">
        <v>69.2</v>
      </c>
      <c r="F71" s="51" t="n">
        <v>15.1</v>
      </c>
      <c r="G71" s="51" t="n">
        <v>21.6</v>
      </c>
      <c r="H71" s="51" t="n">
        <v>40.8</v>
      </c>
      <c r="I71" s="51" t="n">
        <v>40.3</v>
      </c>
      <c r="J71" s="51" t="n">
        <v>3.5</v>
      </c>
      <c r="K71" s="51" t="n">
        <v>5</v>
      </c>
      <c r="L71" s="51" t="n">
        <v>2</v>
      </c>
      <c r="M71" s="51" t="n">
        <v>0</v>
      </c>
      <c r="N71" s="51" t="n">
        <v>1</v>
      </c>
      <c r="O71" s="51" t="n">
        <v>4</v>
      </c>
      <c r="P71" s="51" t="n">
        <v>120</v>
      </c>
      <c r="Q71" s="51" t="n">
        <v>4.68025109497266</v>
      </c>
      <c r="R71" s="51" t="n">
        <v>1000</v>
      </c>
      <c r="S71" s="51" t="n">
        <v>0</v>
      </c>
      <c r="T71" s="51" t="n">
        <v>5</v>
      </c>
      <c r="U71" s="51" t="n">
        <v>0</v>
      </c>
      <c r="V71" s="51" t="n">
        <v>0</v>
      </c>
      <c r="W71" s="51" t="n">
        <v>0</v>
      </c>
      <c r="X71" s="51" t="n">
        <v>0.386</v>
      </c>
    </row>
    <row r="72">
      <c r="A72" s="51" t="inlineStr">
        <is>
          <t>Coir</t>
        </is>
      </c>
      <c r="B72" s="51" t="n">
        <v>34.3359770079627</v>
      </c>
      <c r="C72" s="51" t="n">
        <v>13.4133843597305</v>
      </c>
      <c r="D72" s="51" t="n">
        <v>25.0938963518179</v>
      </c>
      <c r="E72" s="51" t="n">
        <v>69.2</v>
      </c>
      <c r="F72" s="51" t="n">
        <v>15.1</v>
      </c>
      <c r="G72" s="51" t="n">
        <v>21.6</v>
      </c>
      <c r="H72" s="51" t="n">
        <v>40.8</v>
      </c>
      <c r="I72" s="51" t="n">
        <v>40.3</v>
      </c>
      <c r="J72" s="51" t="n">
        <v>3.5</v>
      </c>
      <c r="K72" s="51" t="n">
        <v>5</v>
      </c>
      <c r="L72" s="51" t="n">
        <v>2</v>
      </c>
      <c r="M72" s="51" t="n">
        <v>0</v>
      </c>
      <c r="N72" s="51" t="n">
        <v>1</v>
      </c>
      <c r="O72" s="51" t="n">
        <v>4</v>
      </c>
      <c r="P72" s="51" t="n">
        <v>120</v>
      </c>
      <c r="Q72" s="51" t="n">
        <v>4.46746141976815</v>
      </c>
      <c r="R72" s="51" t="n">
        <v>800</v>
      </c>
      <c r="S72" s="51" t="n">
        <v>0</v>
      </c>
      <c r="T72" s="51" t="n">
        <v>5</v>
      </c>
      <c r="U72" s="51" t="n">
        <v>0</v>
      </c>
      <c r="V72" s="51" t="n">
        <v>0</v>
      </c>
      <c r="W72" s="51" t="n">
        <v>0</v>
      </c>
      <c r="X72" s="51" t="n">
        <v>0.392</v>
      </c>
    </row>
    <row r="73">
      <c r="A73" s="51" t="inlineStr">
        <is>
          <t>Cork</t>
        </is>
      </c>
      <c r="B73" s="51" t="n">
        <v>46.5</v>
      </c>
      <c r="C73" s="51" t="n">
        <v>24.4</v>
      </c>
      <c r="D73" s="51" t="n">
        <v>24.9</v>
      </c>
      <c r="E73" s="51" t="n">
        <v>73.78388164178151</v>
      </c>
      <c r="F73" s="51" t="n">
        <v>8.48644683342709</v>
      </c>
      <c r="G73" s="51" t="n">
        <v>19.5232197212223</v>
      </c>
      <c r="H73" s="51" t="n">
        <v>45.9348606701051</v>
      </c>
      <c r="I73" s="51" t="n">
        <v>43.3312491716995</v>
      </c>
      <c r="J73" s="51" t="n">
        <v>5.23021877653754</v>
      </c>
      <c r="K73" s="51" t="n">
        <v>6</v>
      </c>
      <c r="L73" s="51" t="n">
        <v>1</v>
      </c>
      <c r="M73" s="51" t="n">
        <v>0</v>
      </c>
      <c r="N73" s="51" t="n">
        <v>1</v>
      </c>
      <c r="O73" s="51" t="n">
        <v>1</v>
      </c>
      <c r="P73" s="51" t="n">
        <v>120</v>
      </c>
      <c r="Q73" s="51" t="n">
        <v>5</v>
      </c>
      <c r="R73" s="51" t="n">
        <v>800</v>
      </c>
      <c r="S73" s="51" t="n">
        <v>0</v>
      </c>
      <c r="T73" s="51" t="n">
        <v>5</v>
      </c>
      <c r="U73" s="51" t="n">
        <v>0</v>
      </c>
      <c r="V73" s="51" t="n">
        <v>0</v>
      </c>
      <c r="W73" s="51" t="n">
        <v>0</v>
      </c>
      <c r="X73" s="51" t="n">
        <v>0.36</v>
      </c>
    </row>
    <row r="74">
      <c r="A74" s="51" t="inlineStr">
        <is>
          <t>Corn cob</t>
        </is>
      </c>
      <c r="B74" s="51" t="n">
        <v>45.88</v>
      </c>
      <c r="C74" s="51" t="n">
        <v>39.4</v>
      </c>
      <c r="D74" s="51" t="n">
        <v>11.32</v>
      </c>
      <c r="E74" s="51" t="n">
        <v>87.76000000000001</v>
      </c>
      <c r="F74" s="51" t="n">
        <v>1.05</v>
      </c>
      <c r="G74" s="51" t="n">
        <v>11.19</v>
      </c>
      <c r="H74" s="51" t="n">
        <v>43.81</v>
      </c>
      <c r="I74" s="51" t="n">
        <v>48.19</v>
      </c>
      <c r="J74" s="51" t="n">
        <v>6.54</v>
      </c>
      <c r="K74" s="51" t="n">
        <v>4</v>
      </c>
      <c r="L74" s="51" t="n">
        <v>5</v>
      </c>
      <c r="M74" s="51" t="n">
        <v>1</v>
      </c>
      <c r="N74" s="51" t="n">
        <v>1</v>
      </c>
      <c r="O74" s="51" t="n">
        <v>4</v>
      </c>
      <c r="P74" s="51" t="n">
        <v>120</v>
      </c>
      <c r="Q74" s="51" t="n">
        <v>5.584708204179</v>
      </c>
      <c r="R74" s="51" t="n">
        <v>500</v>
      </c>
      <c r="S74" s="51" t="n">
        <v>1</v>
      </c>
      <c r="T74" s="51" t="n">
        <v>0</v>
      </c>
      <c r="U74" s="51" t="n">
        <v>120</v>
      </c>
      <c r="V74" s="51" t="n">
        <v>0</v>
      </c>
      <c r="W74" s="51" t="n">
        <v>1450</v>
      </c>
      <c r="X74" s="51" t="n">
        <v>0.373</v>
      </c>
    </row>
    <row r="75">
      <c r="A75" s="51" t="inlineStr">
        <is>
          <t>Corn cob</t>
        </is>
      </c>
      <c r="B75" s="51" t="n">
        <v>45.88</v>
      </c>
      <c r="C75" s="51" t="n">
        <v>39.4</v>
      </c>
      <c r="D75" s="51" t="n">
        <v>11.32</v>
      </c>
      <c r="E75" s="51" t="n">
        <v>87.76000000000001</v>
      </c>
      <c r="F75" s="51" t="n">
        <v>1.05</v>
      </c>
      <c r="G75" s="51" t="n">
        <v>11.19</v>
      </c>
      <c r="H75" s="51" t="n">
        <v>43.81</v>
      </c>
      <c r="I75" s="51" t="n">
        <v>48.19</v>
      </c>
      <c r="J75" s="51" t="n">
        <v>6.54</v>
      </c>
      <c r="K75" s="51" t="n">
        <v>4</v>
      </c>
      <c r="L75" s="51" t="n">
        <v>5</v>
      </c>
      <c r="M75" s="51" t="n">
        <v>1</v>
      </c>
      <c r="N75" s="51" t="n">
        <v>1</v>
      </c>
      <c r="O75" s="51" t="n">
        <v>4</v>
      </c>
      <c r="P75" s="51" t="n">
        <v>120</v>
      </c>
      <c r="Q75" s="51" t="n">
        <v>4</v>
      </c>
      <c r="R75" s="51" t="n">
        <v>500</v>
      </c>
      <c r="S75" s="51" t="n">
        <v>1</v>
      </c>
      <c r="T75" s="51" t="n">
        <v>0</v>
      </c>
      <c r="U75" s="51" t="n">
        <v>120</v>
      </c>
      <c r="V75" s="51" t="n">
        <v>0</v>
      </c>
      <c r="W75" s="51" t="n">
        <v>1300</v>
      </c>
      <c r="X75" s="51" t="n">
        <v>0.376</v>
      </c>
    </row>
    <row r="76">
      <c r="A76" s="51" t="inlineStr">
        <is>
          <t>Corn cob</t>
        </is>
      </c>
      <c r="B76" s="51" t="n">
        <v>45.88</v>
      </c>
      <c r="C76" s="51" t="n">
        <v>39.4</v>
      </c>
      <c r="D76" s="51" t="n">
        <v>11.32</v>
      </c>
      <c r="E76" s="51" t="n">
        <v>87.76000000000001</v>
      </c>
      <c r="F76" s="51" t="n">
        <v>1.05</v>
      </c>
      <c r="G76" s="51" t="n">
        <v>11.19</v>
      </c>
      <c r="H76" s="51" t="n">
        <v>43.81</v>
      </c>
      <c r="I76" s="51" t="n">
        <v>48.19</v>
      </c>
      <c r="J76" s="51" t="n">
        <v>6.54</v>
      </c>
      <c r="K76" s="51" t="n">
        <v>4</v>
      </c>
      <c r="L76" s="51" t="n">
        <v>5</v>
      </c>
      <c r="M76" s="51" t="n">
        <v>1</v>
      </c>
      <c r="N76" s="51" t="n">
        <v>1</v>
      </c>
      <c r="O76" s="51" t="n">
        <v>4</v>
      </c>
      <c r="P76" s="51" t="n">
        <v>120</v>
      </c>
      <c r="Q76" s="51" t="n">
        <v>4.15349859427883</v>
      </c>
      <c r="R76" s="51" t="n">
        <v>500</v>
      </c>
      <c r="S76" s="51" t="n">
        <v>1</v>
      </c>
      <c r="T76" s="51" t="n">
        <v>0</v>
      </c>
      <c r="U76" s="51" t="n">
        <v>120</v>
      </c>
      <c r="V76" s="51" t="n">
        <v>0</v>
      </c>
      <c r="W76" s="51" t="n">
        <v>1150</v>
      </c>
      <c r="X76" s="51" t="n">
        <v>0.382</v>
      </c>
    </row>
    <row r="77">
      <c r="A77" s="51" t="inlineStr">
        <is>
          <t>Corn cob</t>
        </is>
      </c>
      <c r="B77" s="51" t="n">
        <v>45.88</v>
      </c>
      <c r="C77" s="51" t="n">
        <v>39.4</v>
      </c>
      <c r="D77" s="51" t="n">
        <v>11.32</v>
      </c>
      <c r="E77" s="51" t="n">
        <v>87.76000000000001</v>
      </c>
      <c r="F77" s="51" t="n">
        <v>1.05</v>
      </c>
      <c r="G77" s="51" t="n">
        <v>11.19</v>
      </c>
      <c r="H77" s="51" t="n">
        <v>43.81</v>
      </c>
      <c r="I77" s="51" t="n">
        <v>48.19</v>
      </c>
      <c r="J77" s="51" t="n">
        <v>6.54</v>
      </c>
      <c r="K77" s="51" t="n">
        <v>4</v>
      </c>
      <c r="L77" s="51" t="n">
        <v>5</v>
      </c>
      <c r="M77" s="51" t="n">
        <v>0</v>
      </c>
      <c r="N77" s="51" t="n">
        <v>1</v>
      </c>
      <c r="O77" s="51" t="n">
        <v>4</v>
      </c>
      <c r="P77" s="51" t="n">
        <v>120</v>
      </c>
      <c r="Q77" s="51" t="n">
        <v>4.04414726997145</v>
      </c>
      <c r="R77" s="51" t="n">
        <v>1600</v>
      </c>
      <c r="S77" s="51" t="n">
        <v>0</v>
      </c>
      <c r="T77" s="51" t="n">
        <v>5</v>
      </c>
      <c r="U77" s="51" t="n">
        <v>0</v>
      </c>
      <c r="V77" s="51" t="n">
        <v>0</v>
      </c>
      <c r="W77" s="51" t="n">
        <v>0</v>
      </c>
      <c r="X77" s="51" t="n">
        <v>0.389</v>
      </c>
    </row>
    <row r="78">
      <c r="A78" s="51" t="inlineStr">
        <is>
          <t>Corn cob</t>
        </is>
      </c>
      <c r="B78" s="51" t="n">
        <v>45.88</v>
      </c>
      <c r="C78" s="51" t="n">
        <v>39.4</v>
      </c>
      <c r="D78" s="51" t="n">
        <v>11.32</v>
      </c>
      <c r="E78" s="51" t="n">
        <v>87.76000000000001</v>
      </c>
      <c r="F78" s="51" t="n">
        <v>1.05</v>
      </c>
      <c r="G78" s="51" t="n">
        <v>11.19</v>
      </c>
      <c r="H78" s="51" t="n">
        <v>43.81</v>
      </c>
      <c r="I78" s="51" t="n">
        <v>48.19</v>
      </c>
      <c r="J78" s="51" t="n">
        <v>6.54</v>
      </c>
      <c r="K78" s="51" t="n">
        <v>4</v>
      </c>
      <c r="L78" s="51" t="n">
        <v>5</v>
      </c>
      <c r="M78" s="51" t="n">
        <v>0</v>
      </c>
      <c r="N78" s="51" t="n">
        <v>1</v>
      </c>
      <c r="O78" s="51" t="n">
        <v>4</v>
      </c>
      <c r="P78" s="51" t="n">
        <v>120</v>
      </c>
      <c r="Q78" s="51" t="n">
        <v>4.12804658055556</v>
      </c>
      <c r="R78" s="51" t="n">
        <v>1300</v>
      </c>
      <c r="S78" s="51" t="n">
        <v>0</v>
      </c>
      <c r="T78" s="51" t="n">
        <v>5</v>
      </c>
      <c r="U78" s="51" t="n">
        <v>0</v>
      </c>
      <c r="V78" s="51" t="n">
        <v>0</v>
      </c>
      <c r="W78" s="51" t="n">
        <v>0</v>
      </c>
      <c r="X78" s="51" t="n">
        <v>0.398</v>
      </c>
    </row>
    <row r="79">
      <c r="A79" s="51" t="inlineStr">
        <is>
          <t>Corn cob</t>
        </is>
      </c>
      <c r="B79" s="51" t="n">
        <v>45.88</v>
      </c>
      <c r="C79" s="51" t="n">
        <v>39.4</v>
      </c>
      <c r="D79" s="51" t="n">
        <v>11.32</v>
      </c>
      <c r="E79" s="51" t="n">
        <v>87.76000000000001</v>
      </c>
      <c r="F79" s="51" t="n">
        <v>1.05</v>
      </c>
      <c r="G79" s="51" t="n">
        <v>11.19</v>
      </c>
      <c r="H79" s="51" t="n">
        <v>43.81</v>
      </c>
      <c r="I79" s="51" t="n">
        <v>48.19</v>
      </c>
      <c r="J79" s="51" t="n">
        <v>6.54</v>
      </c>
      <c r="K79" s="51" t="n">
        <v>4</v>
      </c>
      <c r="L79" s="51" t="n">
        <v>5</v>
      </c>
      <c r="M79" s="51" t="n">
        <v>0</v>
      </c>
      <c r="N79" s="51" t="n">
        <v>1</v>
      </c>
      <c r="O79" s="51" t="n">
        <v>4</v>
      </c>
      <c r="P79" s="51" t="n">
        <v>120</v>
      </c>
      <c r="Q79" s="51" t="n">
        <v>3.92680297068334</v>
      </c>
      <c r="R79" s="51" t="n">
        <v>1000</v>
      </c>
      <c r="S79" s="51" t="n">
        <v>0</v>
      </c>
      <c r="T79" s="51" t="n">
        <v>5</v>
      </c>
      <c r="U79" s="51" t="n">
        <v>0</v>
      </c>
      <c r="V79" s="51" t="n">
        <v>0</v>
      </c>
      <c r="W79" s="51" t="n">
        <v>0</v>
      </c>
      <c r="X79" s="51" t="n">
        <v>0.408</v>
      </c>
    </row>
    <row r="80">
      <c r="A80" s="51" t="inlineStr">
        <is>
          <t>Corn silk</t>
        </is>
      </c>
      <c r="B80" s="51" t="n">
        <v>42.36</v>
      </c>
      <c r="C80" s="51" t="n">
        <v>10.26</v>
      </c>
      <c r="D80" s="51" t="n">
        <v>27.19</v>
      </c>
      <c r="E80" s="51" t="n">
        <v>72.2</v>
      </c>
      <c r="F80" s="51" t="n">
        <v>5.4</v>
      </c>
      <c r="G80" s="51" t="n">
        <v>22.4</v>
      </c>
      <c r="H80" s="51" t="n">
        <v>45.86</v>
      </c>
      <c r="I80" s="51" t="n">
        <v>46.43</v>
      </c>
      <c r="J80" s="51" t="n">
        <v>5.8</v>
      </c>
      <c r="K80" s="51" t="n">
        <v>4</v>
      </c>
      <c r="L80" s="51" t="n">
        <v>3</v>
      </c>
      <c r="M80" s="51" t="n">
        <v>0</v>
      </c>
      <c r="N80" s="51" t="n">
        <v>1</v>
      </c>
      <c r="O80" s="51" t="n">
        <v>4</v>
      </c>
      <c r="P80" s="51" t="n">
        <v>60</v>
      </c>
      <c r="Q80" s="51" t="n">
        <v>5</v>
      </c>
      <c r="R80" s="51" t="n">
        <v>1300</v>
      </c>
      <c r="S80" s="51" t="n">
        <v>0</v>
      </c>
      <c r="T80" s="51" t="n">
        <v>5</v>
      </c>
      <c r="U80" s="51" t="n">
        <v>0</v>
      </c>
      <c r="V80" s="51" t="n">
        <v>0</v>
      </c>
      <c r="W80" s="51" t="n">
        <v>0</v>
      </c>
      <c r="X80" s="51" t="n">
        <v>0.368</v>
      </c>
    </row>
    <row r="81">
      <c r="A81" s="51" t="inlineStr">
        <is>
          <t>Corn silk</t>
        </is>
      </c>
      <c r="B81" s="51" t="n">
        <v>42.36</v>
      </c>
      <c r="C81" s="51" t="n">
        <v>10.26</v>
      </c>
      <c r="D81" s="51" t="n">
        <v>27.19</v>
      </c>
      <c r="E81" s="51" t="n">
        <v>71.52</v>
      </c>
      <c r="F81" s="51" t="n">
        <v>1.65</v>
      </c>
      <c r="G81" s="51" t="n">
        <v>19.33</v>
      </c>
      <c r="H81" s="51" t="n">
        <v>46.65</v>
      </c>
      <c r="I81" s="51" t="n">
        <v>47.54</v>
      </c>
      <c r="J81" s="51" t="n">
        <v>5.8</v>
      </c>
      <c r="K81" s="51" t="n">
        <v>4</v>
      </c>
      <c r="L81" s="51" t="n">
        <v>1</v>
      </c>
      <c r="M81" s="51" t="n">
        <v>0</v>
      </c>
      <c r="N81" s="51" t="n">
        <v>1</v>
      </c>
      <c r="O81" s="51" t="n">
        <v>4</v>
      </c>
      <c r="P81" s="51" t="n">
        <v>60</v>
      </c>
      <c r="Q81" s="51" t="n">
        <v>5</v>
      </c>
      <c r="R81" s="51" t="n">
        <v>1300</v>
      </c>
      <c r="S81" s="51" t="n">
        <v>0</v>
      </c>
      <c r="T81" s="51" t="n">
        <v>5</v>
      </c>
      <c r="U81" s="51" t="n">
        <v>0</v>
      </c>
      <c r="V81" s="51" t="n">
        <v>0</v>
      </c>
      <c r="W81" s="51" t="n">
        <v>0</v>
      </c>
      <c r="X81" s="51" t="n">
        <v>0.37</v>
      </c>
    </row>
    <row r="82">
      <c r="A82" s="51" t="inlineStr">
        <is>
          <t>Corn Stalks</t>
        </is>
      </c>
      <c r="B82" s="51" t="n">
        <v>31.31</v>
      </c>
      <c r="C82" s="51" t="n">
        <v>40.13</v>
      </c>
      <c r="D82" s="51" t="n">
        <v>4.74</v>
      </c>
      <c r="E82" s="51" t="n">
        <v>77.48</v>
      </c>
      <c r="F82" s="51" t="n">
        <v>7.92</v>
      </c>
      <c r="G82" s="51" t="n">
        <v>6.14</v>
      </c>
      <c r="H82" s="51" t="n">
        <v>44.17</v>
      </c>
      <c r="I82" s="51" t="n">
        <v>49.07</v>
      </c>
      <c r="J82" s="51" t="n">
        <v>5.65</v>
      </c>
      <c r="K82" s="51" t="n">
        <v>4</v>
      </c>
      <c r="L82" s="51" t="n">
        <v>5</v>
      </c>
      <c r="M82" s="51" t="n">
        <v>0</v>
      </c>
      <c r="N82" s="51" t="n">
        <v>1</v>
      </c>
      <c r="O82" s="51" t="n">
        <v>4</v>
      </c>
      <c r="P82" s="51" t="n">
        <v>120</v>
      </c>
      <c r="Q82" s="51" t="n">
        <v>4.16046635891836</v>
      </c>
      <c r="R82" s="51" t="n">
        <v>1200</v>
      </c>
      <c r="S82" s="51" t="n">
        <v>0</v>
      </c>
      <c r="T82" s="51" t="n">
        <v>5</v>
      </c>
      <c r="U82" s="51" t="n">
        <v>0</v>
      </c>
      <c r="V82" s="51" t="n">
        <v>0</v>
      </c>
      <c r="W82" s="51" t="n">
        <v>0</v>
      </c>
      <c r="X82" s="51" t="n">
        <v>0.384</v>
      </c>
    </row>
    <row r="83">
      <c r="A83" s="51" t="inlineStr">
        <is>
          <t>Corn Stalks</t>
        </is>
      </c>
      <c r="B83" s="51" t="n">
        <v>31.31</v>
      </c>
      <c r="C83" s="51" t="n">
        <v>40.13</v>
      </c>
      <c r="D83" s="51" t="n">
        <v>4.74</v>
      </c>
      <c r="E83" s="51" t="n">
        <v>77.48</v>
      </c>
      <c r="F83" s="51" t="n">
        <v>7.92</v>
      </c>
      <c r="G83" s="51" t="n">
        <v>6.14</v>
      </c>
      <c r="H83" s="51" t="n">
        <v>44.17</v>
      </c>
      <c r="I83" s="51" t="n">
        <v>49.07</v>
      </c>
      <c r="J83" s="51" t="n">
        <v>5.65</v>
      </c>
      <c r="K83" s="51" t="n">
        <v>4</v>
      </c>
      <c r="L83" s="51" t="n">
        <v>5</v>
      </c>
      <c r="M83" s="51" t="n">
        <v>0</v>
      </c>
      <c r="N83" s="51" t="n">
        <v>1</v>
      </c>
      <c r="O83" s="51" t="n">
        <v>4</v>
      </c>
      <c r="P83" s="51" t="n">
        <v>120</v>
      </c>
      <c r="Q83" s="51" t="n">
        <v>4.16046637077141</v>
      </c>
      <c r="R83" s="51" t="n">
        <v>1200</v>
      </c>
      <c r="S83" s="51" t="n">
        <v>0</v>
      </c>
      <c r="T83" s="51" t="n">
        <v>5</v>
      </c>
      <c r="U83" s="51" t="n">
        <v>0</v>
      </c>
      <c r="V83" s="51" t="n">
        <v>0</v>
      </c>
      <c r="W83" s="51" t="n">
        <v>0</v>
      </c>
      <c r="X83" s="51" t="n">
        <v>0.391</v>
      </c>
    </row>
    <row r="84">
      <c r="A84" s="51" t="inlineStr">
        <is>
          <t>Corn straw pith</t>
        </is>
      </c>
      <c r="B84" s="51" t="n">
        <v>57.6</v>
      </c>
      <c r="C84" s="51" t="n">
        <v>21.3</v>
      </c>
      <c r="D84" s="51" t="n">
        <v>6.1</v>
      </c>
      <c r="E84" s="51" t="n">
        <v>80.56999999999999</v>
      </c>
      <c r="F84" s="51" t="n">
        <v>5.49</v>
      </c>
      <c r="G84" s="51" t="n">
        <v>13.89</v>
      </c>
      <c r="H84" s="51" t="n">
        <v>44.69</v>
      </c>
      <c r="I84" s="51" t="n">
        <v>49.1</v>
      </c>
      <c r="J84" s="51" t="n">
        <v>5.93</v>
      </c>
      <c r="K84" s="51" t="n">
        <v>4</v>
      </c>
      <c r="L84" s="51" t="n">
        <v>5</v>
      </c>
      <c r="M84" s="51" t="n">
        <v>0</v>
      </c>
      <c r="N84" s="51" t="n">
        <v>1</v>
      </c>
      <c r="O84" s="51" t="n">
        <v>4</v>
      </c>
      <c r="P84" s="51" t="n">
        <v>120</v>
      </c>
      <c r="Q84" s="51" t="n">
        <v>3.73077112385478</v>
      </c>
      <c r="R84" s="51" t="n">
        <v>1200</v>
      </c>
      <c r="S84" s="51" t="n">
        <v>0</v>
      </c>
      <c r="T84" s="51" t="n">
        <v>5</v>
      </c>
      <c r="U84" s="51" t="n">
        <v>0</v>
      </c>
      <c r="V84" s="51" t="n">
        <v>0</v>
      </c>
      <c r="W84" s="51" t="n">
        <v>0</v>
      </c>
      <c r="X84" s="51" t="n">
        <v>0.404</v>
      </c>
    </row>
    <row r="85">
      <c r="A85" s="51" t="inlineStr">
        <is>
          <t>Corn straw pith</t>
        </is>
      </c>
      <c r="B85" s="51" t="n">
        <v>57.6</v>
      </c>
      <c r="C85" s="51" t="n">
        <v>21.3</v>
      </c>
      <c r="D85" s="51" t="n">
        <v>6.1</v>
      </c>
      <c r="E85" s="51" t="n">
        <v>80.56999999999999</v>
      </c>
      <c r="F85" s="51" t="n">
        <v>5.49</v>
      </c>
      <c r="G85" s="51" t="n">
        <v>13.89</v>
      </c>
      <c r="H85" s="51" t="n">
        <v>44.69</v>
      </c>
      <c r="I85" s="51" t="n">
        <v>49.1</v>
      </c>
      <c r="J85" s="51" t="n">
        <v>5.93</v>
      </c>
      <c r="K85" s="51" t="n">
        <v>4</v>
      </c>
      <c r="L85" s="51" t="n">
        <v>5</v>
      </c>
      <c r="M85" s="51" t="n">
        <v>0</v>
      </c>
      <c r="N85" s="51" t="n">
        <v>1</v>
      </c>
      <c r="O85" s="51" t="n">
        <v>4</v>
      </c>
      <c r="P85" s="51" t="n">
        <v>120</v>
      </c>
      <c r="Q85" s="51" t="n">
        <v>5</v>
      </c>
      <c r="R85" s="51" t="n">
        <v>1400</v>
      </c>
      <c r="S85" s="51" t="n">
        <v>0</v>
      </c>
      <c r="T85" s="51" t="n">
        <v>5</v>
      </c>
      <c r="U85" s="51" t="n">
        <v>0</v>
      </c>
      <c r="V85" s="51" t="n">
        <v>0</v>
      </c>
      <c r="W85" s="51" t="n">
        <v>0</v>
      </c>
      <c r="X85" s="51" t="n">
        <v>0.393</v>
      </c>
    </row>
    <row r="86">
      <c r="A86" s="51" t="inlineStr">
        <is>
          <t>Corn straw pith</t>
        </is>
      </c>
      <c r="B86" s="51" t="n">
        <v>57.6</v>
      </c>
      <c r="C86" s="51" t="n">
        <v>21.3</v>
      </c>
      <c r="D86" s="51" t="n">
        <v>6.1</v>
      </c>
      <c r="E86" s="51" t="n">
        <v>80.56999999999999</v>
      </c>
      <c r="F86" s="51" t="n">
        <v>5.49</v>
      </c>
      <c r="G86" s="51" t="n">
        <v>13.89</v>
      </c>
      <c r="H86" s="51" t="n">
        <v>44.69</v>
      </c>
      <c r="I86" s="51" t="n">
        <v>49.1</v>
      </c>
      <c r="J86" s="51" t="n">
        <v>5.93</v>
      </c>
      <c r="K86" s="51" t="n">
        <v>4</v>
      </c>
      <c r="L86" s="51" t="n">
        <v>5</v>
      </c>
      <c r="M86" s="51" t="n">
        <v>0</v>
      </c>
      <c r="N86" s="51" t="n">
        <v>1</v>
      </c>
      <c r="O86" s="51" t="n">
        <v>4</v>
      </c>
      <c r="P86" s="51" t="n">
        <v>120</v>
      </c>
      <c r="Q86" s="51" t="n">
        <v>4.06015100534438</v>
      </c>
      <c r="R86" s="51" t="n">
        <v>1600</v>
      </c>
      <c r="S86" s="51" t="n">
        <v>0</v>
      </c>
      <c r="T86" s="51" t="n">
        <v>5</v>
      </c>
      <c r="U86" s="51" t="n">
        <v>0</v>
      </c>
      <c r="V86" s="51" t="n">
        <v>0</v>
      </c>
      <c r="W86" s="51" t="n">
        <v>0</v>
      </c>
      <c r="X86" s="51" t="n">
        <v>0.374</v>
      </c>
    </row>
    <row r="87">
      <c r="A87" s="51" t="inlineStr">
        <is>
          <t>Corncob</t>
        </is>
      </c>
      <c r="B87" s="51" t="n">
        <v>45.88</v>
      </c>
      <c r="C87" s="51" t="n">
        <v>39.4</v>
      </c>
      <c r="D87" s="51" t="n">
        <v>11.32</v>
      </c>
      <c r="E87" s="51" t="n">
        <v>87.76000000000001</v>
      </c>
      <c r="F87" s="51" t="n">
        <v>1.05</v>
      </c>
      <c r="G87" s="51" t="n">
        <v>11.19</v>
      </c>
      <c r="H87" s="51" t="n">
        <v>43.81</v>
      </c>
      <c r="I87" s="51" t="n">
        <v>48.19</v>
      </c>
      <c r="J87" s="51" t="n">
        <v>6.54</v>
      </c>
      <c r="K87" s="51" t="n">
        <v>1</v>
      </c>
      <c r="L87" s="51" t="n">
        <v>5</v>
      </c>
      <c r="M87" s="51" t="n">
        <v>1</v>
      </c>
      <c r="N87" s="51" t="n">
        <v>1</v>
      </c>
      <c r="O87" s="51" t="n">
        <v>4</v>
      </c>
      <c r="P87" s="51" t="n">
        <v>120</v>
      </c>
      <c r="Q87" s="51" t="n">
        <v>4</v>
      </c>
      <c r="R87" s="51" t="n">
        <v>600</v>
      </c>
      <c r="S87" s="51" t="n">
        <v>1</v>
      </c>
      <c r="T87" s="51" t="n">
        <v>5</v>
      </c>
      <c r="U87" s="51" t="n">
        <v>120</v>
      </c>
      <c r="V87" s="51" t="n">
        <v>5</v>
      </c>
      <c r="W87" s="51" t="n">
        <v>1300</v>
      </c>
      <c r="X87" s="51" t="n">
        <v>0.377</v>
      </c>
    </row>
    <row r="88">
      <c r="A88" s="51" t="inlineStr">
        <is>
          <t>Corncob</t>
        </is>
      </c>
      <c r="B88" s="51" t="n">
        <v>45.88</v>
      </c>
      <c r="C88" s="51" t="n">
        <v>39.4</v>
      </c>
      <c r="D88" s="51" t="n">
        <v>11.32</v>
      </c>
      <c r="E88" s="51" t="n">
        <v>87.76000000000001</v>
      </c>
      <c r="F88" s="51" t="n">
        <v>1.05</v>
      </c>
      <c r="G88" s="51" t="n">
        <v>11.19</v>
      </c>
      <c r="H88" s="51" t="n">
        <v>43.81</v>
      </c>
      <c r="I88" s="51" t="n">
        <v>48.19</v>
      </c>
      <c r="J88" s="51" t="n">
        <v>6.54</v>
      </c>
      <c r="K88" s="51" t="n">
        <v>1</v>
      </c>
      <c r="L88" s="51" t="n">
        <v>5</v>
      </c>
      <c r="M88" s="51" t="n">
        <v>1</v>
      </c>
      <c r="N88" s="51" t="n">
        <v>1</v>
      </c>
      <c r="O88" s="51" t="n">
        <v>4</v>
      </c>
      <c r="P88" s="51" t="n">
        <v>120</v>
      </c>
      <c r="Q88" s="51" t="n">
        <v>4</v>
      </c>
      <c r="R88" s="51" t="n">
        <v>500</v>
      </c>
      <c r="S88" s="51" t="n">
        <v>1</v>
      </c>
      <c r="T88" s="51" t="n">
        <v>5</v>
      </c>
      <c r="U88" s="51" t="n">
        <v>120</v>
      </c>
      <c r="V88" s="51" t="n">
        <v>5</v>
      </c>
      <c r="W88" s="51" t="n">
        <v>1300</v>
      </c>
      <c r="X88" s="51" t="n">
        <v>0.379</v>
      </c>
    </row>
    <row r="89">
      <c r="A89" s="51" t="inlineStr">
        <is>
          <t>Corncob</t>
        </is>
      </c>
      <c r="B89" s="51" t="n">
        <v>45.88</v>
      </c>
      <c r="C89" s="51" t="n">
        <v>39.4</v>
      </c>
      <c r="D89" s="51" t="n">
        <v>11.32</v>
      </c>
      <c r="E89" s="51" t="n">
        <v>87.76000000000001</v>
      </c>
      <c r="F89" s="51" t="n">
        <v>1.05</v>
      </c>
      <c r="G89" s="51" t="n">
        <v>11.19</v>
      </c>
      <c r="H89" s="51" t="n">
        <v>43.81</v>
      </c>
      <c r="I89" s="51" t="n">
        <v>48.19</v>
      </c>
      <c r="J89" s="51" t="n">
        <v>6.54</v>
      </c>
      <c r="K89" s="51" t="n">
        <v>1</v>
      </c>
      <c r="L89" s="51" t="n">
        <v>5</v>
      </c>
      <c r="M89" s="51" t="n">
        <v>1</v>
      </c>
      <c r="N89" s="51" t="n">
        <v>1</v>
      </c>
      <c r="O89" s="51" t="n">
        <v>4</v>
      </c>
      <c r="P89" s="51" t="n">
        <v>120</v>
      </c>
      <c r="Q89" s="51" t="n">
        <v>4</v>
      </c>
      <c r="R89" s="51" t="n">
        <v>400</v>
      </c>
      <c r="S89" s="51" t="n">
        <v>1</v>
      </c>
      <c r="T89" s="51" t="n">
        <v>5</v>
      </c>
      <c r="U89" s="51" t="n">
        <v>120</v>
      </c>
      <c r="V89" s="51" t="n">
        <v>5</v>
      </c>
      <c r="W89" s="51" t="n">
        <v>1300</v>
      </c>
      <c r="X89" s="51" t="n">
        <v>0.38</v>
      </c>
    </row>
    <row r="90">
      <c r="A90" s="51" t="inlineStr">
        <is>
          <t>Corncob</t>
        </is>
      </c>
      <c r="B90" s="51" t="n">
        <v>45.88</v>
      </c>
      <c r="C90" s="51" t="n">
        <v>39.4</v>
      </c>
      <c r="D90" s="51" t="n">
        <v>11.32</v>
      </c>
      <c r="E90" s="51" t="n">
        <v>87.76000000000001</v>
      </c>
      <c r="F90" s="51" t="n">
        <v>1.05</v>
      </c>
      <c r="G90" s="51" t="n">
        <v>11.19</v>
      </c>
      <c r="H90" s="51" t="n">
        <v>43.81</v>
      </c>
      <c r="I90" s="51" t="n">
        <v>48.19</v>
      </c>
      <c r="J90" s="51" t="n">
        <v>6.54</v>
      </c>
      <c r="K90" s="51" t="n">
        <v>4</v>
      </c>
      <c r="L90" s="51" t="n">
        <v>1</v>
      </c>
      <c r="M90" s="51" t="n">
        <v>1</v>
      </c>
      <c r="N90" s="51" t="n">
        <v>1</v>
      </c>
      <c r="O90" s="51" t="n">
        <v>4</v>
      </c>
      <c r="P90" s="51" t="n">
        <v>120</v>
      </c>
      <c r="Q90" s="51" t="n">
        <v>5</v>
      </c>
      <c r="R90" s="51" t="n">
        <v>500</v>
      </c>
      <c r="S90" s="51" t="n">
        <v>1</v>
      </c>
      <c r="T90" s="51" t="n">
        <v>5</v>
      </c>
      <c r="U90" s="51" t="n">
        <v>120</v>
      </c>
      <c r="V90" s="51" t="n">
        <v>5</v>
      </c>
      <c r="W90" s="51" t="n">
        <v>1600</v>
      </c>
      <c r="X90" s="51" t="n">
        <v>0.38</v>
      </c>
    </row>
    <row r="91">
      <c r="A91" s="51" t="inlineStr">
        <is>
          <t>Corncob</t>
        </is>
      </c>
      <c r="B91" s="51" t="n">
        <v>45.88</v>
      </c>
      <c r="C91" s="51" t="n">
        <v>39.4</v>
      </c>
      <c r="D91" s="51" t="n">
        <v>11.32</v>
      </c>
      <c r="E91" s="51" t="n">
        <v>87.76000000000001</v>
      </c>
      <c r="F91" s="51" t="n">
        <v>1.05</v>
      </c>
      <c r="G91" s="51" t="n">
        <v>11.19</v>
      </c>
      <c r="H91" s="51" t="n">
        <v>43.81</v>
      </c>
      <c r="I91" s="51" t="n">
        <v>48.19</v>
      </c>
      <c r="J91" s="51" t="n">
        <v>6.54</v>
      </c>
      <c r="K91" s="51" t="n">
        <v>1</v>
      </c>
      <c r="L91" s="51" t="n">
        <v>5</v>
      </c>
      <c r="M91" s="51" t="n">
        <v>0</v>
      </c>
      <c r="N91" s="51" t="n">
        <v>1</v>
      </c>
      <c r="O91" s="51" t="n">
        <v>4</v>
      </c>
      <c r="P91" s="51" t="n">
        <v>120</v>
      </c>
      <c r="Q91" s="51" t="n">
        <v>4</v>
      </c>
      <c r="R91" s="51" t="n">
        <v>1300</v>
      </c>
      <c r="S91" s="51" t="n">
        <v>0</v>
      </c>
      <c r="T91" s="51" t="n">
        <v>5</v>
      </c>
      <c r="U91" s="51" t="n">
        <v>0</v>
      </c>
      <c r="V91" s="51" t="n">
        <v>0</v>
      </c>
      <c r="W91" s="51" t="n">
        <v>0</v>
      </c>
      <c r="X91" s="51" t="n">
        <v>0.383</v>
      </c>
    </row>
    <row r="92">
      <c r="A92" s="51" t="inlineStr">
        <is>
          <t>Corncob</t>
        </is>
      </c>
      <c r="B92" s="51" t="n">
        <v>45.88</v>
      </c>
      <c r="C92" s="51" t="n">
        <v>39.4</v>
      </c>
      <c r="D92" s="51" t="n">
        <v>11.32</v>
      </c>
      <c r="E92" s="51" t="n">
        <v>87.76000000000001</v>
      </c>
      <c r="F92" s="51" t="n">
        <v>1.05</v>
      </c>
      <c r="G92" s="51" t="n">
        <v>11.19</v>
      </c>
      <c r="H92" s="51" t="n">
        <v>43.81</v>
      </c>
      <c r="I92" s="51" t="n">
        <v>48.19</v>
      </c>
      <c r="J92" s="51" t="n">
        <v>6.54</v>
      </c>
      <c r="K92" s="51" t="n">
        <v>4</v>
      </c>
      <c r="L92" s="51" t="n">
        <v>1</v>
      </c>
      <c r="M92" s="51" t="n">
        <v>1</v>
      </c>
      <c r="N92" s="51" t="n">
        <v>1</v>
      </c>
      <c r="O92" s="51" t="n">
        <v>4</v>
      </c>
      <c r="P92" s="51" t="n">
        <v>120</v>
      </c>
      <c r="Q92" s="51" t="n">
        <v>3</v>
      </c>
      <c r="R92" s="51" t="n">
        <v>500</v>
      </c>
      <c r="S92" s="51" t="n">
        <v>1</v>
      </c>
      <c r="T92" s="51" t="n">
        <v>5</v>
      </c>
      <c r="U92" s="51" t="n">
        <v>120</v>
      </c>
      <c r="V92" s="51" t="n">
        <v>5</v>
      </c>
      <c r="W92" s="51" t="n">
        <v>1400</v>
      </c>
      <c r="X92" s="51" t="n">
        <v>0.388</v>
      </c>
    </row>
    <row r="93">
      <c r="A93" s="51" t="inlineStr">
        <is>
          <t>Corncob</t>
        </is>
      </c>
      <c r="B93" s="51" t="n">
        <v>45.88</v>
      </c>
      <c r="C93" s="51" t="n">
        <v>39.4</v>
      </c>
      <c r="D93" s="51" t="n">
        <v>11.32</v>
      </c>
      <c r="E93" s="51" t="n">
        <v>87.76000000000001</v>
      </c>
      <c r="F93" s="51" t="n">
        <v>1.05</v>
      </c>
      <c r="G93" s="51" t="n">
        <v>11.19</v>
      </c>
      <c r="H93" s="51" t="n">
        <v>43.81</v>
      </c>
      <c r="I93" s="51" t="n">
        <v>48.19</v>
      </c>
      <c r="J93" s="51" t="n">
        <v>6.54</v>
      </c>
      <c r="K93" s="51" t="n">
        <v>4</v>
      </c>
      <c r="L93" s="51" t="n">
        <v>1</v>
      </c>
      <c r="M93" s="51" t="n">
        <v>1</v>
      </c>
      <c r="N93" s="51" t="n">
        <v>1</v>
      </c>
      <c r="O93" s="51" t="n">
        <v>4</v>
      </c>
      <c r="P93" s="51" t="n">
        <v>120</v>
      </c>
      <c r="Q93" s="51" t="n">
        <v>5</v>
      </c>
      <c r="R93" s="51" t="n">
        <v>500</v>
      </c>
      <c r="S93" s="51" t="n">
        <v>1</v>
      </c>
      <c r="T93" s="51" t="n">
        <v>5</v>
      </c>
      <c r="U93" s="51" t="n">
        <v>120</v>
      </c>
      <c r="V93" s="51" t="n">
        <v>5</v>
      </c>
      <c r="W93" s="51" t="n">
        <v>1400</v>
      </c>
      <c r="X93" s="51" t="n">
        <v>0.388</v>
      </c>
    </row>
    <row r="94">
      <c r="A94" s="51" t="inlineStr">
        <is>
          <t>Corncob</t>
        </is>
      </c>
      <c r="B94" s="51" t="n">
        <v>45.88</v>
      </c>
      <c r="C94" s="51" t="n">
        <v>39.4</v>
      </c>
      <c r="D94" s="51" t="n">
        <v>11.32</v>
      </c>
      <c r="E94" s="51" t="n">
        <v>87.76000000000001</v>
      </c>
      <c r="F94" s="51" t="n">
        <v>1.05</v>
      </c>
      <c r="G94" s="51" t="n">
        <v>11.19</v>
      </c>
      <c r="H94" s="51" t="n">
        <v>43.81</v>
      </c>
      <c r="I94" s="51" t="n">
        <v>48.19</v>
      </c>
      <c r="J94" s="51" t="n">
        <v>6.54</v>
      </c>
      <c r="K94" s="51" t="n">
        <v>4</v>
      </c>
      <c r="L94" s="51" t="n">
        <v>1</v>
      </c>
      <c r="M94" s="51" t="n">
        <v>1</v>
      </c>
      <c r="N94" s="51" t="n">
        <v>1</v>
      </c>
      <c r="O94" s="51" t="n">
        <v>4</v>
      </c>
      <c r="P94" s="51" t="n">
        <v>120</v>
      </c>
      <c r="Q94" s="51" t="n">
        <v>5</v>
      </c>
      <c r="R94" s="51" t="n">
        <v>500</v>
      </c>
      <c r="S94" s="51" t="n">
        <v>1</v>
      </c>
      <c r="T94" s="51" t="n">
        <v>5</v>
      </c>
      <c r="U94" s="51" t="n">
        <v>120</v>
      </c>
      <c r="V94" s="51" t="n">
        <v>5</v>
      </c>
      <c r="W94" s="51" t="n">
        <v>1200</v>
      </c>
      <c r="X94" s="51" t="n">
        <v>0.391</v>
      </c>
    </row>
    <row r="95">
      <c r="A95" s="51" t="inlineStr">
        <is>
          <t>Corncob</t>
        </is>
      </c>
      <c r="B95" s="51" t="n">
        <v>45.88</v>
      </c>
      <c r="C95" s="51" t="n">
        <v>39.4</v>
      </c>
      <c r="D95" s="51" t="n">
        <v>11.32</v>
      </c>
      <c r="E95" s="51" t="n">
        <v>87.76000000000001</v>
      </c>
      <c r="F95" s="51" t="n">
        <v>1.05</v>
      </c>
      <c r="G95" s="51" t="n">
        <v>11.19</v>
      </c>
      <c r="H95" s="51" t="n">
        <v>43.81</v>
      </c>
      <c r="I95" s="51" t="n">
        <v>48.19</v>
      </c>
      <c r="J95" s="51" t="n">
        <v>6.54</v>
      </c>
      <c r="K95" s="51" t="n">
        <v>4</v>
      </c>
      <c r="L95" s="51" t="n">
        <v>1</v>
      </c>
      <c r="M95" s="51" t="n">
        <v>1</v>
      </c>
      <c r="N95" s="51" t="n">
        <v>1</v>
      </c>
      <c r="O95" s="51" t="n">
        <v>4</v>
      </c>
      <c r="P95" s="51" t="n">
        <v>120</v>
      </c>
      <c r="Q95" s="51" t="n">
        <v>3</v>
      </c>
      <c r="R95" s="51" t="n">
        <v>500</v>
      </c>
      <c r="S95" s="51" t="n">
        <v>1</v>
      </c>
      <c r="T95" s="51" t="n">
        <v>5</v>
      </c>
      <c r="U95" s="51" t="n">
        <v>120</v>
      </c>
      <c r="V95" s="51" t="n">
        <v>5</v>
      </c>
      <c r="W95" s="51" t="n">
        <v>1200</v>
      </c>
      <c r="X95" s="51" t="n">
        <v>0.396</v>
      </c>
    </row>
    <row r="96">
      <c r="A96" s="51" t="inlineStr">
        <is>
          <t>Corncob</t>
        </is>
      </c>
      <c r="B96" s="51" t="n">
        <v>45.88</v>
      </c>
      <c r="C96" s="51" t="n">
        <v>39.4</v>
      </c>
      <c r="D96" s="51" t="n">
        <v>11.32</v>
      </c>
      <c r="E96" s="51" t="n">
        <v>87.76000000000001</v>
      </c>
      <c r="F96" s="51" t="n">
        <v>1.05</v>
      </c>
      <c r="G96" s="51" t="n">
        <v>11.19</v>
      </c>
      <c r="H96" s="51" t="n">
        <v>43.81</v>
      </c>
      <c r="I96" s="51" t="n">
        <v>48.19</v>
      </c>
      <c r="J96" s="51" t="n">
        <v>6.54</v>
      </c>
      <c r="K96" s="51" t="n">
        <v>4</v>
      </c>
      <c r="L96" s="51" t="n">
        <v>1</v>
      </c>
      <c r="M96" s="51" t="n">
        <v>1</v>
      </c>
      <c r="N96" s="51" t="n">
        <v>1</v>
      </c>
      <c r="O96" s="51" t="n">
        <v>4</v>
      </c>
      <c r="P96" s="51" t="n">
        <v>120</v>
      </c>
      <c r="Q96" s="51" t="n">
        <v>5</v>
      </c>
      <c r="R96" s="51" t="n">
        <v>500</v>
      </c>
      <c r="S96" s="51" t="n">
        <v>1</v>
      </c>
      <c r="T96" s="51" t="n">
        <v>5</v>
      </c>
      <c r="U96" s="51" t="n">
        <v>120</v>
      </c>
      <c r="V96" s="51" t="n">
        <v>5</v>
      </c>
      <c r="W96" s="51" t="n">
        <v>1000</v>
      </c>
      <c r="X96" s="51" t="n">
        <v>0.396</v>
      </c>
    </row>
    <row r="97">
      <c r="A97" s="51" t="inlineStr">
        <is>
          <t>Corncob</t>
        </is>
      </c>
      <c r="B97" s="51" t="n">
        <v>45.88</v>
      </c>
      <c r="C97" s="51" t="n">
        <v>39.4</v>
      </c>
      <c r="D97" s="51" t="n">
        <v>11.32</v>
      </c>
      <c r="E97" s="51" t="n">
        <v>87.76000000000001</v>
      </c>
      <c r="F97" s="51" t="n">
        <v>1.05</v>
      </c>
      <c r="G97" s="51" t="n">
        <v>11.19</v>
      </c>
      <c r="H97" s="51" t="n">
        <v>43.81</v>
      </c>
      <c r="I97" s="51" t="n">
        <v>48.19</v>
      </c>
      <c r="J97" s="51" t="n">
        <v>6.54</v>
      </c>
      <c r="K97" s="51" t="n">
        <v>4</v>
      </c>
      <c r="L97" s="51" t="n">
        <v>1</v>
      </c>
      <c r="M97" s="51" t="n">
        <v>1</v>
      </c>
      <c r="N97" s="51" t="n">
        <v>1</v>
      </c>
      <c r="O97" s="51" t="n">
        <v>4</v>
      </c>
      <c r="P97" s="51" t="n">
        <v>120</v>
      </c>
      <c r="Q97" s="51" t="n">
        <v>3</v>
      </c>
      <c r="R97" s="51" t="n">
        <v>500</v>
      </c>
      <c r="S97" s="51" t="n">
        <v>1</v>
      </c>
      <c r="T97" s="51" t="n">
        <v>5</v>
      </c>
      <c r="U97" s="51" t="n">
        <v>120</v>
      </c>
      <c r="V97" s="51" t="n">
        <v>5</v>
      </c>
      <c r="W97" s="51" t="n">
        <v>1000</v>
      </c>
      <c r="X97" s="51" t="n">
        <v>0.403</v>
      </c>
    </row>
    <row r="98">
      <c r="A98" s="51" t="inlineStr">
        <is>
          <t>Corncob</t>
        </is>
      </c>
      <c r="B98" s="51" t="n">
        <v>45.88</v>
      </c>
      <c r="C98" s="51" t="n">
        <v>39.4</v>
      </c>
      <c r="D98" s="51" t="n">
        <v>11.32</v>
      </c>
      <c r="E98" s="51" t="n">
        <v>87.76000000000001</v>
      </c>
      <c r="F98" s="51" t="n">
        <v>1.05</v>
      </c>
      <c r="G98" s="51" t="n">
        <v>11.19</v>
      </c>
      <c r="H98" s="51" t="n">
        <v>43.81</v>
      </c>
      <c r="I98" s="51" t="n">
        <v>48.19</v>
      </c>
      <c r="J98" s="51" t="n">
        <v>6.54</v>
      </c>
      <c r="K98" s="51" t="n">
        <v>4</v>
      </c>
      <c r="L98" s="51" t="n">
        <v>1</v>
      </c>
      <c r="M98" s="51" t="n">
        <v>1</v>
      </c>
      <c r="N98" s="51" t="n">
        <v>1</v>
      </c>
      <c r="O98" s="51" t="n">
        <v>4</v>
      </c>
      <c r="P98" s="51" t="n">
        <v>120</v>
      </c>
      <c r="Q98" s="51" t="n">
        <v>3</v>
      </c>
      <c r="R98" s="51" t="n">
        <v>500</v>
      </c>
      <c r="S98" s="51" t="n">
        <v>1</v>
      </c>
      <c r="T98" s="51" t="n">
        <v>5</v>
      </c>
      <c r="U98" s="51" t="n">
        <v>120</v>
      </c>
      <c r="V98" s="51" t="n">
        <v>5</v>
      </c>
      <c r="W98" s="51" t="n">
        <v>1600</v>
      </c>
      <c r="X98" s="51" t="n">
        <v>0.441</v>
      </c>
    </row>
    <row r="99">
      <c r="A99" s="51" t="inlineStr">
        <is>
          <t>Cotton</t>
        </is>
      </c>
      <c r="B99" s="51" t="n">
        <v>26.9</v>
      </c>
      <c r="C99" s="51" t="n">
        <v>19.1</v>
      </c>
      <c r="D99" s="51" t="n">
        <v>22</v>
      </c>
      <c r="E99" s="51" t="n">
        <v>69.27</v>
      </c>
      <c r="F99" s="51" t="n">
        <v>13.95</v>
      </c>
      <c r="G99" s="51" t="n">
        <v>6.19</v>
      </c>
      <c r="H99" s="51" t="n">
        <v>42.21</v>
      </c>
      <c r="I99" s="51" t="n">
        <v>51.01</v>
      </c>
      <c r="J99" s="51" t="n">
        <v>5.59</v>
      </c>
      <c r="K99" s="51" t="n">
        <v>4</v>
      </c>
      <c r="L99" s="51" t="n">
        <v>5</v>
      </c>
      <c r="M99" s="51" t="n">
        <v>0</v>
      </c>
      <c r="N99" s="51" t="n">
        <v>1</v>
      </c>
      <c r="O99" s="51" t="n">
        <v>4</v>
      </c>
      <c r="P99" s="51" t="n">
        <v>120</v>
      </c>
      <c r="Q99" s="51" t="n">
        <v>4.37303928693074</v>
      </c>
      <c r="R99" s="51" t="n">
        <v>1000</v>
      </c>
      <c r="S99" s="51" t="n">
        <v>0</v>
      </c>
      <c r="T99" s="51" t="n">
        <v>5</v>
      </c>
      <c r="U99" s="51" t="n">
        <v>0</v>
      </c>
      <c r="V99" s="51" t="n">
        <v>0</v>
      </c>
      <c r="W99" s="51" t="n">
        <v>0</v>
      </c>
      <c r="X99" s="51" t="n">
        <v>0.414</v>
      </c>
    </row>
    <row r="100">
      <c r="A100" s="51" t="inlineStr">
        <is>
          <t>Cotton</t>
        </is>
      </c>
      <c r="B100" s="51" t="n">
        <v>26.9</v>
      </c>
      <c r="C100" s="51" t="n">
        <v>19.1</v>
      </c>
      <c r="D100" s="51" t="n">
        <v>22</v>
      </c>
      <c r="E100" s="51" t="n">
        <v>69.27</v>
      </c>
      <c r="F100" s="51" t="n">
        <v>13.95</v>
      </c>
      <c r="G100" s="51" t="n">
        <v>6.19</v>
      </c>
      <c r="H100" s="51" t="n">
        <v>42.21</v>
      </c>
      <c r="I100" s="51" t="n">
        <v>51.01</v>
      </c>
      <c r="J100" s="51" t="n">
        <v>5.59</v>
      </c>
      <c r="K100" s="51" t="n">
        <v>4</v>
      </c>
      <c r="L100" s="51" t="n">
        <v>5</v>
      </c>
      <c r="M100" s="51" t="n">
        <v>0</v>
      </c>
      <c r="N100" s="51" t="n">
        <v>1</v>
      </c>
      <c r="O100" s="51" t="n">
        <v>4</v>
      </c>
      <c r="P100" s="51" t="n">
        <v>120</v>
      </c>
      <c r="Q100" s="51" t="n">
        <v>4.56054439435053</v>
      </c>
      <c r="R100" s="51" t="n">
        <v>1300</v>
      </c>
      <c r="S100" s="51" t="n">
        <v>0</v>
      </c>
      <c r="T100" s="51" t="n">
        <v>5</v>
      </c>
      <c r="U100" s="51" t="n">
        <v>0</v>
      </c>
      <c r="V100" s="51" t="n">
        <v>0</v>
      </c>
      <c r="W100" s="51" t="n">
        <v>0</v>
      </c>
      <c r="X100" s="51" t="n">
        <v>0.41</v>
      </c>
    </row>
    <row r="101">
      <c r="A101" s="51" t="inlineStr">
        <is>
          <t>Cotton</t>
        </is>
      </c>
      <c r="B101" s="51" t="n">
        <v>26.9</v>
      </c>
      <c r="C101" s="51" t="n">
        <v>19.1</v>
      </c>
      <c r="D101" s="51" t="n">
        <v>22</v>
      </c>
      <c r="E101" s="51" t="n">
        <v>69.27</v>
      </c>
      <c r="F101" s="51" t="n">
        <v>13.95</v>
      </c>
      <c r="G101" s="51" t="n">
        <v>6.19</v>
      </c>
      <c r="H101" s="51" t="n">
        <v>42.21</v>
      </c>
      <c r="I101" s="51" t="n">
        <v>51.01</v>
      </c>
      <c r="J101" s="51" t="n">
        <v>5.59</v>
      </c>
      <c r="K101" s="51" t="n">
        <v>4</v>
      </c>
      <c r="L101" s="51" t="n">
        <v>5</v>
      </c>
      <c r="M101" s="51" t="n">
        <v>0</v>
      </c>
      <c r="N101" s="51" t="n">
        <v>1</v>
      </c>
      <c r="O101" s="51" t="n">
        <v>4</v>
      </c>
      <c r="P101" s="51" t="n">
        <v>120</v>
      </c>
      <c r="Q101" s="51" t="n">
        <v>3.95339760195475</v>
      </c>
      <c r="R101" s="51" t="n">
        <v>1600</v>
      </c>
      <c r="S101" s="51" t="n">
        <v>0</v>
      </c>
      <c r="T101" s="51" t="n">
        <v>5</v>
      </c>
      <c r="U101" s="51" t="n">
        <v>0</v>
      </c>
      <c r="V101" s="51" t="n">
        <v>0</v>
      </c>
      <c r="W101" s="51" t="n">
        <v>0</v>
      </c>
      <c r="X101" s="51" t="n">
        <v>0.402</v>
      </c>
    </row>
    <row r="102">
      <c r="A102" s="51" t="inlineStr">
        <is>
          <t>Cucumber stem</t>
        </is>
      </c>
      <c r="B102" s="51" t="n">
        <v>16.13</v>
      </c>
      <c r="C102" s="51" t="n">
        <v>4.33</v>
      </c>
      <c r="D102" s="51" t="n">
        <v>4.51</v>
      </c>
      <c r="E102" s="51" t="n">
        <v>74.7828166810701</v>
      </c>
      <c r="F102" s="51" t="n">
        <v>6.35305071152325</v>
      </c>
      <c r="G102" s="51" t="n">
        <v>15.8378557285207</v>
      </c>
      <c r="H102" s="51" t="n">
        <v>47.3664558944195</v>
      </c>
      <c r="I102" s="51" t="n">
        <v>41.6990172190391</v>
      </c>
      <c r="J102" s="51" t="n">
        <v>5.88765023788926</v>
      </c>
      <c r="K102" s="51" t="n">
        <v>4</v>
      </c>
      <c r="L102" s="51" t="n">
        <v>1</v>
      </c>
      <c r="M102" s="51" t="n">
        <v>1</v>
      </c>
      <c r="N102" s="51" t="n">
        <v>0</v>
      </c>
      <c r="O102" s="51" t="n">
        <v>4</v>
      </c>
      <c r="P102" s="51" t="n">
        <v>360</v>
      </c>
      <c r="Q102" s="51" t="n">
        <v>5</v>
      </c>
      <c r="R102" s="51" t="n">
        <v>150</v>
      </c>
      <c r="S102" s="51" t="n">
        <v>1</v>
      </c>
      <c r="T102" s="51" t="n">
        <v>5</v>
      </c>
      <c r="U102" s="51" t="n">
        <v>120</v>
      </c>
      <c r="V102" s="51" t="n">
        <v>5</v>
      </c>
      <c r="W102" s="51" t="n">
        <v>1000</v>
      </c>
      <c r="X102" s="51" t="n">
        <v>0.369</v>
      </c>
    </row>
    <row r="103">
      <c r="A103" s="51" t="inlineStr">
        <is>
          <t>Cucumber stem</t>
        </is>
      </c>
      <c r="B103" s="51" t="n">
        <v>16.13</v>
      </c>
      <c r="C103" s="51" t="n">
        <v>4.33</v>
      </c>
      <c r="D103" s="51" t="n">
        <v>4.51</v>
      </c>
      <c r="E103" s="51" t="n">
        <v>74.7828166810701</v>
      </c>
      <c r="F103" s="51" t="n">
        <v>6.35305071152325</v>
      </c>
      <c r="G103" s="51" t="n">
        <v>15.8378557285207</v>
      </c>
      <c r="H103" s="51" t="n">
        <v>47.3664558944195</v>
      </c>
      <c r="I103" s="51" t="n">
        <v>41.6990172190391</v>
      </c>
      <c r="J103" s="51" t="n">
        <v>5.88765023788926</v>
      </c>
      <c r="K103" s="51" t="n">
        <v>4</v>
      </c>
      <c r="L103" s="51" t="n">
        <v>2</v>
      </c>
      <c r="M103" s="51" t="n">
        <v>1</v>
      </c>
      <c r="N103" s="51" t="n">
        <v>1</v>
      </c>
      <c r="O103" s="51" t="n">
        <v>4</v>
      </c>
      <c r="P103" s="51" t="n">
        <v>120</v>
      </c>
      <c r="Q103" s="51" t="n">
        <v>5</v>
      </c>
      <c r="R103" s="51" t="n">
        <v>600</v>
      </c>
      <c r="S103" s="51" t="n">
        <v>1</v>
      </c>
      <c r="T103" s="51" t="n">
        <v>5</v>
      </c>
      <c r="U103" s="51" t="n">
        <v>120</v>
      </c>
      <c r="V103" s="51" t="n">
        <v>5</v>
      </c>
      <c r="W103" s="51" t="n">
        <v>1100</v>
      </c>
      <c r="X103" s="51" t="n">
        <v>0.38</v>
      </c>
    </row>
    <row r="104">
      <c r="A104" s="51" t="inlineStr">
        <is>
          <t>Cucumber stem</t>
        </is>
      </c>
      <c r="B104" s="51" t="n">
        <v>16.13</v>
      </c>
      <c r="C104" s="51" t="n">
        <v>4.33</v>
      </c>
      <c r="D104" s="51" t="n">
        <v>4.51</v>
      </c>
      <c r="E104" s="51" t="n">
        <v>74.7828166810701</v>
      </c>
      <c r="F104" s="51" t="n">
        <v>6.35305071152325</v>
      </c>
      <c r="G104" s="51" t="n">
        <v>15.8378557285207</v>
      </c>
      <c r="H104" s="51" t="n">
        <v>47.3664558944195</v>
      </c>
      <c r="I104" s="51" t="n">
        <v>41.6990172190391</v>
      </c>
      <c r="J104" s="51" t="n">
        <v>5.88765023788926</v>
      </c>
      <c r="K104" s="51" t="n">
        <v>4</v>
      </c>
      <c r="L104" s="51" t="n">
        <v>2</v>
      </c>
      <c r="M104" s="51" t="n">
        <v>1</v>
      </c>
      <c r="N104" s="51" t="n">
        <v>1</v>
      </c>
      <c r="O104" s="51" t="n">
        <v>4</v>
      </c>
      <c r="P104" s="51" t="n">
        <v>120</v>
      </c>
      <c r="Q104" s="51" t="n">
        <v>5</v>
      </c>
      <c r="R104" s="51" t="n">
        <v>600</v>
      </c>
      <c r="S104" s="51" t="n">
        <v>1</v>
      </c>
      <c r="T104" s="51" t="n">
        <v>5</v>
      </c>
      <c r="U104" s="51" t="n">
        <v>120</v>
      </c>
      <c r="V104" s="51" t="n">
        <v>5</v>
      </c>
      <c r="W104" s="51" t="n">
        <v>1000</v>
      </c>
      <c r="X104" s="51" t="n">
        <v>0.383</v>
      </c>
    </row>
    <row r="105">
      <c r="A105" s="51" t="inlineStr">
        <is>
          <t>Cucumber stem</t>
        </is>
      </c>
      <c r="B105" s="51" t="n">
        <v>16.13</v>
      </c>
      <c r="C105" s="51" t="n">
        <v>4.33</v>
      </c>
      <c r="D105" s="51" t="n">
        <v>4.51</v>
      </c>
      <c r="E105" s="51" t="n">
        <v>74.7828166810701</v>
      </c>
      <c r="F105" s="51" t="n">
        <v>6.35305071152325</v>
      </c>
      <c r="G105" s="51" t="n">
        <v>15.8378557285207</v>
      </c>
      <c r="H105" s="51" t="n">
        <v>47.3664558944195</v>
      </c>
      <c r="I105" s="51" t="n">
        <v>41.6990172190391</v>
      </c>
      <c r="J105" s="51" t="n">
        <v>5.88765023788926</v>
      </c>
      <c r="K105" s="51" t="n">
        <v>4</v>
      </c>
      <c r="L105" s="51" t="n">
        <v>2</v>
      </c>
      <c r="M105" s="51" t="n">
        <v>1</v>
      </c>
      <c r="N105" s="51" t="n">
        <v>1</v>
      </c>
      <c r="O105" s="51" t="n">
        <v>4</v>
      </c>
      <c r="P105" s="51" t="n">
        <v>120</v>
      </c>
      <c r="Q105" s="51" t="n">
        <v>5</v>
      </c>
      <c r="R105" s="51" t="n">
        <v>600</v>
      </c>
      <c r="S105" s="51" t="n">
        <v>1</v>
      </c>
      <c r="T105" s="51" t="n">
        <v>5</v>
      </c>
      <c r="U105" s="51" t="n">
        <v>120</v>
      </c>
      <c r="V105" s="51" t="n">
        <v>5</v>
      </c>
      <c r="W105" s="51" t="n">
        <v>900</v>
      </c>
      <c r="X105" s="51" t="n">
        <v>0.387</v>
      </c>
    </row>
    <row r="106">
      <c r="A106" s="51" t="inlineStr">
        <is>
          <t>Cucumber stem</t>
        </is>
      </c>
      <c r="B106" s="51" t="n">
        <v>16.13</v>
      </c>
      <c r="C106" s="51" t="n">
        <v>4.33</v>
      </c>
      <c r="D106" s="51" t="n">
        <v>4.51</v>
      </c>
      <c r="E106" s="51" t="n">
        <v>74.7828166810701</v>
      </c>
      <c r="F106" s="51" t="n">
        <v>6.35305071152325</v>
      </c>
      <c r="G106" s="51" t="n">
        <v>15.8378557285207</v>
      </c>
      <c r="H106" s="51" t="n">
        <v>47.3664558944195</v>
      </c>
      <c r="I106" s="51" t="n">
        <v>41.6990172190391</v>
      </c>
      <c r="J106" s="51" t="n">
        <v>5.88765023788926</v>
      </c>
      <c r="K106" s="51" t="n">
        <v>4</v>
      </c>
      <c r="L106" s="51" t="n">
        <v>2</v>
      </c>
      <c r="M106" s="51" t="n">
        <v>1</v>
      </c>
      <c r="N106" s="51" t="n">
        <v>1</v>
      </c>
      <c r="O106" s="51" t="n">
        <v>4</v>
      </c>
      <c r="P106" s="51" t="n">
        <v>120</v>
      </c>
      <c r="Q106" s="51" t="n">
        <v>5</v>
      </c>
      <c r="R106" s="51" t="n">
        <v>600</v>
      </c>
      <c r="S106" s="51" t="n">
        <v>1</v>
      </c>
      <c r="T106" s="51" t="n">
        <v>5</v>
      </c>
      <c r="U106" s="51" t="n">
        <v>120</v>
      </c>
      <c r="V106" s="51" t="n">
        <v>5</v>
      </c>
      <c r="W106" s="51" t="n">
        <v>800</v>
      </c>
      <c r="X106" s="51" t="n">
        <v>0.391</v>
      </c>
    </row>
    <row r="107">
      <c r="A107" s="51" t="inlineStr">
        <is>
          <t>Date palm pulp</t>
        </is>
      </c>
      <c r="B107" s="51" t="n">
        <v>24.9</v>
      </c>
      <c r="C107" s="51" t="n">
        <v>27.8</v>
      </c>
      <c r="D107" s="51" t="n">
        <v>22.6</v>
      </c>
      <c r="E107" s="51" t="n">
        <v>24.33</v>
      </c>
      <c r="F107" s="51" t="n">
        <v>3.02</v>
      </c>
      <c r="G107" s="51" t="n">
        <v>9.77</v>
      </c>
      <c r="H107" s="51" t="n">
        <v>94.09999999999999</v>
      </c>
      <c r="I107" s="51" t="n">
        <v>1.51</v>
      </c>
      <c r="J107" s="51" t="n">
        <v>0.25</v>
      </c>
      <c r="K107" s="51" t="n">
        <v>6</v>
      </c>
      <c r="L107" s="51" t="n">
        <v>5</v>
      </c>
      <c r="M107" s="51" t="n">
        <v>0</v>
      </c>
      <c r="N107" s="51" t="n">
        <v>1</v>
      </c>
      <c r="O107" s="51" t="n">
        <v>4</v>
      </c>
      <c r="P107" s="51" t="n">
        <v>60</v>
      </c>
      <c r="Q107" s="51" t="n">
        <v>5</v>
      </c>
      <c r="R107" s="51" t="n">
        <v>1400</v>
      </c>
      <c r="S107" s="51" t="n">
        <v>0</v>
      </c>
      <c r="T107" s="51" t="n">
        <v>5</v>
      </c>
      <c r="U107" s="51" t="n">
        <v>0</v>
      </c>
      <c r="V107" s="51" t="n">
        <v>0</v>
      </c>
      <c r="W107" s="51" t="n">
        <v>0</v>
      </c>
      <c r="X107" s="51" t="n">
        <v>0.376</v>
      </c>
    </row>
    <row r="108">
      <c r="A108" s="51" t="inlineStr">
        <is>
          <t>Date palm pulp</t>
        </is>
      </c>
      <c r="B108" s="51" t="n">
        <v>24.9</v>
      </c>
      <c r="C108" s="51" t="n">
        <v>27.8</v>
      </c>
      <c r="D108" s="51" t="n">
        <v>22.6</v>
      </c>
      <c r="E108" s="51" t="n">
        <v>24.33</v>
      </c>
      <c r="F108" s="51" t="n">
        <v>3.02</v>
      </c>
      <c r="G108" s="51" t="n">
        <v>9.77</v>
      </c>
      <c r="H108" s="51" t="n">
        <v>94.09999999999999</v>
      </c>
      <c r="I108" s="51" t="n">
        <v>1.51</v>
      </c>
      <c r="J108" s="51" t="n">
        <v>0.25</v>
      </c>
      <c r="K108" s="51" t="n">
        <v>6</v>
      </c>
      <c r="L108" s="51" t="n">
        <v>5</v>
      </c>
      <c r="M108" s="51" t="n">
        <v>0</v>
      </c>
      <c r="N108" s="51" t="n">
        <v>1</v>
      </c>
      <c r="O108" s="51" t="n">
        <v>4</v>
      </c>
      <c r="P108" s="51" t="n">
        <v>60</v>
      </c>
      <c r="Q108" s="51" t="n">
        <v>5</v>
      </c>
      <c r="R108" s="51" t="n">
        <v>1300</v>
      </c>
      <c r="S108" s="51" t="n">
        <v>0</v>
      </c>
      <c r="T108" s="51" t="n">
        <v>5</v>
      </c>
      <c r="U108" s="51" t="n">
        <v>0</v>
      </c>
      <c r="V108" s="51" t="n">
        <v>0</v>
      </c>
      <c r="W108" s="51" t="n">
        <v>0</v>
      </c>
      <c r="X108" s="51" t="n">
        <v>0.379</v>
      </c>
    </row>
    <row r="109">
      <c r="A109" s="51" t="inlineStr">
        <is>
          <t>Date palm pulp</t>
        </is>
      </c>
      <c r="B109" s="51" t="n">
        <v>24.9</v>
      </c>
      <c r="C109" s="51" t="n">
        <v>27.8</v>
      </c>
      <c r="D109" s="51" t="n">
        <v>22.6</v>
      </c>
      <c r="E109" s="51" t="n">
        <v>24.33</v>
      </c>
      <c r="F109" s="51" t="n">
        <v>3.02</v>
      </c>
      <c r="G109" s="51" t="n">
        <v>9.77</v>
      </c>
      <c r="H109" s="51" t="n">
        <v>94.09999999999999</v>
      </c>
      <c r="I109" s="51" t="n">
        <v>1.51</v>
      </c>
      <c r="J109" s="51" t="n">
        <v>0.25</v>
      </c>
      <c r="K109" s="51" t="n">
        <v>6</v>
      </c>
      <c r="L109" s="51" t="n">
        <v>5</v>
      </c>
      <c r="M109" s="51" t="n">
        <v>0</v>
      </c>
      <c r="N109" s="51" t="n">
        <v>1</v>
      </c>
      <c r="O109" s="51" t="n">
        <v>4</v>
      </c>
      <c r="P109" s="51" t="n">
        <v>60</v>
      </c>
      <c r="Q109" s="51" t="n">
        <v>5</v>
      </c>
      <c r="R109" s="51" t="n">
        <v>800</v>
      </c>
      <c r="S109" s="51" t="n">
        <v>0</v>
      </c>
      <c r="T109" s="51" t="n">
        <v>5</v>
      </c>
      <c r="U109" s="51" t="n">
        <v>0</v>
      </c>
      <c r="V109" s="51" t="n">
        <v>0</v>
      </c>
      <c r="W109" s="51" t="n">
        <v>0</v>
      </c>
      <c r="X109" s="51" t="n">
        <v>0.382</v>
      </c>
    </row>
    <row r="110">
      <c r="A110" s="51" t="inlineStr">
        <is>
          <t>Date palm pulp</t>
        </is>
      </c>
      <c r="B110" s="51" t="n">
        <v>24.9</v>
      </c>
      <c r="C110" s="51" t="n">
        <v>27.8</v>
      </c>
      <c r="D110" s="51" t="n">
        <v>22.6</v>
      </c>
      <c r="E110" s="51" t="n">
        <v>24.33</v>
      </c>
      <c r="F110" s="51" t="n">
        <v>3.02</v>
      </c>
      <c r="G110" s="51" t="n">
        <v>9.77</v>
      </c>
      <c r="H110" s="51" t="n">
        <v>94.09999999999999</v>
      </c>
      <c r="I110" s="51" t="n">
        <v>1.51</v>
      </c>
      <c r="J110" s="51" t="n">
        <v>0.25</v>
      </c>
      <c r="K110" s="51" t="n">
        <v>6</v>
      </c>
      <c r="L110" s="51" t="n">
        <v>5</v>
      </c>
      <c r="M110" s="51" t="n">
        <v>0</v>
      </c>
      <c r="N110" s="51" t="n">
        <v>1</v>
      </c>
      <c r="O110" s="51" t="n">
        <v>4</v>
      </c>
      <c r="P110" s="51" t="n">
        <v>60</v>
      </c>
      <c r="Q110" s="51" t="n">
        <v>5</v>
      </c>
      <c r="R110" s="51" t="n">
        <v>1200</v>
      </c>
      <c r="S110" s="51" t="n">
        <v>0</v>
      </c>
      <c r="T110" s="51" t="n">
        <v>5</v>
      </c>
      <c r="U110" s="51" t="n">
        <v>0</v>
      </c>
      <c r="V110" s="51" t="n">
        <v>0</v>
      </c>
      <c r="W110" s="51" t="n">
        <v>0</v>
      </c>
      <c r="X110" s="51" t="n">
        <v>0.383</v>
      </c>
    </row>
    <row r="111">
      <c r="A111" s="51" t="inlineStr">
        <is>
          <t>Date palm pulp</t>
        </is>
      </c>
      <c r="B111" s="51" t="n">
        <v>24.9</v>
      </c>
      <c r="C111" s="51" t="n">
        <v>27.8</v>
      </c>
      <c r="D111" s="51" t="n">
        <v>22.6</v>
      </c>
      <c r="E111" s="51" t="n">
        <v>24.33</v>
      </c>
      <c r="F111" s="51" t="n">
        <v>3.02</v>
      </c>
      <c r="G111" s="51" t="n">
        <v>9.77</v>
      </c>
      <c r="H111" s="51" t="n">
        <v>94.09999999999999</v>
      </c>
      <c r="I111" s="51" t="n">
        <v>1.51</v>
      </c>
      <c r="J111" s="51" t="n">
        <v>0.25</v>
      </c>
      <c r="K111" s="51" t="n">
        <v>6</v>
      </c>
      <c r="L111" s="51" t="n">
        <v>5</v>
      </c>
      <c r="M111" s="51" t="n">
        <v>0</v>
      </c>
      <c r="N111" s="51" t="n">
        <v>1</v>
      </c>
      <c r="O111" s="51" t="n">
        <v>4</v>
      </c>
      <c r="P111" s="51" t="n">
        <v>60</v>
      </c>
      <c r="Q111" s="51" t="n">
        <v>5</v>
      </c>
      <c r="R111" s="51" t="n">
        <v>1000</v>
      </c>
      <c r="S111" s="51" t="n">
        <v>0</v>
      </c>
      <c r="T111" s="51" t="n">
        <v>5</v>
      </c>
      <c r="U111" s="51" t="n">
        <v>0</v>
      </c>
      <c r="V111" s="51" t="n">
        <v>0</v>
      </c>
      <c r="W111" s="51" t="n">
        <v>0</v>
      </c>
      <c r="X111" s="51" t="n">
        <v>0.385</v>
      </c>
    </row>
    <row r="112">
      <c r="A112" s="51" t="inlineStr">
        <is>
          <t>Date palm seed</t>
        </is>
      </c>
      <c r="B112" s="51" t="n">
        <v>23.9</v>
      </c>
      <c r="C112" s="51" t="n">
        <v>26.8</v>
      </c>
      <c r="D112" s="51" t="n">
        <v>21.6</v>
      </c>
      <c r="E112" s="51" t="n">
        <v>75.09999999999999</v>
      </c>
      <c r="F112" s="51" t="n">
        <v>9.800000000000001</v>
      </c>
      <c r="G112" s="51" t="n">
        <v>8.1</v>
      </c>
      <c r="H112" s="51" t="n">
        <v>44.1</v>
      </c>
      <c r="I112" s="51" t="n">
        <v>48.3</v>
      </c>
      <c r="J112" s="51" t="n">
        <v>6.1</v>
      </c>
      <c r="K112" s="51" t="n">
        <v>6</v>
      </c>
      <c r="L112" s="51" t="n">
        <v>5</v>
      </c>
      <c r="M112" s="51" t="n">
        <v>0</v>
      </c>
      <c r="N112" s="51" t="n">
        <v>1</v>
      </c>
      <c r="O112" s="51" t="n">
        <v>4</v>
      </c>
      <c r="P112" s="51" t="n">
        <v>60</v>
      </c>
      <c r="Q112" s="51" t="n">
        <v>5</v>
      </c>
      <c r="R112" s="51" t="n">
        <v>1400</v>
      </c>
      <c r="S112" s="51" t="n">
        <v>0</v>
      </c>
      <c r="T112" s="51" t="n">
        <v>5</v>
      </c>
      <c r="U112" s="51" t="n">
        <v>0</v>
      </c>
      <c r="V112" s="51" t="n">
        <v>0</v>
      </c>
      <c r="W112" s="51" t="n">
        <v>0</v>
      </c>
      <c r="X112" s="51" t="n">
        <v>0.371</v>
      </c>
    </row>
    <row r="113">
      <c r="A113" s="51" t="inlineStr">
        <is>
          <t>Date palm seed</t>
        </is>
      </c>
      <c r="B113" s="51" t="n">
        <v>23.9</v>
      </c>
      <c r="C113" s="51" t="n">
        <v>26.8</v>
      </c>
      <c r="D113" s="51" t="n">
        <v>21.6</v>
      </c>
      <c r="E113" s="51" t="n">
        <v>75.09999999999999</v>
      </c>
      <c r="F113" s="51" t="n">
        <v>9.800000000000001</v>
      </c>
      <c r="G113" s="51" t="n">
        <v>8.1</v>
      </c>
      <c r="H113" s="51" t="n">
        <v>44.1</v>
      </c>
      <c r="I113" s="51" t="n">
        <v>48.3</v>
      </c>
      <c r="J113" s="51" t="n">
        <v>6.1</v>
      </c>
      <c r="K113" s="51" t="n">
        <v>6</v>
      </c>
      <c r="L113" s="51" t="n">
        <v>5</v>
      </c>
      <c r="M113" s="51" t="n">
        <v>0</v>
      </c>
      <c r="N113" s="51" t="n">
        <v>1</v>
      </c>
      <c r="O113" s="51" t="n">
        <v>4</v>
      </c>
      <c r="P113" s="51" t="n">
        <v>60</v>
      </c>
      <c r="Q113" s="51" t="n">
        <v>5</v>
      </c>
      <c r="R113" s="51" t="n">
        <v>1300</v>
      </c>
      <c r="S113" s="51" t="n">
        <v>0</v>
      </c>
      <c r="T113" s="51" t="n">
        <v>5</v>
      </c>
      <c r="U113" s="51" t="n">
        <v>0</v>
      </c>
      <c r="V113" s="51" t="n">
        <v>0</v>
      </c>
      <c r="W113" s="51" t="n">
        <v>0</v>
      </c>
      <c r="X113" s="51" t="n">
        <v>0.376</v>
      </c>
    </row>
    <row r="114">
      <c r="A114" s="51" t="inlineStr">
        <is>
          <t>Date palm seed</t>
        </is>
      </c>
      <c r="B114" s="51" t="n">
        <v>23.9</v>
      </c>
      <c r="C114" s="51" t="n">
        <v>26.8</v>
      </c>
      <c r="D114" s="51" t="n">
        <v>21.6</v>
      </c>
      <c r="E114" s="51" t="n">
        <v>75.09999999999999</v>
      </c>
      <c r="F114" s="51" t="n">
        <v>9.800000000000001</v>
      </c>
      <c r="G114" s="51" t="n">
        <v>8.1</v>
      </c>
      <c r="H114" s="51" t="n">
        <v>44.1</v>
      </c>
      <c r="I114" s="51" t="n">
        <v>48.3</v>
      </c>
      <c r="J114" s="51" t="n">
        <v>6.1</v>
      </c>
      <c r="K114" s="51" t="n">
        <v>6</v>
      </c>
      <c r="L114" s="51" t="n">
        <v>5</v>
      </c>
      <c r="M114" s="51" t="n">
        <v>0</v>
      </c>
      <c r="N114" s="51" t="n">
        <v>1</v>
      </c>
      <c r="O114" s="51" t="n">
        <v>4</v>
      </c>
      <c r="P114" s="51" t="n">
        <v>60</v>
      </c>
      <c r="Q114" s="51" t="n">
        <v>5</v>
      </c>
      <c r="R114" s="51" t="n">
        <v>1200</v>
      </c>
      <c r="S114" s="51" t="n">
        <v>0</v>
      </c>
      <c r="T114" s="51" t="n">
        <v>5</v>
      </c>
      <c r="U114" s="51" t="n">
        <v>0</v>
      </c>
      <c r="V114" s="51" t="n">
        <v>0</v>
      </c>
      <c r="W114" s="51" t="n">
        <v>0</v>
      </c>
      <c r="X114" s="51" t="n">
        <v>0.384</v>
      </c>
    </row>
    <row r="115">
      <c r="A115" s="51" t="inlineStr">
        <is>
          <t>Date palm seed</t>
        </is>
      </c>
      <c r="B115" s="51" t="n">
        <v>23.9</v>
      </c>
      <c r="C115" s="51" t="n">
        <v>26.8</v>
      </c>
      <c r="D115" s="51" t="n">
        <v>21.6</v>
      </c>
      <c r="E115" s="51" t="n">
        <v>75.09999999999999</v>
      </c>
      <c r="F115" s="51" t="n">
        <v>9.800000000000001</v>
      </c>
      <c r="G115" s="51" t="n">
        <v>8.1</v>
      </c>
      <c r="H115" s="51" t="n">
        <v>44.1</v>
      </c>
      <c r="I115" s="51" t="n">
        <v>48.3</v>
      </c>
      <c r="J115" s="51" t="n">
        <v>6.1</v>
      </c>
      <c r="K115" s="51" t="n">
        <v>6</v>
      </c>
      <c r="L115" s="51" t="n">
        <v>5</v>
      </c>
      <c r="M115" s="51" t="n">
        <v>0</v>
      </c>
      <c r="N115" s="51" t="n">
        <v>1</v>
      </c>
      <c r="O115" s="51" t="n">
        <v>4</v>
      </c>
      <c r="P115" s="51" t="n">
        <v>60</v>
      </c>
      <c r="Q115" s="51" t="n">
        <v>5</v>
      </c>
      <c r="R115" s="51" t="n">
        <v>1000</v>
      </c>
      <c r="S115" s="51" t="n">
        <v>0</v>
      </c>
      <c r="T115" s="51" t="n">
        <v>5</v>
      </c>
      <c r="U115" s="51" t="n">
        <v>0</v>
      </c>
      <c r="V115" s="51" t="n">
        <v>0</v>
      </c>
      <c r="W115" s="51" t="n">
        <v>0</v>
      </c>
      <c r="X115" s="51" t="n">
        <v>0.386</v>
      </c>
    </row>
    <row r="116">
      <c r="A116" s="51" t="inlineStr">
        <is>
          <t>Date palm seed</t>
        </is>
      </c>
      <c r="B116" s="51" t="n">
        <v>23.9</v>
      </c>
      <c r="C116" s="51" t="n">
        <v>26.8</v>
      </c>
      <c r="D116" s="51" t="n">
        <v>21.6</v>
      </c>
      <c r="E116" s="51" t="n">
        <v>75.09999999999999</v>
      </c>
      <c r="F116" s="51" t="n">
        <v>9.800000000000001</v>
      </c>
      <c r="G116" s="51" t="n">
        <v>8.1</v>
      </c>
      <c r="H116" s="51" t="n">
        <v>44.1</v>
      </c>
      <c r="I116" s="51" t="n">
        <v>48.3</v>
      </c>
      <c r="J116" s="51" t="n">
        <v>6.1</v>
      </c>
      <c r="K116" s="51" t="n">
        <v>6</v>
      </c>
      <c r="L116" s="51" t="n">
        <v>5</v>
      </c>
      <c r="M116" s="51" t="n">
        <v>0</v>
      </c>
      <c r="N116" s="51" t="n">
        <v>1</v>
      </c>
      <c r="O116" s="51" t="n">
        <v>4</v>
      </c>
      <c r="P116" s="51" t="n">
        <v>60</v>
      </c>
      <c r="Q116" s="51" t="n">
        <v>5</v>
      </c>
      <c r="R116" s="51" t="n">
        <v>800</v>
      </c>
      <c r="S116" s="51" t="n">
        <v>0</v>
      </c>
      <c r="T116" s="51" t="n">
        <v>5</v>
      </c>
      <c r="U116" s="51" t="n">
        <v>0</v>
      </c>
      <c r="V116" s="51" t="n">
        <v>0</v>
      </c>
      <c r="W116" s="51" t="n">
        <v>0</v>
      </c>
      <c r="X116" s="51" t="n">
        <v>0.401</v>
      </c>
    </row>
    <row r="117">
      <c r="A117" s="51" t="inlineStr">
        <is>
          <t>Eucalyptus</t>
        </is>
      </c>
      <c r="B117" s="51" t="n">
        <v>57.3</v>
      </c>
      <c r="C117" s="51" t="n">
        <v>16.8</v>
      </c>
      <c r="D117" s="51" t="n">
        <v>25.9</v>
      </c>
      <c r="E117" s="51" t="n">
        <v>74.62</v>
      </c>
      <c r="F117" s="51" t="n">
        <v>5.55</v>
      </c>
      <c r="G117" s="51" t="n">
        <v>19.83</v>
      </c>
      <c r="H117" s="51" t="n">
        <v>42.55</v>
      </c>
      <c r="I117" s="51" t="n">
        <v>46.76</v>
      </c>
      <c r="J117" s="51" t="n">
        <v>6.01</v>
      </c>
      <c r="K117" s="51" t="n">
        <v>4</v>
      </c>
      <c r="L117" s="51" t="n">
        <v>5</v>
      </c>
      <c r="M117" s="51" t="n">
        <v>0</v>
      </c>
      <c r="N117" s="51" t="n">
        <v>1</v>
      </c>
      <c r="O117" s="51" t="n">
        <v>4</v>
      </c>
      <c r="P117" s="51" t="n">
        <v>158.067155378682</v>
      </c>
      <c r="Q117" s="51" t="n">
        <v>4.31294395851069</v>
      </c>
      <c r="R117" s="51" t="n">
        <v>1600</v>
      </c>
      <c r="S117" s="51" t="n">
        <v>0</v>
      </c>
      <c r="T117" s="51" t="n">
        <v>5</v>
      </c>
      <c r="U117" s="51" t="n">
        <v>0</v>
      </c>
      <c r="V117" s="51" t="n">
        <v>0</v>
      </c>
      <c r="W117" s="51" t="n">
        <v>0</v>
      </c>
      <c r="X117" s="51" t="n">
        <v>0.365</v>
      </c>
    </row>
    <row r="118">
      <c r="A118" s="51" t="inlineStr">
        <is>
          <t>Eucalyptus</t>
        </is>
      </c>
      <c r="B118" s="51" t="n">
        <v>57.3</v>
      </c>
      <c r="C118" s="51" t="n">
        <v>16.8</v>
      </c>
      <c r="D118" s="51" t="n">
        <v>25.9</v>
      </c>
      <c r="E118" s="51" t="n">
        <v>74.62</v>
      </c>
      <c r="F118" s="51" t="n">
        <v>5.55</v>
      </c>
      <c r="G118" s="51" t="n">
        <v>19.83</v>
      </c>
      <c r="H118" s="51" t="n">
        <v>42.55</v>
      </c>
      <c r="I118" s="51" t="n">
        <v>46.76</v>
      </c>
      <c r="J118" s="51" t="n">
        <v>6.01</v>
      </c>
      <c r="K118" s="51" t="n">
        <v>4</v>
      </c>
      <c r="L118" s="51" t="n">
        <v>5</v>
      </c>
      <c r="M118" s="51" t="n">
        <v>0</v>
      </c>
      <c r="N118" s="51" t="n">
        <v>1</v>
      </c>
      <c r="O118" s="51" t="n">
        <v>4</v>
      </c>
      <c r="P118" s="51" t="n">
        <v>143.158554347729</v>
      </c>
      <c r="Q118" s="51" t="n">
        <v>4.83596022633699</v>
      </c>
      <c r="R118" s="51" t="n">
        <v>1400</v>
      </c>
      <c r="S118" s="51" t="n">
        <v>0</v>
      </c>
      <c r="T118" s="51" t="n">
        <v>5</v>
      </c>
      <c r="U118" s="51" t="n">
        <v>0</v>
      </c>
      <c r="V118" s="51" t="n">
        <v>0</v>
      </c>
      <c r="W118" s="51" t="n">
        <v>0</v>
      </c>
      <c r="X118" s="51" t="n">
        <v>0.37</v>
      </c>
    </row>
    <row r="119">
      <c r="A119" s="51" t="inlineStr">
        <is>
          <t>Eucalyptus</t>
        </is>
      </c>
      <c r="B119" s="51" t="n">
        <v>57.3</v>
      </c>
      <c r="C119" s="51" t="n">
        <v>16.8</v>
      </c>
      <c r="D119" s="51" t="n">
        <v>25.9</v>
      </c>
      <c r="E119" s="51" t="n">
        <v>74.62</v>
      </c>
      <c r="F119" s="51" t="n">
        <v>5.55</v>
      </c>
      <c r="G119" s="51" t="n">
        <v>19.83</v>
      </c>
      <c r="H119" s="51" t="n">
        <v>42.55</v>
      </c>
      <c r="I119" s="51" t="n">
        <v>46.76</v>
      </c>
      <c r="J119" s="51" t="n">
        <v>6.01</v>
      </c>
      <c r="K119" s="51" t="n">
        <v>4</v>
      </c>
      <c r="L119" s="51" t="n">
        <v>5</v>
      </c>
      <c r="M119" s="51" t="n">
        <v>0</v>
      </c>
      <c r="N119" s="51" t="n">
        <v>1</v>
      </c>
      <c r="O119" s="51" t="n">
        <v>4</v>
      </c>
      <c r="P119" s="51" t="n">
        <v>190.274327501553</v>
      </c>
      <c r="Q119" s="51" t="n">
        <v>4.22485471140919</v>
      </c>
      <c r="R119" s="51" t="n">
        <v>1200</v>
      </c>
      <c r="S119" s="51" t="n">
        <v>0</v>
      </c>
      <c r="T119" s="51" t="n">
        <v>5</v>
      </c>
      <c r="U119" s="51" t="n">
        <v>0</v>
      </c>
      <c r="V119" s="51" t="n">
        <v>0</v>
      </c>
      <c r="W119" s="51" t="n">
        <v>0</v>
      </c>
      <c r="X119" s="51" t="n">
        <v>0.375</v>
      </c>
    </row>
    <row r="120">
      <c r="A120" s="51" t="inlineStr">
        <is>
          <t>Eucalyptus</t>
        </is>
      </c>
      <c r="B120" s="51" t="n">
        <v>57.3</v>
      </c>
      <c r="C120" s="51" t="n">
        <v>16.8</v>
      </c>
      <c r="D120" s="51" t="n">
        <v>25.9</v>
      </c>
      <c r="E120" s="51" t="n">
        <v>74.62</v>
      </c>
      <c r="F120" s="51" t="n">
        <v>5.55</v>
      </c>
      <c r="G120" s="51" t="n">
        <v>19.83</v>
      </c>
      <c r="H120" s="51" t="n">
        <v>42.55</v>
      </c>
      <c r="I120" s="51" t="n">
        <v>46.76</v>
      </c>
      <c r="J120" s="51" t="n">
        <v>6.01</v>
      </c>
      <c r="K120" s="51" t="n">
        <v>4</v>
      </c>
      <c r="L120" s="51" t="n">
        <v>5</v>
      </c>
      <c r="M120" s="51" t="n">
        <v>0</v>
      </c>
      <c r="N120" s="51" t="n">
        <v>1</v>
      </c>
      <c r="O120" s="51" t="n">
        <v>4</v>
      </c>
      <c r="P120" s="51" t="n">
        <v>150.352190768009</v>
      </c>
      <c r="Q120" s="51" t="n">
        <v>4.50403692802307</v>
      </c>
      <c r="R120" s="51" t="n">
        <v>1000</v>
      </c>
      <c r="S120" s="51" t="n">
        <v>0</v>
      </c>
      <c r="T120" s="51" t="n">
        <v>5</v>
      </c>
      <c r="U120" s="51" t="n">
        <v>0</v>
      </c>
      <c r="V120" s="51" t="n">
        <v>0</v>
      </c>
      <c r="W120" s="51" t="n">
        <v>0</v>
      </c>
      <c r="X120" s="51" t="n">
        <v>0.376</v>
      </c>
    </row>
    <row r="121">
      <c r="A121" s="51" t="inlineStr">
        <is>
          <t xml:space="preserve">Eucalyptus wood </t>
        </is>
      </c>
      <c r="B121" s="51" t="n">
        <v>57.3</v>
      </c>
      <c r="C121" s="51" t="n">
        <v>16.8</v>
      </c>
      <c r="D121" s="51" t="n">
        <v>25.9</v>
      </c>
      <c r="E121" s="51" t="n">
        <v>74.62</v>
      </c>
      <c r="F121" s="51" t="n">
        <v>5.55</v>
      </c>
      <c r="G121" s="51" t="n">
        <v>19.83</v>
      </c>
      <c r="H121" s="51" t="n">
        <v>42.55</v>
      </c>
      <c r="I121" s="51" t="n">
        <v>46.76</v>
      </c>
      <c r="J121" s="51" t="n">
        <v>6.01</v>
      </c>
      <c r="K121" s="51" t="n">
        <v>1</v>
      </c>
      <c r="L121" s="51" t="n">
        <v>5</v>
      </c>
      <c r="M121" s="51" t="n">
        <v>0</v>
      </c>
      <c r="N121" s="51" t="n">
        <v>1</v>
      </c>
      <c r="O121" s="51" t="n">
        <v>4</v>
      </c>
      <c r="P121" s="51" t="n">
        <v>120</v>
      </c>
      <c r="Q121" s="51" t="n">
        <v>5</v>
      </c>
      <c r="R121" s="51" t="n">
        <v>1400</v>
      </c>
      <c r="S121" s="51" t="n">
        <v>0</v>
      </c>
      <c r="T121" s="51" t="n">
        <v>5</v>
      </c>
      <c r="U121" s="51" t="n">
        <v>0</v>
      </c>
      <c r="V121" s="51" t="n">
        <v>0</v>
      </c>
      <c r="W121" s="51" t="n">
        <v>0</v>
      </c>
      <c r="X121" s="51" t="n">
        <v>0.386</v>
      </c>
    </row>
    <row r="122">
      <c r="A122" s="51" t="inlineStr">
        <is>
          <t xml:space="preserve">Eucalyptus wood </t>
        </is>
      </c>
      <c r="B122" s="51" t="n">
        <v>57.3</v>
      </c>
      <c r="C122" s="51" t="n">
        <v>16.8</v>
      </c>
      <c r="D122" s="51" t="n">
        <v>25.9</v>
      </c>
      <c r="E122" s="51" t="n">
        <v>74.62</v>
      </c>
      <c r="F122" s="51" t="n">
        <v>5.55</v>
      </c>
      <c r="G122" s="51" t="n">
        <v>19.83</v>
      </c>
      <c r="H122" s="51" t="n">
        <v>42.55</v>
      </c>
      <c r="I122" s="51" t="n">
        <v>46.76</v>
      </c>
      <c r="J122" s="51" t="n">
        <v>6.01</v>
      </c>
      <c r="K122" s="51" t="n">
        <v>1</v>
      </c>
      <c r="L122" s="51" t="n">
        <v>5</v>
      </c>
      <c r="M122" s="51" t="n">
        <v>0</v>
      </c>
      <c r="N122" s="51" t="n">
        <v>1</v>
      </c>
      <c r="O122" s="51" t="n">
        <v>4</v>
      </c>
      <c r="P122" s="51" t="n">
        <v>120</v>
      </c>
      <c r="Q122" s="51" t="n">
        <v>5</v>
      </c>
      <c r="R122" s="51" t="n">
        <v>1100</v>
      </c>
      <c r="S122" s="51" t="n">
        <v>0</v>
      </c>
      <c r="T122" s="51" t="n">
        <v>5</v>
      </c>
      <c r="U122" s="51" t="n">
        <v>0</v>
      </c>
      <c r="V122" s="51" t="n">
        <v>0</v>
      </c>
      <c r="W122" s="51" t="n">
        <v>0</v>
      </c>
      <c r="X122" s="51" t="n">
        <v>0.394</v>
      </c>
    </row>
    <row r="123">
      <c r="A123" s="51" t="inlineStr">
        <is>
          <t xml:space="preserve">Eucalyptus wood </t>
        </is>
      </c>
      <c r="B123" s="51" t="n">
        <v>57.3</v>
      </c>
      <c r="C123" s="51" t="n">
        <v>16.8</v>
      </c>
      <c r="D123" s="51" t="n">
        <v>25.9</v>
      </c>
      <c r="E123" s="51" t="n">
        <v>74.62</v>
      </c>
      <c r="F123" s="51" t="n">
        <v>5.55</v>
      </c>
      <c r="G123" s="51" t="n">
        <v>19.83</v>
      </c>
      <c r="H123" s="51" t="n">
        <v>42.55</v>
      </c>
      <c r="I123" s="51" t="n">
        <v>46.76</v>
      </c>
      <c r="J123" s="51" t="n">
        <v>6.01</v>
      </c>
      <c r="K123" s="51" t="n">
        <v>1</v>
      </c>
      <c r="L123" s="51" t="n">
        <v>5</v>
      </c>
      <c r="M123" s="51" t="n">
        <v>0</v>
      </c>
      <c r="N123" s="51" t="n">
        <v>1</v>
      </c>
      <c r="O123" s="51" t="n">
        <v>4</v>
      </c>
      <c r="P123" s="51" t="n">
        <v>120</v>
      </c>
      <c r="Q123" s="51" t="n">
        <v>5</v>
      </c>
      <c r="R123" s="51" t="n">
        <v>900</v>
      </c>
      <c r="S123" s="51" t="n">
        <v>0</v>
      </c>
      <c r="T123" s="51" t="n">
        <v>5</v>
      </c>
      <c r="U123" s="51" t="n">
        <v>0</v>
      </c>
      <c r="V123" s="51" t="n">
        <v>0</v>
      </c>
      <c r="W123" s="51" t="n">
        <v>0</v>
      </c>
      <c r="X123" s="51" t="n">
        <v>0.399</v>
      </c>
    </row>
    <row r="124">
      <c r="A124" s="51" t="inlineStr">
        <is>
          <t xml:space="preserve">Eucalyptus wood </t>
        </is>
      </c>
      <c r="B124" s="51" t="n">
        <v>57.3</v>
      </c>
      <c r="C124" s="51" t="n">
        <v>16.8</v>
      </c>
      <c r="D124" s="51" t="n">
        <v>25.9</v>
      </c>
      <c r="E124" s="51" t="n">
        <v>74.62</v>
      </c>
      <c r="F124" s="51" t="n">
        <v>5.55</v>
      </c>
      <c r="G124" s="51" t="n">
        <v>19.83</v>
      </c>
      <c r="H124" s="51" t="n">
        <v>42.55</v>
      </c>
      <c r="I124" s="51" t="n">
        <v>46.76</v>
      </c>
      <c r="J124" s="51" t="n">
        <v>6.01</v>
      </c>
      <c r="K124" s="51" t="n">
        <v>1</v>
      </c>
      <c r="L124" s="51" t="n">
        <v>5</v>
      </c>
      <c r="M124" s="51" t="n">
        <v>0</v>
      </c>
      <c r="N124" s="51" t="n">
        <v>1</v>
      </c>
      <c r="O124" s="51" t="n">
        <v>4</v>
      </c>
      <c r="P124" s="51" t="n">
        <v>120</v>
      </c>
      <c r="Q124" s="51" t="n">
        <v>5</v>
      </c>
      <c r="R124" s="51" t="n">
        <v>700</v>
      </c>
      <c r="S124" s="51" t="n">
        <v>0</v>
      </c>
      <c r="T124" s="51" t="n">
        <v>5</v>
      </c>
      <c r="U124" s="51" t="n">
        <v>0</v>
      </c>
      <c r="V124" s="51" t="n">
        <v>0</v>
      </c>
      <c r="W124" s="51" t="n">
        <v>0</v>
      </c>
      <c r="X124" s="51" t="n">
        <v>0.403</v>
      </c>
    </row>
    <row r="125">
      <c r="A125" s="51" t="inlineStr">
        <is>
          <t>Fir wood</t>
        </is>
      </c>
      <c r="B125" s="51" t="n">
        <v>45.81</v>
      </c>
      <c r="C125" s="51" t="n">
        <v>26.78</v>
      </c>
      <c r="D125" s="51" t="n">
        <v>28.24</v>
      </c>
      <c r="E125" s="51" t="n">
        <v>85.5</v>
      </c>
      <c r="F125" s="51" t="n">
        <v>0.3</v>
      </c>
      <c r="G125" s="51" t="n">
        <v>10.5</v>
      </c>
      <c r="H125" s="51" t="n">
        <v>47.2</v>
      </c>
      <c r="I125" s="51" t="n">
        <v>44.8</v>
      </c>
      <c r="J125" s="51" t="n">
        <v>6.1</v>
      </c>
      <c r="K125" s="51" t="n">
        <v>4</v>
      </c>
      <c r="L125" s="51" t="n">
        <v>5</v>
      </c>
      <c r="M125" s="51" t="n">
        <v>0</v>
      </c>
      <c r="N125" s="51" t="n">
        <v>1</v>
      </c>
      <c r="O125" s="51" t="n">
        <v>4</v>
      </c>
      <c r="P125" s="51" t="n">
        <v>480</v>
      </c>
      <c r="Q125" s="51" t="n">
        <v>10</v>
      </c>
      <c r="R125" s="51" t="n">
        <v>1500</v>
      </c>
      <c r="S125" s="51" t="n">
        <v>0</v>
      </c>
      <c r="T125" s="51" t="n">
        <v>5</v>
      </c>
      <c r="U125" s="51" t="n">
        <v>0</v>
      </c>
      <c r="V125" s="51" t="n">
        <v>0</v>
      </c>
      <c r="W125" s="51" t="n">
        <v>0</v>
      </c>
      <c r="X125" s="51" t="n">
        <v>0.375</v>
      </c>
    </row>
    <row r="126">
      <c r="A126" s="51" t="inlineStr">
        <is>
          <t>Fir wood</t>
        </is>
      </c>
      <c r="B126" s="51" t="n">
        <v>45.81</v>
      </c>
      <c r="C126" s="51" t="n">
        <v>26.78</v>
      </c>
      <c r="D126" s="51" t="n">
        <v>28.24</v>
      </c>
      <c r="E126" s="51" t="n">
        <v>85.5</v>
      </c>
      <c r="F126" s="51" t="n">
        <v>0.3</v>
      </c>
      <c r="G126" s="51" t="n">
        <v>10.5</v>
      </c>
      <c r="H126" s="51" t="n">
        <v>47.2</v>
      </c>
      <c r="I126" s="51" t="n">
        <v>44.8</v>
      </c>
      <c r="J126" s="51" t="n">
        <v>6.1</v>
      </c>
      <c r="K126" s="51" t="n">
        <v>1</v>
      </c>
      <c r="L126" s="51" t="n">
        <v>5</v>
      </c>
      <c r="M126" s="51" t="n">
        <v>1</v>
      </c>
      <c r="N126" s="51" t="n">
        <v>1</v>
      </c>
      <c r="O126" s="51" t="n">
        <v>4</v>
      </c>
      <c r="P126" s="51" t="n">
        <v>60</v>
      </c>
      <c r="Q126" s="51" t="n">
        <v>10</v>
      </c>
      <c r="R126" s="51" t="n">
        <v>800</v>
      </c>
      <c r="S126" s="51" t="n">
        <v>1</v>
      </c>
      <c r="T126" s="51" t="n">
        <v>5</v>
      </c>
      <c r="U126" s="51" t="n">
        <v>480</v>
      </c>
      <c r="V126" s="51" t="n">
        <v>10</v>
      </c>
      <c r="W126" s="51" t="n">
        <v>1500</v>
      </c>
      <c r="X126" s="51" t="n">
        <v>0.375</v>
      </c>
    </row>
    <row r="127">
      <c r="A127" s="51" t="inlineStr">
        <is>
          <t>Fir wood</t>
        </is>
      </c>
      <c r="B127" s="51" t="n">
        <v>45.81</v>
      </c>
      <c r="C127" s="51" t="n">
        <v>26.78</v>
      </c>
      <c r="D127" s="51" t="n">
        <v>28.24</v>
      </c>
      <c r="E127" s="51" t="n">
        <v>85.5</v>
      </c>
      <c r="F127" s="51" t="n">
        <v>0.3</v>
      </c>
      <c r="G127" s="51" t="n">
        <v>10.5</v>
      </c>
      <c r="H127" s="51" t="n">
        <v>47.2</v>
      </c>
      <c r="I127" s="51" t="n">
        <v>44.8</v>
      </c>
      <c r="J127" s="51" t="n">
        <v>6.1</v>
      </c>
      <c r="K127" s="51" t="n">
        <v>4</v>
      </c>
      <c r="L127" s="51" t="n">
        <v>5</v>
      </c>
      <c r="M127" s="51" t="n">
        <v>0</v>
      </c>
      <c r="N127" s="51" t="n">
        <v>1</v>
      </c>
      <c r="O127" s="51" t="n">
        <v>4</v>
      </c>
      <c r="P127" s="51" t="n">
        <v>480</v>
      </c>
      <c r="Q127" s="51" t="n">
        <v>10</v>
      </c>
      <c r="R127" s="51" t="n">
        <v>1300</v>
      </c>
      <c r="S127" s="51" t="n">
        <v>0</v>
      </c>
      <c r="T127" s="51" t="n">
        <v>5</v>
      </c>
      <c r="U127" s="51" t="n">
        <v>0</v>
      </c>
      <c r="V127" s="51" t="n">
        <v>0</v>
      </c>
      <c r="W127" s="51" t="n">
        <v>0</v>
      </c>
      <c r="X127" s="51" t="n">
        <v>0.377</v>
      </c>
    </row>
    <row r="128">
      <c r="A128" s="51" t="inlineStr">
        <is>
          <t>Fir wood</t>
        </is>
      </c>
      <c r="B128" s="51" t="n">
        <v>45.81</v>
      </c>
      <c r="C128" s="51" t="n">
        <v>26.78</v>
      </c>
      <c r="D128" s="51" t="n">
        <v>28.24</v>
      </c>
      <c r="E128" s="51" t="n">
        <v>85.5</v>
      </c>
      <c r="F128" s="51" t="n">
        <v>0.3</v>
      </c>
      <c r="G128" s="51" t="n">
        <v>10.5</v>
      </c>
      <c r="H128" s="51" t="n">
        <v>47.2</v>
      </c>
      <c r="I128" s="51" t="n">
        <v>44.8</v>
      </c>
      <c r="J128" s="51" t="n">
        <v>6.1</v>
      </c>
      <c r="K128" s="51" t="n">
        <v>1</v>
      </c>
      <c r="L128" s="51" t="n">
        <v>5</v>
      </c>
      <c r="M128" s="51" t="n">
        <v>1</v>
      </c>
      <c r="N128" s="51" t="n">
        <v>1</v>
      </c>
      <c r="O128" s="51" t="n">
        <v>4</v>
      </c>
      <c r="P128" s="51" t="n">
        <v>60</v>
      </c>
      <c r="Q128" s="51" t="n">
        <v>10</v>
      </c>
      <c r="R128" s="51" t="n">
        <v>800</v>
      </c>
      <c r="S128" s="51" t="n">
        <v>1</v>
      </c>
      <c r="T128" s="51" t="n">
        <v>5</v>
      </c>
      <c r="U128" s="51" t="n">
        <v>480</v>
      </c>
      <c r="V128" s="51" t="n">
        <v>10</v>
      </c>
      <c r="W128" s="51" t="n">
        <v>1300</v>
      </c>
      <c r="X128" s="51" t="n">
        <v>0.377</v>
      </c>
    </row>
    <row r="129">
      <c r="A129" s="51" t="inlineStr">
        <is>
          <t>Fir wood</t>
        </is>
      </c>
      <c r="B129" s="51" t="n">
        <v>45.81</v>
      </c>
      <c r="C129" s="51" t="n">
        <v>26.78</v>
      </c>
      <c r="D129" s="51" t="n">
        <v>28.24</v>
      </c>
      <c r="E129" s="51" t="n">
        <v>85.5</v>
      </c>
      <c r="F129" s="51" t="n">
        <v>0.3</v>
      </c>
      <c r="G129" s="51" t="n">
        <v>10.5</v>
      </c>
      <c r="H129" s="51" t="n">
        <v>47.2</v>
      </c>
      <c r="I129" s="51" t="n">
        <v>44.8</v>
      </c>
      <c r="J129" s="51" t="n">
        <v>6.1</v>
      </c>
      <c r="K129" s="51" t="n">
        <v>4</v>
      </c>
      <c r="L129" s="51" t="n">
        <v>5</v>
      </c>
      <c r="M129" s="51" t="n">
        <v>0</v>
      </c>
      <c r="N129" s="51" t="n">
        <v>1</v>
      </c>
      <c r="O129" s="51" t="n">
        <v>4</v>
      </c>
      <c r="P129" s="51" t="n">
        <v>480</v>
      </c>
      <c r="Q129" s="51" t="n">
        <v>10</v>
      </c>
      <c r="R129" s="51" t="n">
        <v>1100</v>
      </c>
      <c r="S129" s="51" t="n">
        <v>0</v>
      </c>
      <c r="T129" s="51" t="n">
        <v>5</v>
      </c>
      <c r="U129" s="51" t="n">
        <v>0</v>
      </c>
      <c r="V129" s="51" t="n">
        <v>0</v>
      </c>
      <c r="W129" s="51" t="n">
        <v>0</v>
      </c>
      <c r="X129" s="51" t="n">
        <v>0.383</v>
      </c>
    </row>
    <row r="130">
      <c r="A130" s="51" t="inlineStr">
        <is>
          <t>Fir wood</t>
        </is>
      </c>
      <c r="B130" s="51" t="n">
        <v>45.81</v>
      </c>
      <c r="C130" s="51" t="n">
        <v>26.78</v>
      </c>
      <c r="D130" s="51" t="n">
        <v>28.24</v>
      </c>
      <c r="E130" s="51" t="n">
        <v>85.5</v>
      </c>
      <c r="F130" s="51" t="n">
        <v>0.3</v>
      </c>
      <c r="G130" s="51" t="n">
        <v>10.5</v>
      </c>
      <c r="H130" s="51" t="n">
        <v>47.2</v>
      </c>
      <c r="I130" s="51" t="n">
        <v>44.8</v>
      </c>
      <c r="J130" s="51" t="n">
        <v>6.1</v>
      </c>
      <c r="K130" s="51" t="n">
        <v>1</v>
      </c>
      <c r="L130" s="51" t="n">
        <v>5</v>
      </c>
      <c r="M130" s="51" t="n">
        <v>1</v>
      </c>
      <c r="N130" s="51" t="n">
        <v>1</v>
      </c>
      <c r="O130" s="51" t="n">
        <v>4</v>
      </c>
      <c r="P130" s="51" t="n">
        <v>60</v>
      </c>
      <c r="Q130" s="51" t="n">
        <v>10</v>
      </c>
      <c r="R130" s="51" t="n">
        <v>800</v>
      </c>
      <c r="S130" s="51" t="n">
        <v>1</v>
      </c>
      <c r="T130" s="51" t="n">
        <v>5</v>
      </c>
      <c r="U130" s="51" t="n">
        <v>480</v>
      </c>
      <c r="V130" s="51" t="n">
        <v>10</v>
      </c>
      <c r="W130" s="51" t="n">
        <v>1100</v>
      </c>
      <c r="X130" s="51" t="n">
        <v>0.383</v>
      </c>
    </row>
    <row r="131">
      <c r="A131" s="51" t="inlineStr">
        <is>
          <t>Fir wood</t>
        </is>
      </c>
      <c r="B131" s="51" t="n">
        <v>45.81</v>
      </c>
      <c r="C131" s="51" t="n">
        <v>26.78</v>
      </c>
      <c r="D131" s="51" t="n">
        <v>28.24</v>
      </c>
      <c r="E131" s="51" t="n">
        <v>85.5</v>
      </c>
      <c r="F131" s="51" t="n">
        <v>0.3</v>
      </c>
      <c r="G131" s="51" t="n">
        <v>10.5</v>
      </c>
      <c r="H131" s="51" t="n">
        <v>47.2</v>
      </c>
      <c r="I131" s="51" t="n">
        <v>44.8</v>
      </c>
      <c r="J131" s="51" t="n">
        <v>6.1</v>
      </c>
      <c r="K131" s="51" t="n">
        <v>1</v>
      </c>
      <c r="L131" s="51" t="n">
        <v>5</v>
      </c>
      <c r="M131" s="51" t="n">
        <v>1</v>
      </c>
      <c r="N131" s="51" t="n">
        <v>1</v>
      </c>
      <c r="O131" s="51" t="n">
        <v>4</v>
      </c>
      <c r="P131" s="51" t="n">
        <v>60</v>
      </c>
      <c r="Q131" s="51" t="n">
        <v>10</v>
      </c>
      <c r="R131" s="51" t="n">
        <v>800</v>
      </c>
      <c r="S131" s="51" t="n">
        <v>1</v>
      </c>
      <c r="T131" s="51" t="n">
        <v>5</v>
      </c>
      <c r="U131" s="51" t="n">
        <v>300</v>
      </c>
      <c r="V131" s="51" t="n">
        <v>6.25</v>
      </c>
      <c r="W131" s="51" t="n">
        <v>812.5</v>
      </c>
      <c r="X131" s="51" t="n">
        <v>0.391</v>
      </c>
    </row>
    <row r="132">
      <c r="A132" s="51" t="inlineStr">
        <is>
          <t>Fir wood</t>
        </is>
      </c>
      <c r="B132" s="51" t="n">
        <v>45.81</v>
      </c>
      <c r="C132" s="51" t="n">
        <v>26.78</v>
      </c>
      <c r="D132" s="51" t="n">
        <v>28.24</v>
      </c>
      <c r="E132" s="51" t="n">
        <v>85.5</v>
      </c>
      <c r="F132" s="51" t="n">
        <v>0.3</v>
      </c>
      <c r="G132" s="51" t="n">
        <v>10.5</v>
      </c>
      <c r="H132" s="51" t="n">
        <v>47.2</v>
      </c>
      <c r="I132" s="51" t="n">
        <v>44.8</v>
      </c>
      <c r="J132" s="51" t="n">
        <v>6.1</v>
      </c>
      <c r="K132" s="51" t="n">
        <v>1</v>
      </c>
      <c r="L132" s="51" t="n">
        <v>5</v>
      </c>
      <c r="M132" s="51" t="n">
        <v>1</v>
      </c>
      <c r="N132" s="51" t="n">
        <v>1</v>
      </c>
      <c r="O132" s="51" t="n">
        <v>4</v>
      </c>
      <c r="P132" s="51" t="n">
        <v>60</v>
      </c>
      <c r="Q132" s="51" t="n">
        <v>10</v>
      </c>
      <c r="R132" s="51" t="n">
        <v>800</v>
      </c>
      <c r="S132" s="51" t="n">
        <v>1</v>
      </c>
      <c r="T132" s="51" t="n">
        <v>5</v>
      </c>
      <c r="U132" s="51" t="n">
        <v>480</v>
      </c>
      <c r="V132" s="51" t="n">
        <v>10</v>
      </c>
      <c r="W132" s="51" t="n">
        <v>1300</v>
      </c>
      <c r="X132" s="51" t="n">
        <v>0.403</v>
      </c>
    </row>
    <row r="133">
      <c r="A133" s="51" t="inlineStr">
        <is>
          <t>Ginkgo leave</t>
        </is>
      </c>
      <c r="B133" s="51" t="n">
        <v>44.9614795612291</v>
      </c>
      <c r="C133" s="51" t="n">
        <v>14.5156561431397</v>
      </c>
      <c r="D133" s="51" t="n">
        <v>35.2184623877525</v>
      </c>
      <c r="E133" s="51" t="n">
        <v>68.59999999999999</v>
      </c>
      <c r="F133" s="51" t="n">
        <v>7.8</v>
      </c>
      <c r="G133" s="51" t="n">
        <v>23.5</v>
      </c>
      <c r="H133" s="51" t="n">
        <v>45.8</v>
      </c>
      <c r="I133" s="51" t="n">
        <v>46.3</v>
      </c>
      <c r="J133" s="51" t="n">
        <v>5.9</v>
      </c>
      <c r="K133" s="51" t="n">
        <v>4</v>
      </c>
      <c r="L133" s="51" t="n">
        <v>1</v>
      </c>
      <c r="M133" s="51" t="n">
        <v>0</v>
      </c>
      <c r="N133" s="51" t="n">
        <v>1</v>
      </c>
      <c r="O133" s="51" t="n">
        <v>4</v>
      </c>
      <c r="P133" s="51" t="n">
        <v>120</v>
      </c>
      <c r="Q133" s="51" t="n">
        <v>5</v>
      </c>
      <c r="R133" s="51" t="n">
        <v>2000</v>
      </c>
      <c r="S133" s="51" t="n">
        <v>0</v>
      </c>
      <c r="T133" s="51" t="n">
        <v>5</v>
      </c>
      <c r="U133" s="51" t="n">
        <v>0</v>
      </c>
      <c r="V133" s="51" t="n">
        <v>0</v>
      </c>
      <c r="W133" s="51" t="n">
        <v>0</v>
      </c>
      <c r="X133" s="51" t="n">
        <v>0.335</v>
      </c>
    </row>
    <row r="134">
      <c r="A134" s="51" t="inlineStr">
        <is>
          <t>Ginkgo leave</t>
        </is>
      </c>
      <c r="B134" s="51" t="n">
        <v>44.9614795612291</v>
      </c>
      <c r="C134" s="51" t="n">
        <v>14.5156561431397</v>
      </c>
      <c r="D134" s="51" t="n">
        <v>35.2184623877525</v>
      </c>
      <c r="E134" s="51" t="n">
        <v>68.59999999999999</v>
      </c>
      <c r="F134" s="51" t="n">
        <v>7.8</v>
      </c>
      <c r="G134" s="51" t="n">
        <v>23.5</v>
      </c>
      <c r="H134" s="51" t="n">
        <v>45.8</v>
      </c>
      <c r="I134" s="51" t="n">
        <v>46.3</v>
      </c>
      <c r="J134" s="51" t="n">
        <v>5.9</v>
      </c>
      <c r="K134" s="51" t="n">
        <v>4</v>
      </c>
      <c r="L134" s="51" t="n">
        <v>1</v>
      </c>
      <c r="M134" s="51" t="n">
        <v>0</v>
      </c>
      <c r="N134" s="51" t="n">
        <v>1</v>
      </c>
      <c r="O134" s="51" t="n">
        <v>4</v>
      </c>
      <c r="P134" s="51" t="n">
        <v>120</v>
      </c>
      <c r="Q134" s="51" t="n">
        <v>5</v>
      </c>
      <c r="R134" s="51" t="n">
        <v>2500</v>
      </c>
      <c r="S134" s="51" t="n">
        <v>0</v>
      </c>
      <c r="T134" s="51" t="n">
        <v>5</v>
      </c>
      <c r="U134" s="51" t="n">
        <v>0</v>
      </c>
      <c r="V134" s="51" t="n">
        <v>0</v>
      </c>
      <c r="W134" s="51" t="n">
        <v>0</v>
      </c>
      <c r="X134" s="51" t="n">
        <v>0.335</v>
      </c>
    </row>
    <row r="135">
      <c r="A135" s="51" t="inlineStr">
        <is>
          <t>Ginkgo leave</t>
        </is>
      </c>
      <c r="B135" s="51" t="n">
        <v>44.9614795612291</v>
      </c>
      <c r="C135" s="51" t="n">
        <v>14.5156561431397</v>
      </c>
      <c r="D135" s="51" t="n">
        <v>35.2184623877525</v>
      </c>
      <c r="E135" s="51" t="n">
        <v>68.59999999999999</v>
      </c>
      <c r="F135" s="51" t="n">
        <v>7.8</v>
      </c>
      <c r="G135" s="51" t="n">
        <v>23.5</v>
      </c>
      <c r="H135" s="51" t="n">
        <v>45.8</v>
      </c>
      <c r="I135" s="51" t="n">
        <v>46.3</v>
      </c>
      <c r="J135" s="51" t="n">
        <v>5.9</v>
      </c>
      <c r="K135" s="51" t="n">
        <v>4</v>
      </c>
      <c r="L135" s="51" t="n">
        <v>1</v>
      </c>
      <c r="M135" s="51" t="n">
        <v>0</v>
      </c>
      <c r="N135" s="51" t="n">
        <v>1</v>
      </c>
      <c r="O135" s="51" t="n">
        <v>4</v>
      </c>
      <c r="P135" s="51" t="n">
        <v>120</v>
      </c>
      <c r="Q135" s="51" t="n">
        <v>5</v>
      </c>
      <c r="R135" s="51" t="n">
        <v>1700</v>
      </c>
      <c r="S135" s="51" t="n">
        <v>0</v>
      </c>
      <c r="T135" s="51" t="n">
        <v>5</v>
      </c>
      <c r="U135" s="51" t="n">
        <v>0</v>
      </c>
      <c r="V135" s="51" t="n">
        <v>0</v>
      </c>
      <c r="W135" s="51" t="n">
        <v>0</v>
      </c>
      <c r="X135" s="51" t="n">
        <v>0.336</v>
      </c>
    </row>
    <row r="136">
      <c r="A136" s="51" t="inlineStr">
        <is>
          <t>Ginkgo leave</t>
        </is>
      </c>
      <c r="B136" s="51" t="n">
        <v>44.9614795612291</v>
      </c>
      <c r="C136" s="51" t="n">
        <v>14.5156561431397</v>
      </c>
      <c r="D136" s="51" t="n">
        <v>35.2184623877525</v>
      </c>
      <c r="E136" s="51" t="n">
        <v>68.59999999999999</v>
      </c>
      <c r="F136" s="51" t="n">
        <v>7.8</v>
      </c>
      <c r="G136" s="51" t="n">
        <v>23.5</v>
      </c>
      <c r="H136" s="51" t="n">
        <v>45.8</v>
      </c>
      <c r="I136" s="51" t="n">
        <v>46.3</v>
      </c>
      <c r="J136" s="51" t="n">
        <v>5.9</v>
      </c>
      <c r="K136" s="51" t="n">
        <v>4</v>
      </c>
      <c r="L136" s="51" t="n">
        <v>1</v>
      </c>
      <c r="M136" s="51" t="n">
        <v>0</v>
      </c>
      <c r="N136" s="51" t="n">
        <v>1</v>
      </c>
      <c r="O136" s="51" t="n">
        <v>4</v>
      </c>
      <c r="P136" s="51" t="n">
        <v>120</v>
      </c>
      <c r="Q136" s="51" t="n">
        <v>5</v>
      </c>
      <c r="R136" s="51" t="n">
        <v>1500</v>
      </c>
      <c r="S136" s="51" t="n">
        <v>0</v>
      </c>
      <c r="T136" s="51" t="n">
        <v>5</v>
      </c>
      <c r="U136" s="51" t="n">
        <v>0</v>
      </c>
      <c r="V136" s="51" t="n">
        <v>0</v>
      </c>
      <c r="W136" s="51" t="n">
        <v>0</v>
      </c>
      <c r="X136" s="51" t="n">
        <v>0.337</v>
      </c>
    </row>
    <row r="137">
      <c r="A137" s="51" t="inlineStr">
        <is>
          <t>Ginkgo leave</t>
        </is>
      </c>
      <c r="B137" s="51" t="n">
        <v>44.9614795612291</v>
      </c>
      <c r="C137" s="51" t="n">
        <v>14.5156561431397</v>
      </c>
      <c r="D137" s="51" t="n">
        <v>35.2184623877525</v>
      </c>
      <c r="E137" s="51" t="n">
        <v>68.59999999999999</v>
      </c>
      <c r="F137" s="51" t="n">
        <v>7.8</v>
      </c>
      <c r="G137" s="51" t="n">
        <v>23.5</v>
      </c>
      <c r="H137" s="51" t="n">
        <v>45.8</v>
      </c>
      <c r="I137" s="51" t="n">
        <v>46.3</v>
      </c>
      <c r="J137" s="51" t="n">
        <v>5.9</v>
      </c>
      <c r="K137" s="51" t="n">
        <v>4</v>
      </c>
      <c r="L137" s="51" t="n">
        <v>1</v>
      </c>
      <c r="M137" s="51" t="n">
        <v>0</v>
      </c>
      <c r="N137" s="51" t="n">
        <v>1</v>
      </c>
      <c r="O137" s="51" t="n">
        <v>4</v>
      </c>
      <c r="P137" s="51" t="n">
        <v>120</v>
      </c>
      <c r="Q137" s="51" t="n">
        <v>5</v>
      </c>
      <c r="R137" s="51" t="n">
        <v>1400</v>
      </c>
      <c r="S137" s="51" t="n">
        <v>0</v>
      </c>
      <c r="T137" s="51" t="n">
        <v>5</v>
      </c>
      <c r="U137" s="51" t="n">
        <v>0</v>
      </c>
      <c r="V137" s="51" t="n">
        <v>0</v>
      </c>
      <c r="W137" s="51" t="n">
        <v>0</v>
      </c>
      <c r="X137" s="51" t="n">
        <v>0.382</v>
      </c>
    </row>
    <row r="138">
      <c r="A138" s="51" t="inlineStr">
        <is>
          <t>Ginkgo leave</t>
        </is>
      </c>
      <c r="B138" s="51" t="n">
        <v>44.9614795612291</v>
      </c>
      <c r="C138" s="51" t="n">
        <v>14.5156561431397</v>
      </c>
      <c r="D138" s="51" t="n">
        <v>35.2184623877525</v>
      </c>
      <c r="E138" s="51" t="n">
        <v>68.59999999999999</v>
      </c>
      <c r="F138" s="51" t="n">
        <v>7.8</v>
      </c>
      <c r="G138" s="51" t="n">
        <v>23.5</v>
      </c>
      <c r="H138" s="51" t="n">
        <v>45.8</v>
      </c>
      <c r="I138" s="51" t="n">
        <v>46.3</v>
      </c>
      <c r="J138" s="51" t="n">
        <v>5.9</v>
      </c>
      <c r="K138" s="51" t="n">
        <v>4</v>
      </c>
      <c r="L138" s="51" t="n">
        <v>1</v>
      </c>
      <c r="M138" s="51" t="n">
        <v>0</v>
      </c>
      <c r="N138" s="51" t="n">
        <v>1</v>
      </c>
      <c r="O138" s="51" t="n">
        <v>4</v>
      </c>
      <c r="P138" s="51" t="n">
        <v>120</v>
      </c>
      <c r="Q138" s="51" t="n">
        <v>5</v>
      </c>
      <c r="R138" s="51" t="n">
        <v>1300</v>
      </c>
      <c r="S138" s="51" t="n">
        <v>0</v>
      </c>
      <c r="T138" s="51" t="n">
        <v>5</v>
      </c>
      <c r="U138" s="51" t="n">
        <v>0</v>
      </c>
      <c r="V138" s="51" t="n">
        <v>0</v>
      </c>
      <c r="W138" s="51" t="n">
        <v>0</v>
      </c>
      <c r="X138" s="51" t="n">
        <v>0.385</v>
      </c>
    </row>
    <row r="139">
      <c r="A139" s="51" t="inlineStr">
        <is>
          <t>Ginkgo leave</t>
        </is>
      </c>
      <c r="B139" s="51" t="n">
        <v>44.9614795612291</v>
      </c>
      <c r="C139" s="51" t="n">
        <v>14.5156561431397</v>
      </c>
      <c r="D139" s="51" t="n">
        <v>35.2184623877525</v>
      </c>
      <c r="E139" s="51" t="n">
        <v>68.59999999999999</v>
      </c>
      <c r="F139" s="51" t="n">
        <v>7.8</v>
      </c>
      <c r="G139" s="51" t="n">
        <v>23.5</v>
      </c>
      <c r="H139" s="51" t="n">
        <v>45.8</v>
      </c>
      <c r="I139" s="51" t="n">
        <v>46.3</v>
      </c>
      <c r="J139" s="51" t="n">
        <v>5.9</v>
      </c>
      <c r="K139" s="51" t="n">
        <v>4</v>
      </c>
      <c r="L139" s="51" t="n">
        <v>1</v>
      </c>
      <c r="M139" s="51" t="n">
        <v>0</v>
      </c>
      <c r="N139" s="51" t="n">
        <v>1</v>
      </c>
      <c r="O139" s="51" t="n">
        <v>4</v>
      </c>
      <c r="P139" s="51" t="n">
        <v>120</v>
      </c>
      <c r="Q139" s="51" t="n">
        <v>5</v>
      </c>
      <c r="R139" s="51" t="n">
        <v>1200</v>
      </c>
      <c r="S139" s="51" t="n">
        <v>0</v>
      </c>
      <c r="T139" s="51" t="n">
        <v>5</v>
      </c>
      <c r="U139" s="51" t="n">
        <v>0</v>
      </c>
      <c r="V139" s="51" t="n">
        <v>0</v>
      </c>
      <c r="W139" s="51" t="n">
        <v>0</v>
      </c>
      <c r="X139" s="51" t="n">
        <v>0.387</v>
      </c>
    </row>
    <row r="140">
      <c r="A140" s="51" t="inlineStr">
        <is>
          <t>Ginkgo leave</t>
        </is>
      </c>
      <c r="B140" s="51" t="n">
        <v>44.9614795612291</v>
      </c>
      <c r="C140" s="51" t="n">
        <v>14.5156561431397</v>
      </c>
      <c r="D140" s="51" t="n">
        <v>35.2184623877525</v>
      </c>
      <c r="E140" s="51" t="n">
        <v>68.59999999999999</v>
      </c>
      <c r="F140" s="51" t="n">
        <v>7.8</v>
      </c>
      <c r="G140" s="51" t="n">
        <v>23.5</v>
      </c>
      <c r="H140" s="51" t="n">
        <v>45.8</v>
      </c>
      <c r="I140" s="51" t="n">
        <v>46.3</v>
      </c>
      <c r="J140" s="51" t="n">
        <v>5.9</v>
      </c>
      <c r="K140" s="51" t="n">
        <v>6</v>
      </c>
      <c r="L140" s="51" t="n">
        <v>5</v>
      </c>
      <c r="M140" s="51" t="n">
        <v>0</v>
      </c>
      <c r="N140" s="51" t="n">
        <v>1</v>
      </c>
      <c r="O140" s="51" t="n">
        <v>4</v>
      </c>
      <c r="P140" s="51" t="n">
        <v>120</v>
      </c>
      <c r="Q140" s="51" t="n">
        <v>5</v>
      </c>
      <c r="R140" s="51" t="n">
        <v>1000</v>
      </c>
      <c r="S140" s="51" t="n">
        <v>0</v>
      </c>
      <c r="T140" s="51" t="n">
        <v>5</v>
      </c>
      <c r="U140" s="51" t="n">
        <v>0</v>
      </c>
      <c r="V140" s="51" t="n">
        <v>0</v>
      </c>
      <c r="W140" s="51" t="n">
        <v>0</v>
      </c>
      <c r="X140" s="51" t="n">
        <v>0.401</v>
      </c>
    </row>
    <row r="141">
      <c r="A141" s="51" t="inlineStr">
        <is>
          <t>Ginkgo leave</t>
        </is>
      </c>
      <c r="B141" s="51" t="n">
        <v>44.9614795612291</v>
      </c>
      <c r="C141" s="51" t="n">
        <v>14.5156561431397</v>
      </c>
      <c r="D141" s="51" t="n">
        <v>35.2184623877525</v>
      </c>
      <c r="E141" s="51" t="n">
        <v>68.59999999999999</v>
      </c>
      <c r="F141" s="51" t="n">
        <v>7.8</v>
      </c>
      <c r="G141" s="51" t="n">
        <v>23.5</v>
      </c>
      <c r="H141" s="51" t="n">
        <v>45.8</v>
      </c>
      <c r="I141" s="51" t="n">
        <v>46.3</v>
      </c>
      <c r="J141" s="51" t="n">
        <v>5.9</v>
      </c>
      <c r="K141" s="51" t="n">
        <v>4</v>
      </c>
      <c r="L141" s="51" t="n">
        <v>1</v>
      </c>
      <c r="M141" s="51" t="n">
        <v>0</v>
      </c>
      <c r="N141" s="51" t="n">
        <v>1</v>
      </c>
      <c r="O141" s="51" t="n">
        <v>4</v>
      </c>
      <c r="P141" s="51" t="n">
        <v>120</v>
      </c>
      <c r="Q141" s="51" t="n">
        <v>5</v>
      </c>
      <c r="R141" s="51" t="n">
        <v>1000</v>
      </c>
      <c r="S141" s="51" t="n">
        <v>0</v>
      </c>
      <c r="T141" s="51" t="n">
        <v>5</v>
      </c>
      <c r="U141" s="51" t="n">
        <v>0</v>
      </c>
      <c r="V141" s="51" t="n">
        <v>0</v>
      </c>
      <c r="W141" s="51" t="n">
        <v>0</v>
      </c>
      <c r="X141" s="51" t="n">
        <v>0.402</v>
      </c>
    </row>
    <row r="142">
      <c r="A142" s="51" t="inlineStr">
        <is>
          <t>Ginkgo leave</t>
        </is>
      </c>
      <c r="B142" s="51" t="n">
        <v>44.9614795612291</v>
      </c>
      <c r="C142" s="51" t="n">
        <v>14.5156561431397</v>
      </c>
      <c r="D142" s="51" t="n">
        <v>35.2184623877525</v>
      </c>
      <c r="E142" s="51" t="n">
        <v>68.59999999999999</v>
      </c>
      <c r="F142" s="51" t="n">
        <v>7.8</v>
      </c>
      <c r="G142" s="51" t="n">
        <v>23.5</v>
      </c>
      <c r="H142" s="51" t="n">
        <v>45.8</v>
      </c>
      <c r="I142" s="51" t="n">
        <v>46.3</v>
      </c>
      <c r="J142" s="51" t="n">
        <v>5.9</v>
      </c>
      <c r="K142" s="51" t="n">
        <v>4</v>
      </c>
      <c r="L142" s="51" t="n">
        <v>1</v>
      </c>
      <c r="M142" s="51" t="n">
        <v>0</v>
      </c>
      <c r="N142" s="51" t="n">
        <v>1</v>
      </c>
      <c r="O142" s="51" t="n">
        <v>4</v>
      </c>
      <c r="P142" s="51" t="n">
        <v>120</v>
      </c>
      <c r="Q142" s="51" t="n">
        <v>5</v>
      </c>
      <c r="R142" s="51" t="n">
        <v>800</v>
      </c>
      <c r="S142" s="51" t="n">
        <v>0</v>
      </c>
      <c r="T142" s="51" t="n">
        <v>5</v>
      </c>
      <c r="U142" s="51" t="n">
        <v>0</v>
      </c>
      <c r="V142" s="51" t="n">
        <v>0</v>
      </c>
      <c r="W142" s="51" t="n">
        <v>0</v>
      </c>
      <c r="X142" s="51" t="n">
        <v>0.405</v>
      </c>
    </row>
    <row r="143">
      <c r="A143" s="51" t="inlineStr">
        <is>
          <t>Ginkgo leave</t>
        </is>
      </c>
      <c r="B143" s="51" t="n">
        <v>44.9614795612291</v>
      </c>
      <c r="C143" s="51" t="n">
        <v>14.5156561431397</v>
      </c>
      <c r="D143" s="51" t="n">
        <v>35.2184623877525</v>
      </c>
      <c r="E143" s="51" t="n">
        <v>68.59999999999999</v>
      </c>
      <c r="F143" s="51" t="n">
        <v>7.8</v>
      </c>
      <c r="G143" s="51" t="n">
        <v>23.5</v>
      </c>
      <c r="H143" s="51" t="n">
        <v>45.8</v>
      </c>
      <c r="I143" s="51" t="n">
        <v>46.3</v>
      </c>
      <c r="J143" s="51" t="n">
        <v>5.9</v>
      </c>
      <c r="K143" s="51" t="n">
        <v>4</v>
      </c>
      <c r="L143" s="51" t="n">
        <v>1</v>
      </c>
      <c r="M143" s="51" t="n">
        <v>0</v>
      </c>
      <c r="N143" s="51" t="n">
        <v>1</v>
      </c>
      <c r="O143" s="51" t="n">
        <v>4</v>
      </c>
      <c r="P143" s="51" t="n">
        <v>120</v>
      </c>
      <c r="Q143" s="51" t="n">
        <v>5</v>
      </c>
      <c r="R143" s="51" t="n">
        <v>600</v>
      </c>
      <c r="S143" s="51" t="n">
        <v>0</v>
      </c>
      <c r="T143" s="51" t="n">
        <v>5</v>
      </c>
      <c r="U143" s="51" t="n">
        <v>0</v>
      </c>
      <c r="V143" s="51" t="n">
        <v>0</v>
      </c>
      <c r="W143" s="51" t="n">
        <v>0</v>
      </c>
      <c r="X143" s="51" t="n">
        <v>0.408</v>
      </c>
    </row>
    <row r="144">
      <c r="A144" s="51" t="inlineStr">
        <is>
          <t>Gourd shell</t>
        </is>
      </c>
      <c r="B144" s="51" t="n">
        <v>63.4</v>
      </c>
      <c r="C144" s="51" t="n">
        <v>15.3</v>
      </c>
      <c r="D144" s="51" t="n">
        <v>14.7</v>
      </c>
      <c r="E144" s="51" t="n">
        <v>79.72003083447279</v>
      </c>
      <c r="F144" s="51" t="n">
        <v>3.37115466657483</v>
      </c>
      <c r="G144" s="51" t="n">
        <v>13.3610767925594</v>
      </c>
      <c r="H144" s="51" t="n">
        <v>46.3435375432814</v>
      </c>
      <c r="I144" s="51" t="n">
        <v>46.0032834589402</v>
      </c>
      <c r="J144" s="51" t="n">
        <v>6.042869051375</v>
      </c>
      <c r="K144" s="51" t="n">
        <v>4</v>
      </c>
      <c r="L144" s="51" t="n">
        <v>1</v>
      </c>
      <c r="M144" s="51" t="n">
        <v>1</v>
      </c>
      <c r="N144" s="51" t="n">
        <v>1</v>
      </c>
      <c r="O144" s="51" t="n">
        <v>4</v>
      </c>
      <c r="P144" s="51" t="n">
        <v>1</v>
      </c>
      <c r="Q144" s="51" t="n">
        <v>10</v>
      </c>
      <c r="R144" s="51" t="n">
        <v>1000</v>
      </c>
      <c r="S144" s="51" t="n">
        <v>1</v>
      </c>
      <c r="T144" s="51" t="n">
        <v>5</v>
      </c>
      <c r="U144" s="51" t="n">
        <v>180</v>
      </c>
      <c r="V144" s="51" t="n">
        <v>5</v>
      </c>
      <c r="W144" s="51" t="n">
        <v>1600</v>
      </c>
      <c r="X144" s="51" t="n">
        <v>0.363</v>
      </c>
    </row>
    <row r="145">
      <c r="A145" s="51" t="inlineStr">
        <is>
          <t>Gourd shell</t>
        </is>
      </c>
      <c r="B145" s="51" t="n">
        <v>63.4</v>
      </c>
      <c r="C145" s="51" t="n">
        <v>15.3</v>
      </c>
      <c r="D145" s="51" t="n">
        <v>14.7</v>
      </c>
      <c r="E145" s="51" t="n">
        <v>79.72003083691111</v>
      </c>
      <c r="F145" s="51" t="n">
        <v>3.37115466567164</v>
      </c>
      <c r="G145" s="51" t="n">
        <v>13.3610767911527</v>
      </c>
      <c r="H145" s="51" t="n">
        <v>46.3653239786565</v>
      </c>
      <c r="I145" s="51" t="n">
        <v>45.9726791707685</v>
      </c>
      <c r="J145" s="51" t="n">
        <v>6.04439771038244</v>
      </c>
      <c r="K145" s="51" t="n">
        <v>4</v>
      </c>
      <c r="L145" s="51" t="n">
        <v>1</v>
      </c>
      <c r="M145" s="51" t="n">
        <v>1</v>
      </c>
      <c r="N145" s="51" t="n">
        <v>1</v>
      </c>
      <c r="O145" s="51" t="n">
        <v>4</v>
      </c>
      <c r="P145" s="51" t="n">
        <v>1</v>
      </c>
      <c r="Q145" s="51" t="n">
        <v>10</v>
      </c>
      <c r="R145" s="51" t="n">
        <v>1000</v>
      </c>
      <c r="S145" s="51" t="n">
        <v>1</v>
      </c>
      <c r="T145" s="51" t="n">
        <v>5</v>
      </c>
      <c r="U145" s="51" t="n">
        <v>180</v>
      </c>
      <c r="V145" s="51" t="n">
        <v>5</v>
      </c>
      <c r="W145" s="51" t="n">
        <v>1400</v>
      </c>
      <c r="X145" s="51" t="n">
        <v>0.376</v>
      </c>
    </row>
    <row r="146">
      <c r="A146" s="51" t="inlineStr">
        <is>
          <t>Gourd shell</t>
        </is>
      </c>
      <c r="B146" s="51" t="n">
        <v>63.4</v>
      </c>
      <c r="C146" s="51" t="n">
        <v>15.3</v>
      </c>
      <c r="D146" s="51" t="n">
        <v>14.7</v>
      </c>
      <c r="E146" s="51" t="n">
        <v>79.72003083934941</v>
      </c>
      <c r="F146" s="51" t="n">
        <v>3.37115466476845</v>
      </c>
      <c r="G146" s="51" t="n">
        <v>13.361076789746</v>
      </c>
      <c r="H146" s="51" t="n">
        <v>46.3653239790381</v>
      </c>
      <c r="I146" s="51" t="n">
        <v>45.9726791702317</v>
      </c>
      <c r="J146" s="51" t="n">
        <v>6.04439771039796</v>
      </c>
      <c r="K146" s="51" t="n">
        <v>4</v>
      </c>
      <c r="L146" s="51" t="n">
        <v>1</v>
      </c>
      <c r="M146" s="51" t="n">
        <v>1</v>
      </c>
      <c r="N146" s="51" t="n">
        <v>1</v>
      </c>
      <c r="O146" s="51" t="n">
        <v>4</v>
      </c>
      <c r="P146" s="51" t="n">
        <v>1</v>
      </c>
      <c r="Q146" s="51" t="n">
        <v>10</v>
      </c>
      <c r="R146" s="51" t="n">
        <v>1000</v>
      </c>
      <c r="S146" s="51" t="n">
        <v>1</v>
      </c>
      <c r="T146" s="51" t="n">
        <v>5</v>
      </c>
      <c r="U146" s="51" t="n">
        <v>180</v>
      </c>
      <c r="V146" s="51" t="n">
        <v>5</v>
      </c>
      <c r="W146" s="51" t="n">
        <v>1200</v>
      </c>
      <c r="X146" s="51" t="n">
        <v>0.389</v>
      </c>
    </row>
    <row r="147">
      <c r="A147" s="51" t="inlineStr">
        <is>
          <t>Grape waste</t>
        </is>
      </c>
      <c r="B147" s="51" t="n">
        <v>25.3</v>
      </c>
      <c r="C147" s="51" t="n">
        <v>13.95</v>
      </c>
      <c r="D147" s="51" t="n">
        <v>47.3</v>
      </c>
      <c r="E147" s="51" t="n">
        <v>64.3</v>
      </c>
      <c r="F147" s="51" t="n">
        <v>4.1</v>
      </c>
      <c r="G147" s="51" t="n">
        <v>23.3</v>
      </c>
      <c r="H147" s="51" t="n">
        <v>48.6</v>
      </c>
      <c r="I147" s="51" t="n">
        <v>33.2</v>
      </c>
      <c r="J147" s="51" t="n">
        <v>7</v>
      </c>
      <c r="K147" s="51" t="n">
        <v>1</v>
      </c>
      <c r="L147" s="51" t="n">
        <v>5</v>
      </c>
      <c r="M147" s="51" t="n">
        <v>0</v>
      </c>
      <c r="N147" s="51" t="n">
        <v>1</v>
      </c>
      <c r="O147" s="51" t="n">
        <v>4</v>
      </c>
      <c r="P147" s="51" t="n">
        <v>60</v>
      </c>
      <c r="Q147" s="51" t="n">
        <v>5</v>
      </c>
      <c r="R147" s="51" t="n">
        <v>1300</v>
      </c>
      <c r="S147" s="51" t="n">
        <v>0</v>
      </c>
      <c r="T147" s="51" t="n">
        <v>5</v>
      </c>
      <c r="U147" s="51" t="n">
        <v>0</v>
      </c>
      <c r="V147" s="51" t="n">
        <v>0</v>
      </c>
      <c r="W147" s="51" t="n">
        <v>0</v>
      </c>
      <c r="X147" s="51" t="n">
        <v>0.377</v>
      </c>
    </row>
    <row r="148">
      <c r="A148" s="51" t="inlineStr">
        <is>
          <t>Grape waste</t>
        </is>
      </c>
      <c r="B148" s="51" t="n">
        <v>25.3</v>
      </c>
      <c r="C148" s="51" t="n">
        <v>13.95</v>
      </c>
      <c r="D148" s="51" t="n">
        <v>47.3</v>
      </c>
      <c r="E148" s="51" t="n">
        <v>64.3</v>
      </c>
      <c r="F148" s="51" t="n">
        <v>4.1</v>
      </c>
      <c r="G148" s="51" t="n">
        <v>23.3</v>
      </c>
      <c r="H148" s="51" t="n">
        <v>48.6</v>
      </c>
      <c r="I148" s="51" t="n">
        <v>33.2</v>
      </c>
      <c r="J148" s="51" t="n">
        <v>7</v>
      </c>
      <c r="K148" s="51" t="n">
        <v>4</v>
      </c>
      <c r="L148" s="51" t="n">
        <v>5</v>
      </c>
      <c r="M148" s="51" t="n">
        <v>0</v>
      </c>
      <c r="N148" s="51" t="n">
        <v>1</v>
      </c>
      <c r="O148" s="51" t="n">
        <v>4</v>
      </c>
      <c r="P148" s="51" t="n">
        <v>60</v>
      </c>
      <c r="Q148" s="51" t="n">
        <v>5</v>
      </c>
      <c r="R148" s="51" t="n">
        <v>1300</v>
      </c>
      <c r="S148" s="51" t="n">
        <v>0</v>
      </c>
      <c r="T148" s="51" t="n">
        <v>5</v>
      </c>
      <c r="U148" s="51" t="n">
        <v>0</v>
      </c>
      <c r="V148" s="51" t="n">
        <v>0</v>
      </c>
      <c r="W148" s="51" t="n">
        <v>0</v>
      </c>
      <c r="X148" s="51" t="n">
        <v>0.398</v>
      </c>
    </row>
    <row r="149">
      <c r="A149" s="51" t="inlineStr">
        <is>
          <t>Hemi-cellulose</t>
        </is>
      </c>
      <c r="B149" s="51" t="n">
        <v>0</v>
      </c>
      <c r="C149" s="51" t="n">
        <v>100</v>
      </c>
      <c r="D149" s="51" t="n">
        <v>0</v>
      </c>
      <c r="E149" s="51" t="n">
        <v>74.0492947277552</v>
      </c>
      <c r="F149" s="51" t="n">
        <v>2.22332850801585</v>
      </c>
      <c r="G149" s="51" t="n">
        <v>20.5790151569092</v>
      </c>
      <c r="H149" s="51" t="n">
        <v>47.894393413243</v>
      </c>
      <c r="I149" s="51" t="n">
        <v>42.751319643441</v>
      </c>
      <c r="J149" s="51" t="n">
        <v>6.12333551441884</v>
      </c>
      <c r="K149" s="51" t="n">
        <v>4</v>
      </c>
      <c r="L149" s="51" t="n">
        <v>5</v>
      </c>
      <c r="M149" s="51" t="n">
        <v>0</v>
      </c>
      <c r="N149" s="51" t="n">
        <v>1</v>
      </c>
      <c r="O149" s="51" t="n">
        <v>4</v>
      </c>
      <c r="P149" s="51" t="n">
        <v>240</v>
      </c>
      <c r="Q149" s="51" t="n">
        <v>5</v>
      </c>
      <c r="R149" s="51" t="n">
        <v>1400</v>
      </c>
      <c r="S149" s="51" t="n">
        <v>0</v>
      </c>
      <c r="T149" s="51" t="n">
        <v>5</v>
      </c>
      <c r="U149" s="51" t="n">
        <v>0</v>
      </c>
      <c r="V149" s="51" t="n">
        <v>0</v>
      </c>
      <c r="W149" s="51" t="n">
        <v>0</v>
      </c>
      <c r="X149" s="51" t="n">
        <v>0.374</v>
      </c>
    </row>
    <row r="150">
      <c r="A150" s="51" t="inlineStr">
        <is>
          <t>Hemi-cellulose</t>
        </is>
      </c>
      <c r="B150" s="51" t="n">
        <v>0</v>
      </c>
      <c r="C150" s="51" t="n">
        <v>100</v>
      </c>
      <c r="D150" s="51" t="n">
        <v>0</v>
      </c>
      <c r="E150" s="51" t="n">
        <v>74.0492947277552</v>
      </c>
      <c r="F150" s="51" t="n">
        <v>2.22332850801585</v>
      </c>
      <c r="G150" s="51" t="n">
        <v>20.5790151569092</v>
      </c>
      <c r="H150" s="51" t="n">
        <v>47.894393413243</v>
      </c>
      <c r="I150" s="51" t="n">
        <v>42.751319643441</v>
      </c>
      <c r="J150" s="51" t="n">
        <v>6.12333551441884</v>
      </c>
      <c r="K150" s="51" t="n">
        <v>4</v>
      </c>
      <c r="L150" s="51" t="n">
        <v>5</v>
      </c>
      <c r="M150" s="51" t="n">
        <v>0</v>
      </c>
      <c r="N150" s="51" t="n">
        <v>1</v>
      </c>
      <c r="O150" s="51" t="n">
        <v>4</v>
      </c>
      <c r="P150" s="51" t="n">
        <v>240</v>
      </c>
      <c r="Q150" s="51" t="n">
        <v>5</v>
      </c>
      <c r="R150" s="51" t="n">
        <v>1200</v>
      </c>
      <c r="S150" s="51" t="n">
        <v>0</v>
      </c>
      <c r="T150" s="51" t="n">
        <v>5</v>
      </c>
      <c r="U150" s="51" t="n">
        <v>0</v>
      </c>
      <c r="V150" s="51" t="n">
        <v>0</v>
      </c>
      <c r="W150" s="51" t="n">
        <v>0</v>
      </c>
      <c r="X150" s="51" t="n">
        <v>0.382</v>
      </c>
    </row>
    <row r="151">
      <c r="A151" s="51" t="inlineStr">
        <is>
          <t>Hemi-cellulose</t>
        </is>
      </c>
      <c r="B151" s="51" t="n">
        <v>0</v>
      </c>
      <c r="C151" s="51" t="n">
        <v>100</v>
      </c>
      <c r="D151" s="51" t="n">
        <v>0</v>
      </c>
      <c r="E151" s="51" t="n">
        <v>74.0492947277552</v>
      </c>
      <c r="F151" s="51" t="n">
        <v>2.22332850801585</v>
      </c>
      <c r="G151" s="51" t="n">
        <v>20.5790151569092</v>
      </c>
      <c r="H151" s="51" t="n">
        <v>47.894393413243</v>
      </c>
      <c r="I151" s="51" t="n">
        <v>42.751319643441</v>
      </c>
      <c r="J151" s="51" t="n">
        <v>6.12333551441884</v>
      </c>
      <c r="K151" s="51" t="n">
        <v>4</v>
      </c>
      <c r="L151" s="51" t="n">
        <v>5</v>
      </c>
      <c r="M151" s="51" t="n">
        <v>0</v>
      </c>
      <c r="N151" s="51" t="n">
        <v>1</v>
      </c>
      <c r="O151" s="51" t="n">
        <v>4</v>
      </c>
      <c r="P151" s="51" t="n">
        <v>240</v>
      </c>
      <c r="Q151" s="51" t="n">
        <v>5</v>
      </c>
      <c r="R151" s="51" t="n">
        <v>1000</v>
      </c>
      <c r="S151" s="51" t="n">
        <v>0</v>
      </c>
      <c r="T151" s="51" t="n">
        <v>5</v>
      </c>
      <c r="U151" s="51" t="n">
        <v>0</v>
      </c>
      <c r="V151" s="51" t="n">
        <v>0</v>
      </c>
      <c r="W151" s="51" t="n">
        <v>0</v>
      </c>
      <c r="X151" s="51" t="n">
        <v>0.391</v>
      </c>
    </row>
    <row r="152">
      <c r="A152" s="51" t="inlineStr">
        <is>
          <t>Hemi-cellulose</t>
        </is>
      </c>
      <c r="B152" s="51" t="n">
        <v>0</v>
      </c>
      <c r="C152" s="51" t="n">
        <v>100</v>
      </c>
      <c r="D152" s="51" t="n">
        <v>0</v>
      </c>
      <c r="E152" s="51" t="n">
        <v>74.0492947277552</v>
      </c>
      <c r="F152" s="51" t="n">
        <v>2.22332850801585</v>
      </c>
      <c r="G152" s="51" t="n">
        <v>20.5790151569092</v>
      </c>
      <c r="H152" s="51" t="n">
        <v>47.894393413243</v>
      </c>
      <c r="I152" s="51" t="n">
        <v>42.751319643441</v>
      </c>
      <c r="J152" s="51" t="n">
        <v>6.12333551441884</v>
      </c>
      <c r="K152" s="51" t="n">
        <v>4</v>
      </c>
      <c r="L152" s="51" t="n">
        <v>5</v>
      </c>
      <c r="M152" s="51" t="n">
        <v>0</v>
      </c>
      <c r="N152" s="51" t="n">
        <v>1</v>
      </c>
      <c r="O152" s="51" t="n">
        <v>4</v>
      </c>
      <c r="P152" s="51" t="n">
        <v>240</v>
      </c>
      <c r="Q152" s="51" t="n">
        <v>5</v>
      </c>
      <c r="R152" s="51" t="n">
        <v>800</v>
      </c>
      <c r="S152" s="51" t="n">
        <v>0</v>
      </c>
      <c r="T152" s="51" t="n">
        <v>5</v>
      </c>
      <c r="U152" s="51" t="n">
        <v>0</v>
      </c>
      <c r="V152" s="51" t="n">
        <v>0</v>
      </c>
      <c r="W152" s="51" t="n">
        <v>0</v>
      </c>
      <c r="X152" s="51" t="n">
        <v>0.393</v>
      </c>
    </row>
    <row r="153">
      <c r="A153" s="51" t="inlineStr">
        <is>
          <t>Hemi-cellulose</t>
        </is>
      </c>
      <c r="B153" s="51" t="n">
        <v>0</v>
      </c>
      <c r="C153" s="51" t="n">
        <v>100</v>
      </c>
      <c r="D153" s="51" t="n">
        <v>0</v>
      </c>
      <c r="E153" s="51" t="n">
        <v>74.0492947277552</v>
      </c>
      <c r="F153" s="51" t="n">
        <v>2.22332850801585</v>
      </c>
      <c r="G153" s="51" t="n">
        <v>20.5790151569092</v>
      </c>
      <c r="H153" s="51" t="n">
        <v>47.894393413243</v>
      </c>
      <c r="I153" s="51" t="n">
        <v>42.751319643441</v>
      </c>
      <c r="J153" s="51" t="n">
        <v>6.12333551441884</v>
      </c>
      <c r="K153" s="51" t="n">
        <v>4</v>
      </c>
      <c r="L153" s="51" t="n">
        <v>5</v>
      </c>
      <c r="M153" s="51" t="n">
        <v>0</v>
      </c>
      <c r="N153" s="51" t="n">
        <v>1</v>
      </c>
      <c r="O153" s="51" t="n">
        <v>4</v>
      </c>
      <c r="P153" s="51" t="n">
        <v>240</v>
      </c>
      <c r="Q153" s="51" t="n">
        <v>5</v>
      </c>
      <c r="R153" s="51" t="n">
        <v>600</v>
      </c>
      <c r="S153" s="51" t="n">
        <v>0</v>
      </c>
      <c r="T153" s="51" t="n">
        <v>5</v>
      </c>
      <c r="U153" s="51" t="n">
        <v>0</v>
      </c>
      <c r="V153" s="51" t="n">
        <v>0</v>
      </c>
      <c r="W153" s="51" t="n">
        <v>0</v>
      </c>
      <c r="X153" s="51" t="n">
        <v>0.399</v>
      </c>
    </row>
    <row r="154">
      <c r="A154" s="51" t="inlineStr">
        <is>
          <t xml:space="preserve">Hemp hurd </t>
        </is>
      </c>
      <c r="B154" s="51" t="n">
        <v>32</v>
      </c>
      <c r="C154" s="51" t="n">
        <v>38.1</v>
      </c>
      <c r="D154" s="51" t="n">
        <v>23.8</v>
      </c>
      <c r="E154" s="51" t="n">
        <v>81.3</v>
      </c>
      <c r="F154" s="51" t="n">
        <v>3</v>
      </c>
      <c r="G154" s="51" t="n">
        <v>15.7</v>
      </c>
      <c r="H154" s="51" t="n">
        <v>46.3</v>
      </c>
      <c r="I154" s="51" t="n">
        <v>44.5</v>
      </c>
      <c r="J154" s="51" t="n">
        <v>5.7</v>
      </c>
      <c r="K154" s="51" t="n">
        <v>4</v>
      </c>
      <c r="L154" s="51" t="n">
        <v>1</v>
      </c>
      <c r="M154" s="51" t="n">
        <v>1</v>
      </c>
      <c r="N154" s="51" t="n">
        <v>1</v>
      </c>
      <c r="O154" s="51" t="n">
        <v>4</v>
      </c>
      <c r="P154" s="51" t="n">
        <v>720</v>
      </c>
      <c r="Q154" s="51" t="n">
        <v>5</v>
      </c>
      <c r="R154" s="51" t="n">
        <v>500</v>
      </c>
      <c r="S154" s="51" t="n">
        <v>1</v>
      </c>
      <c r="T154" s="51" t="n">
        <v>5</v>
      </c>
      <c r="U154" s="51" t="n">
        <v>120</v>
      </c>
      <c r="V154" s="51" t="n">
        <v>5</v>
      </c>
      <c r="W154" s="51" t="n">
        <v>1200</v>
      </c>
      <c r="X154" s="51" t="n">
        <v>0.377</v>
      </c>
    </row>
    <row r="155">
      <c r="A155" s="51" t="inlineStr">
        <is>
          <t xml:space="preserve">Hemp hurd </t>
        </is>
      </c>
      <c r="B155" s="51" t="n">
        <v>32</v>
      </c>
      <c r="C155" s="51" t="n">
        <v>38.1</v>
      </c>
      <c r="D155" s="51" t="n">
        <v>23.8</v>
      </c>
      <c r="E155" s="51" t="n">
        <v>81.3</v>
      </c>
      <c r="F155" s="51" t="n">
        <v>3</v>
      </c>
      <c r="G155" s="51" t="n">
        <v>15.7</v>
      </c>
      <c r="H155" s="51" t="n">
        <v>46.3</v>
      </c>
      <c r="I155" s="51" t="n">
        <v>44.5</v>
      </c>
      <c r="J155" s="51" t="n">
        <v>5.7</v>
      </c>
      <c r="K155" s="51" t="n">
        <v>4</v>
      </c>
      <c r="L155" s="51" t="n">
        <v>1</v>
      </c>
      <c r="M155" s="51" t="n">
        <v>1</v>
      </c>
      <c r="N155" s="51" t="n">
        <v>0</v>
      </c>
      <c r="O155" s="51" t="n">
        <v>0</v>
      </c>
      <c r="P155" s="51" t="n">
        <v>720</v>
      </c>
      <c r="Q155" s="51" t="n">
        <v>5</v>
      </c>
      <c r="R155" s="51" t="n">
        <v>180</v>
      </c>
      <c r="S155" s="51" t="n">
        <v>1</v>
      </c>
      <c r="T155" s="51" t="n">
        <v>5</v>
      </c>
      <c r="U155" s="51" t="n">
        <v>120</v>
      </c>
      <c r="V155" s="51" t="n">
        <v>5</v>
      </c>
      <c r="W155" s="51" t="n">
        <v>1200</v>
      </c>
      <c r="X155" s="51" t="n">
        <v>0.377</v>
      </c>
    </row>
    <row r="156">
      <c r="A156" s="51" t="inlineStr">
        <is>
          <t xml:space="preserve">Hemp hurd </t>
        </is>
      </c>
      <c r="B156" s="51" t="n">
        <v>32</v>
      </c>
      <c r="C156" s="51" t="n">
        <v>38.1</v>
      </c>
      <c r="D156" s="51" t="n">
        <v>23.8</v>
      </c>
      <c r="E156" s="51" t="n">
        <v>81.3</v>
      </c>
      <c r="F156" s="51" t="n">
        <v>3</v>
      </c>
      <c r="G156" s="51" t="n">
        <v>15.7</v>
      </c>
      <c r="H156" s="51" t="n">
        <v>46.3</v>
      </c>
      <c r="I156" s="51" t="n">
        <v>44.5</v>
      </c>
      <c r="J156" s="51" t="n">
        <v>5.7</v>
      </c>
      <c r="K156" s="51" t="n">
        <v>4</v>
      </c>
      <c r="L156" s="51" t="n">
        <v>1</v>
      </c>
      <c r="M156" s="51" t="n">
        <v>1</v>
      </c>
      <c r="N156" s="51" t="n">
        <v>1</v>
      </c>
      <c r="O156" s="51" t="n">
        <v>4</v>
      </c>
      <c r="P156" s="51" t="n">
        <v>720</v>
      </c>
      <c r="Q156" s="51" t="n">
        <v>5</v>
      </c>
      <c r="R156" s="51" t="n">
        <v>500</v>
      </c>
      <c r="S156" s="51" t="n">
        <v>1</v>
      </c>
      <c r="T156" s="51" t="n">
        <v>5</v>
      </c>
      <c r="U156" s="51" t="n">
        <v>120</v>
      </c>
      <c r="V156" s="51" t="n">
        <v>5</v>
      </c>
      <c r="W156" s="51" t="n">
        <v>1000</v>
      </c>
      <c r="X156" s="51" t="n">
        <v>0.381</v>
      </c>
    </row>
    <row r="157">
      <c r="A157" s="51" t="inlineStr">
        <is>
          <t xml:space="preserve">Hemp hurd </t>
        </is>
      </c>
      <c r="B157" s="51" t="n">
        <v>32</v>
      </c>
      <c r="C157" s="51" t="n">
        <v>38.1</v>
      </c>
      <c r="D157" s="51" t="n">
        <v>23.8</v>
      </c>
      <c r="E157" s="51" t="n">
        <v>81.3</v>
      </c>
      <c r="F157" s="51" t="n">
        <v>3</v>
      </c>
      <c r="G157" s="51" t="n">
        <v>15.7</v>
      </c>
      <c r="H157" s="51" t="n">
        <v>46.3</v>
      </c>
      <c r="I157" s="51" t="n">
        <v>44.5</v>
      </c>
      <c r="J157" s="51" t="n">
        <v>5.7</v>
      </c>
      <c r="K157" s="51" t="n">
        <v>4</v>
      </c>
      <c r="L157" s="51" t="n">
        <v>1</v>
      </c>
      <c r="M157" s="51" t="n">
        <v>1</v>
      </c>
      <c r="N157" s="51" t="n">
        <v>0</v>
      </c>
      <c r="O157" s="51" t="n">
        <v>0</v>
      </c>
      <c r="P157" s="51" t="n">
        <v>720</v>
      </c>
      <c r="Q157" s="51" t="n">
        <v>5</v>
      </c>
      <c r="R157" s="51" t="n">
        <v>180</v>
      </c>
      <c r="S157" s="51" t="n">
        <v>1</v>
      </c>
      <c r="T157" s="51" t="n">
        <v>5</v>
      </c>
      <c r="U157" s="51" t="n">
        <v>120</v>
      </c>
      <c r="V157" s="51" t="n">
        <v>5</v>
      </c>
      <c r="W157" s="51" t="n">
        <v>1000</v>
      </c>
      <c r="X157" s="51" t="n">
        <v>0.383</v>
      </c>
    </row>
    <row r="158">
      <c r="A158" s="51" t="inlineStr">
        <is>
          <t xml:space="preserve">Hemp hurd </t>
        </is>
      </c>
      <c r="B158" s="51" t="n">
        <v>32</v>
      </c>
      <c r="C158" s="51" t="n">
        <v>38.1</v>
      </c>
      <c r="D158" s="51" t="n">
        <v>23.8</v>
      </c>
      <c r="E158" s="51" t="n">
        <v>81.3</v>
      </c>
      <c r="F158" s="51" t="n">
        <v>3</v>
      </c>
      <c r="G158" s="51" t="n">
        <v>15.7</v>
      </c>
      <c r="H158" s="51" t="n">
        <v>46.3</v>
      </c>
      <c r="I158" s="51" t="n">
        <v>44.5</v>
      </c>
      <c r="J158" s="51" t="n">
        <v>5.7</v>
      </c>
      <c r="K158" s="51" t="n">
        <v>4</v>
      </c>
      <c r="L158" s="51" t="n">
        <v>1</v>
      </c>
      <c r="M158" s="51" t="n">
        <v>1</v>
      </c>
      <c r="N158" s="51" t="n">
        <v>0</v>
      </c>
      <c r="O158" s="51" t="n">
        <v>0</v>
      </c>
      <c r="P158" s="51" t="n">
        <v>720</v>
      </c>
      <c r="Q158" s="51" t="n">
        <v>5</v>
      </c>
      <c r="R158" s="51" t="n">
        <v>180</v>
      </c>
      <c r="S158" s="51" t="n">
        <v>1</v>
      </c>
      <c r="T158" s="51" t="n">
        <v>5</v>
      </c>
      <c r="U158" s="51" t="n">
        <v>120</v>
      </c>
      <c r="V158" s="51" t="n">
        <v>5</v>
      </c>
      <c r="W158" s="51" t="n">
        <v>800</v>
      </c>
      <c r="X158" s="51" t="n">
        <v>0.385</v>
      </c>
    </row>
    <row r="159">
      <c r="A159" s="51" t="inlineStr">
        <is>
          <t xml:space="preserve">Hemp hurd </t>
        </is>
      </c>
      <c r="B159" s="51" t="n">
        <v>32</v>
      </c>
      <c r="C159" s="51" t="n">
        <v>38.1</v>
      </c>
      <c r="D159" s="51" t="n">
        <v>23.8</v>
      </c>
      <c r="E159" s="51" t="n">
        <v>81.3</v>
      </c>
      <c r="F159" s="51" t="n">
        <v>3</v>
      </c>
      <c r="G159" s="51" t="n">
        <v>15.7</v>
      </c>
      <c r="H159" s="51" t="n">
        <v>46.3</v>
      </c>
      <c r="I159" s="51" t="n">
        <v>44.5</v>
      </c>
      <c r="J159" s="51" t="n">
        <v>5.7</v>
      </c>
      <c r="K159" s="51" t="n">
        <v>4</v>
      </c>
      <c r="L159" s="51" t="n">
        <v>1</v>
      </c>
      <c r="M159" s="51" t="n">
        <v>1</v>
      </c>
      <c r="N159" s="51" t="n">
        <v>0</v>
      </c>
      <c r="O159" s="51" t="n">
        <v>0</v>
      </c>
      <c r="P159" s="51" t="n">
        <v>720</v>
      </c>
      <c r="Q159" s="51" t="n">
        <v>5</v>
      </c>
      <c r="R159" s="51" t="n">
        <v>180</v>
      </c>
      <c r="S159" s="51" t="n">
        <v>1</v>
      </c>
      <c r="T159" s="51" t="n">
        <v>5</v>
      </c>
      <c r="U159" s="51" t="n">
        <v>120</v>
      </c>
      <c r="V159" s="51" t="n">
        <v>5</v>
      </c>
      <c r="W159" s="51" t="n">
        <v>1000</v>
      </c>
      <c r="X159" s="51" t="n">
        <v>0.385</v>
      </c>
    </row>
    <row r="160">
      <c r="A160" s="51" t="inlineStr">
        <is>
          <t xml:space="preserve">Hemp hurd </t>
        </is>
      </c>
      <c r="B160" s="51" t="n">
        <v>32</v>
      </c>
      <c r="C160" s="51" t="n">
        <v>38.1</v>
      </c>
      <c r="D160" s="51" t="n">
        <v>23.8</v>
      </c>
      <c r="E160" s="51" t="n">
        <v>81.3</v>
      </c>
      <c r="F160" s="51" t="n">
        <v>3</v>
      </c>
      <c r="G160" s="51" t="n">
        <v>15.7</v>
      </c>
      <c r="H160" s="51" t="n">
        <v>46.3</v>
      </c>
      <c r="I160" s="51" t="n">
        <v>44.5</v>
      </c>
      <c r="J160" s="51" t="n">
        <v>5.7</v>
      </c>
      <c r="K160" s="51" t="n">
        <v>4</v>
      </c>
      <c r="L160" s="51" t="n">
        <v>1</v>
      </c>
      <c r="M160" s="51" t="n">
        <v>1</v>
      </c>
      <c r="N160" s="51" t="n">
        <v>0</v>
      </c>
      <c r="O160" s="51" t="n">
        <v>0</v>
      </c>
      <c r="P160" s="51" t="n">
        <v>720</v>
      </c>
      <c r="Q160" s="51" t="n">
        <v>5</v>
      </c>
      <c r="R160" s="51" t="n">
        <v>180</v>
      </c>
      <c r="S160" s="51" t="n">
        <v>1</v>
      </c>
      <c r="T160" s="51" t="n">
        <v>5</v>
      </c>
      <c r="U160" s="51" t="n">
        <v>120</v>
      </c>
      <c r="V160" s="51" t="n">
        <v>5</v>
      </c>
      <c r="W160" s="51" t="n">
        <v>1200</v>
      </c>
      <c r="X160" s="51" t="n">
        <v>0.385</v>
      </c>
    </row>
    <row r="161">
      <c r="A161" s="51" t="inlineStr">
        <is>
          <t xml:space="preserve">Hemp hurd </t>
        </is>
      </c>
      <c r="B161" s="51" t="n">
        <v>32</v>
      </c>
      <c r="C161" s="51" t="n">
        <v>38.1</v>
      </c>
      <c r="D161" s="51" t="n">
        <v>23.8</v>
      </c>
      <c r="E161" s="51" t="n">
        <v>81.3</v>
      </c>
      <c r="F161" s="51" t="n">
        <v>3</v>
      </c>
      <c r="G161" s="51" t="n">
        <v>15.7</v>
      </c>
      <c r="H161" s="51" t="n">
        <v>46.3</v>
      </c>
      <c r="I161" s="51" t="n">
        <v>44.5</v>
      </c>
      <c r="J161" s="51" t="n">
        <v>5.7</v>
      </c>
      <c r="K161" s="51" t="n">
        <v>4</v>
      </c>
      <c r="L161" s="51" t="n">
        <v>1</v>
      </c>
      <c r="M161" s="51" t="n">
        <v>1</v>
      </c>
      <c r="N161" s="51" t="n">
        <v>0</v>
      </c>
      <c r="O161" s="51" t="n">
        <v>0</v>
      </c>
      <c r="P161" s="51" t="n">
        <v>720</v>
      </c>
      <c r="Q161" s="51" t="n">
        <v>5</v>
      </c>
      <c r="R161" s="51" t="n">
        <v>180</v>
      </c>
      <c r="S161" s="51" t="n">
        <v>1</v>
      </c>
      <c r="T161" s="51" t="n">
        <v>5</v>
      </c>
      <c r="U161" s="51" t="n">
        <v>120</v>
      </c>
      <c r="V161" s="51" t="n">
        <v>5</v>
      </c>
      <c r="W161" s="51" t="n">
        <v>800</v>
      </c>
      <c r="X161" s="51" t="n">
        <v>0.388</v>
      </c>
    </row>
    <row r="162">
      <c r="A162" s="51" t="inlineStr">
        <is>
          <t xml:space="preserve">Hemp hurd </t>
        </is>
      </c>
      <c r="B162" s="51" t="n">
        <v>32</v>
      </c>
      <c r="C162" s="51" t="n">
        <v>38.1</v>
      </c>
      <c r="D162" s="51" t="n">
        <v>23.8</v>
      </c>
      <c r="E162" s="51" t="n">
        <v>81.3</v>
      </c>
      <c r="F162" s="51" t="n">
        <v>3</v>
      </c>
      <c r="G162" s="51" t="n">
        <v>15.7</v>
      </c>
      <c r="H162" s="51" t="n">
        <v>46.3</v>
      </c>
      <c r="I162" s="51" t="n">
        <v>44.5</v>
      </c>
      <c r="J162" s="51" t="n">
        <v>5.7</v>
      </c>
      <c r="K162" s="51" t="n">
        <v>4</v>
      </c>
      <c r="L162" s="51" t="n">
        <v>1</v>
      </c>
      <c r="M162" s="51" t="n">
        <v>1</v>
      </c>
      <c r="N162" s="51" t="n">
        <v>1</v>
      </c>
      <c r="O162" s="51" t="n">
        <v>4</v>
      </c>
      <c r="P162" s="51" t="n">
        <v>720</v>
      </c>
      <c r="Q162" s="51" t="n">
        <v>5</v>
      </c>
      <c r="R162" s="51" t="n">
        <v>500</v>
      </c>
      <c r="S162" s="51" t="n">
        <v>1</v>
      </c>
      <c r="T162" s="51" t="n">
        <v>1</v>
      </c>
      <c r="U162" s="51" t="n">
        <v>60</v>
      </c>
      <c r="V162" s="51" t="n">
        <v>1</v>
      </c>
      <c r="W162" s="51" t="n">
        <v>800</v>
      </c>
      <c r="X162" s="51" t="n">
        <v>0.389</v>
      </c>
    </row>
    <row r="163">
      <c r="A163" s="51" t="inlineStr">
        <is>
          <t xml:space="preserve">Hemp hurd </t>
        </is>
      </c>
      <c r="B163" s="51" t="n">
        <v>32</v>
      </c>
      <c r="C163" s="51" t="n">
        <v>38.1</v>
      </c>
      <c r="D163" s="51" t="n">
        <v>23.8</v>
      </c>
      <c r="E163" s="51" t="n">
        <v>81.3</v>
      </c>
      <c r="F163" s="51" t="n">
        <v>3</v>
      </c>
      <c r="G163" s="51" t="n">
        <v>15.7</v>
      </c>
      <c r="H163" s="51" t="n">
        <v>46.3</v>
      </c>
      <c r="I163" s="51" t="n">
        <v>44.5</v>
      </c>
      <c r="J163" s="51" t="n">
        <v>5.7</v>
      </c>
      <c r="K163" s="51" t="n">
        <v>4</v>
      </c>
      <c r="L163" s="51" t="n">
        <v>1</v>
      </c>
      <c r="M163" s="51" t="n">
        <v>1</v>
      </c>
      <c r="N163" s="51" t="n">
        <v>1</v>
      </c>
      <c r="O163" s="51" t="n">
        <v>4</v>
      </c>
      <c r="P163" s="51" t="n">
        <v>720</v>
      </c>
      <c r="Q163" s="51" t="n">
        <v>5</v>
      </c>
      <c r="R163" s="51" t="n">
        <v>500</v>
      </c>
      <c r="S163" s="51" t="n">
        <v>1</v>
      </c>
      <c r="T163" s="51" t="n">
        <v>5</v>
      </c>
      <c r="U163" s="51" t="n">
        <v>120</v>
      </c>
      <c r="V163" s="51" t="n">
        <v>5</v>
      </c>
      <c r="W163" s="51" t="n">
        <v>800</v>
      </c>
      <c r="X163" s="51" t="n">
        <v>0.39</v>
      </c>
    </row>
    <row r="164">
      <c r="A164" s="51" t="inlineStr">
        <is>
          <t xml:space="preserve">Hemp hurd </t>
        </is>
      </c>
      <c r="B164" s="51" t="n">
        <v>32</v>
      </c>
      <c r="C164" s="51" t="n">
        <v>38.1</v>
      </c>
      <c r="D164" s="51" t="n">
        <v>23.8</v>
      </c>
      <c r="E164" s="51" t="n">
        <v>81.3</v>
      </c>
      <c r="F164" s="51" t="n">
        <v>3</v>
      </c>
      <c r="G164" s="51" t="n">
        <v>15.7</v>
      </c>
      <c r="H164" s="51" t="n">
        <v>46.3</v>
      </c>
      <c r="I164" s="51" t="n">
        <v>44.5</v>
      </c>
      <c r="J164" s="51" t="n">
        <v>5.7</v>
      </c>
      <c r="K164" s="51" t="n">
        <v>4</v>
      </c>
      <c r="L164" s="51" t="n">
        <v>1</v>
      </c>
      <c r="M164" s="51" t="n">
        <v>1</v>
      </c>
      <c r="N164" s="51" t="n">
        <v>1</v>
      </c>
      <c r="O164" s="51" t="n">
        <v>4</v>
      </c>
      <c r="P164" s="51" t="n">
        <v>720</v>
      </c>
      <c r="Q164" s="51" t="n">
        <v>5</v>
      </c>
      <c r="R164" s="51" t="n">
        <v>500</v>
      </c>
      <c r="S164" s="51" t="n">
        <v>1</v>
      </c>
      <c r="T164" s="51" t="n">
        <v>1</v>
      </c>
      <c r="U164" s="51" t="n">
        <v>60</v>
      </c>
      <c r="V164" s="51" t="n">
        <v>1</v>
      </c>
      <c r="W164" s="51" t="n">
        <v>800</v>
      </c>
      <c r="X164" s="51" t="n">
        <v>0.395</v>
      </c>
    </row>
    <row r="165">
      <c r="A165" s="51" t="inlineStr">
        <is>
          <t xml:space="preserve">Hemp hurd </t>
        </is>
      </c>
      <c r="B165" s="51" t="n">
        <v>32</v>
      </c>
      <c r="C165" s="51" t="n">
        <v>38.1</v>
      </c>
      <c r="D165" s="51" t="n">
        <v>23.8</v>
      </c>
      <c r="E165" s="51" t="n">
        <v>81.3</v>
      </c>
      <c r="F165" s="51" t="n">
        <v>3</v>
      </c>
      <c r="G165" s="51" t="n">
        <v>15.7</v>
      </c>
      <c r="H165" s="51" t="n">
        <v>46.3</v>
      </c>
      <c r="I165" s="51" t="n">
        <v>44.5</v>
      </c>
      <c r="J165" s="51" t="n">
        <v>5.7</v>
      </c>
      <c r="K165" s="51" t="n">
        <v>4</v>
      </c>
      <c r="L165" s="51" t="n">
        <v>1</v>
      </c>
      <c r="M165" s="51" t="n">
        <v>1</v>
      </c>
      <c r="N165" s="51" t="n">
        <v>1</v>
      </c>
      <c r="O165" s="51" t="n">
        <v>4</v>
      </c>
      <c r="P165" s="51" t="n">
        <v>720</v>
      </c>
      <c r="Q165" s="51" t="n">
        <v>5</v>
      </c>
      <c r="R165" s="51" t="n">
        <v>500</v>
      </c>
      <c r="S165" s="51" t="n">
        <v>1</v>
      </c>
      <c r="T165" s="51" t="n">
        <v>1</v>
      </c>
      <c r="U165" s="51" t="n">
        <v>60</v>
      </c>
      <c r="V165" s="51" t="n">
        <v>1</v>
      </c>
      <c r="W165" s="51" t="n">
        <v>700</v>
      </c>
      <c r="X165" s="51" t="n">
        <v>0.396</v>
      </c>
    </row>
    <row r="166">
      <c r="A166" s="51" t="inlineStr">
        <is>
          <t xml:space="preserve">Hemp hurd </t>
        </is>
      </c>
      <c r="B166" s="51" t="n">
        <v>32</v>
      </c>
      <c r="C166" s="51" t="n">
        <v>38.1</v>
      </c>
      <c r="D166" s="51" t="n">
        <v>23.8</v>
      </c>
      <c r="E166" s="51" t="n">
        <v>81.3</v>
      </c>
      <c r="F166" s="51" t="n">
        <v>3</v>
      </c>
      <c r="G166" s="51" t="n">
        <v>15.7</v>
      </c>
      <c r="H166" s="51" t="n">
        <v>46.3</v>
      </c>
      <c r="I166" s="51" t="n">
        <v>44.5</v>
      </c>
      <c r="J166" s="51" t="n">
        <v>5.7</v>
      </c>
      <c r="K166" s="51" t="n">
        <v>4</v>
      </c>
      <c r="L166" s="51" t="n">
        <v>1</v>
      </c>
      <c r="M166" s="51" t="n">
        <v>1</v>
      </c>
      <c r="N166" s="51" t="n">
        <v>1</v>
      </c>
      <c r="O166" s="51" t="n">
        <v>4</v>
      </c>
      <c r="P166" s="51" t="n">
        <v>720</v>
      </c>
      <c r="Q166" s="51" t="n">
        <v>5</v>
      </c>
      <c r="R166" s="51" t="n">
        <v>500</v>
      </c>
      <c r="S166" s="51" t="n">
        <v>1</v>
      </c>
      <c r="T166" s="51" t="n">
        <v>1</v>
      </c>
      <c r="U166" s="51" t="n">
        <v>60</v>
      </c>
      <c r="V166" s="51" t="n">
        <v>1</v>
      </c>
      <c r="W166" s="51" t="n">
        <v>700</v>
      </c>
      <c r="X166" s="51" t="n">
        <v>0.397</v>
      </c>
    </row>
    <row r="167">
      <c r="A167" s="51" t="inlineStr">
        <is>
          <t xml:space="preserve">Hemp hurd </t>
        </is>
      </c>
      <c r="B167" s="51" t="n">
        <v>32</v>
      </c>
      <c r="C167" s="51" t="n">
        <v>38.1</v>
      </c>
      <c r="D167" s="51" t="n">
        <v>23.8</v>
      </c>
      <c r="E167" s="51" t="n">
        <v>81.3</v>
      </c>
      <c r="F167" s="51" t="n">
        <v>3</v>
      </c>
      <c r="G167" s="51" t="n">
        <v>15.7</v>
      </c>
      <c r="H167" s="51" t="n">
        <v>46.3</v>
      </c>
      <c r="I167" s="51" t="n">
        <v>44.5</v>
      </c>
      <c r="J167" s="51" t="n">
        <v>5.7</v>
      </c>
      <c r="K167" s="51" t="n">
        <v>4</v>
      </c>
      <c r="L167" s="51" t="n">
        <v>1</v>
      </c>
      <c r="M167" s="51" t="n">
        <v>1</v>
      </c>
      <c r="N167" s="51" t="n">
        <v>1</v>
      </c>
      <c r="O167" s="51" t="n">
        <v>4</v>
      </c>
      <c r="P167" s="51" t="n">
        <v>720</v>
      </c>
      <c r="Q167" s="51" t="n">
        <v>5</v>
      </c>
      <c r="R167" s="51" t="n">
        <v>500</v>
      </c>
      <c r="S167" s="51" t="n">
        <v>1</v>
      </c>
      <c r="T167" s="51" t="n">
        <v>1</v>
      </c>
      <c r="U167" s="51" t="n">
        <v>60</v>
      </c>
      <c r="V167" s="51" t="n">
        <v>1</v>
      </c>
      <c r="W167" s="51" t="n">
        <v>800</v>
      </c>
      <c r="X167" s="51" t="n">
        <v>0.397</v>
      </c>
    </row>
    <row r="168">
      <c r="A168" s="51" t="inlineStr">
        <is>
          <t xml:space="preserve">Hemp hurd </t>
        </is>
      </c>
      <c r="B168" s="51" t="n">
        <v>32</v>
      </c>
      <c r="C168" s="51" t="n">
        <v>38.1</v>
      </c>
      <c r="D168" s="51" t="n">
        <v>23.8</v>
      </c>
      <c r="E168" s="51" t="n">
        <v>81.3</v>
      </c>
      <c r="F168" s="51" t="n">
        <v>3</v>
      </c>
      <c r="G168" s="51" t="n">
        <v>15.7</v>
      </c>
      <c r="H168" s="51" t="n">
        <v>46.3</v>
      </c>
      <c r="I168" s="51" t="n">
        <v>44.5</v>
      </c>
      <c r="J168" s="51" t="n">
        <v>5.7</v>
      </c>
      <c r="K168" s="51" t="n">
        <v>4</v>
      </c>
      <c r="L168" s="51" t="n">
        <v>1</v>
      </c>
      <c r="M168" s="51" t="n">
        <v>1</v>
      </c>
      <c r="N168" s="51" t="n">
        <v>1</v>
      </c>
      <c r="O168" s="51" t="n">
        <v>4</v>
      </c>
      <c r="P168" s="51" t="n">
        <v>720</v>
      </c>
      <c r="Q168" s="51" t="n">
        <v>5</v>
      </c>
      <c r="R168" s="51" t="n">
        <v>500</v>
      </c>
      <c r="S168" s="51" t="n">
        <v>1</v>
      </c>
      <c r="T168" s="51" t="n">
        <v>1</v>
      </c>
      <c r="U168" s="51" t="n">
        <v>60</v>
      </c>
      <c r="V168" s="51" t="n">
        <v>1</v>
      </c>
      <c r="W168" s="51" t="n">
        <v>700</v>
      </c>
      <c r="X168" s="51" t="n">
        <v>0.402</v>
      </c>
    </row>
    <row r="169">
      <c r="A169" s="51" t="inlineStr">
        <is>
          <t>Kapok fiber</t>
        </is>
      </c>
      <c r="B169" s="51" t="n">
        <v>53.4</v>
      </c>
      <c r="C169" s="51" t="n">
        <v>29.63</v>
      </c>
      <c r="D169" s="51" t="n">
        <v>20.73</v>
      </c>
      <c r="E169" s="51" t="n">
        <v>83.39074162080711</v>
      </c>
      <c r="F169" s="51" t="n">
        <v>2.64334877558757</v>
      </c>
      <c r="G169" s="51" t="n">
        <v>13.3531519553555</v>
      </c>
      <c r="H169" s="51" t="n">
        <v>46.9836807397435</v>
      </c>
      <c r="I169" s="51" t="n">
        <v>43.0919936922057</v>
      </c>
      <c r="J169" s="51" t="n">
        <v>6.11949784761262</v>
      </c>
      <c r="K169" s="51" t="n">
        <v>4</v>
      </c>
      <c r="L169" s="51" t="n">
        <v>5</v>
      </c>
      <c r="M169" s="51" t="n">
        <v>0</v>
      </c>
      <c r="N169" s="51" t="n">
        <v>1</v>
      </c>
      <c r="O169" s="51" t="n">
        <v>4</v>
      </c>
      <c r="P169" s="51" t="n">
        <v>240</v>
      </c>
      <c r="Q169" s="51" t="n">
        <v>5</v>
      </c>
      <c r="R169" s="51" t="n">
        <v>1600</v>
      </c>
      <c r="S169" s="51" t="n">
        <v>0</v>
      </c>
      <c r="T169" s="51" t="n">
        <v>5</v>
      </c>
      <c r="U169" s="51" t="n">
        <v>0</v>
      </c>
      <c r="V169" s="51" t="n">
        <v>0</v>
      </c>
      <c r="W169" s="51" t="n">
        <v>0</v>
      </c>
      <c r="X169" s="51" t="n">
        <v>0.356</v>
      </c>
    </row>
    <row r="170">
      <c r="A170" s="51" t="inlineStr">
        <is>
          <t>Kapok fiber</t>
        </is>
      </c>
      <c r="B170" s="51" t="n">
        <v>53.4</v>
      </c>
      <c r="C170" s="51" t="n">
        <v>29.63</v>
      </c>
      <c r="D170" s="51" t="n">
        <v>20.73</v>
      </c>
      <c r="E170" s="51" t="n">
        <v>83.39074162080711</v>
      </c>
      <c r="F170" s="51" t="n">
        <v>2.64334877558757</v>
      </c>
      <c r="G170" s="51" t="n">
        <v>13.3531519553555</v>
      </c>
      <c r="H170" s="51" t="n">
        <v>46.9836807397435</v>
      </c>
      <c r="I170" s="51" t="n">
        <v>43.0919936922057</v>
      </c>
      <c r="J170" s="51" t="n">
        <v>6.11949784761262</v>
      </c>
      <c r="K170" s="51" t="n">
        <v>4</v>
      </c>
      <c r="L170" s="51" t="n">
        <v>5</v>
      </c>
      <c r="M170" s="51" t="n">
        <v>0</v>
      </c>
      <c r="N170" s="51" t="n">
        <v>1</v>
      </c>
      <c r="O170" s="51" t="n">
        <v>4</v>
      </c>
      <c r="P170" s="51" t="n">
        <v>240</v>
      </c>
      <c r="Q170" s="51" t="n">
        <v>5</v>
      </c>
      <c r="R170" s="51" t="n">
        <v>1400</v>
      </c>
      <c r="S170" s="51" t="n">
        <v>0</v>
      </c>
      <c r="T170" s="51" t="n">
        <v>5</v>
      </c>
      <c r="U170" s="51" t="n">
        <v>0</v>
      </c>
      <c r="V170" s="51" t="n">
        <v>0</v>
      </c>
      <c r="W170" s="51" t="n">
        <v>0</v>
      </c>
      <c r="X170" s="51" t="n">
        <v>0.357</v>
      </c>
    </row>
    <row r="171">
      <c r="A171" s="51" t="inlineStr">
        <is>
          <t>Kapok fiber</t>
        </is>
      </c>
      <c r="B171" s="51" t="n">
        <v>53.4</v>
      </c>
      <c r="C171" s="51" t="n">
        <v>29.63</v>
      </c>
      <c r="D171" s="51" t="n">
        <v>20.73</v>
      </c>
      <c r="E171" s="51" t="n">
        <v>83.39074162080711</v>
      </c>
      <c r="F171" s="51" t="n">
        <v>2.64334877558757</v>
      </c>
      <c r="G171" s="51" t="n">
        <v>13.3531519553555</v>
      </c>
      <c r="H171" s="51" t="n">
        <v>46.9836807397435</v>
      </c>
      <c r="I171" s="51" t="n">
        <v>43.0919936922057</v>
      </c>
      <c r="J171" s="51" t="n">
        <v>6.11949784761262</v>
      </c>
      <c r="K171" s="51" t="n">
        <v>4</v>
      </c>
      <c r="L171" s="51" t="n">
        <v>5</v>
      </c>
      <c r="M171" s="51" t="n">
        <v>0</v>
      </c>
      <c r="N171" s="51" t="n">
        <v>1</v>
      </c>
      <c r="O171" s="51" t="n">
        <v>4</v>
      </c>
      <c r="P171" s="51" t="n">
        <v>240</v>
      </c>
      <c r="Q171" s="51" t="n">
        <v>3.3</v>
      </c>
      <c r="R171" s="51" t="n">
        <v>1400</v>
      </c>
      <c r="S171" s="51" t="n">
        <v>0</v>
      </c>
      <c r="T171" s="51" t="n">
        <v>5</v>
      </c>
      <c r="U171" s="51" t="n">
        <v>0</v>
      </c>
      <c r="V171" s="51" t="n">
        <v>0</v>
      </c>
      <c r="W171" s="51" t="n">
        <v>0</v>
      </c>
      <c r="X171" s="51" t="n">
        <v>0.38</v>
      </c>
    </row>
    <row r="172">
      <c r="A172" s="51" t="inlineStr">
        <is>
          <t>Kapok fiber</t>
        </is>
      </c>
      <c r="B172" s="51" t="n">
        <v>53.4</v>
      </c>
      <c r="C172" s="51" t="n">
        <v>29.63</v>
      </c>
      <c r="D172" s="51" t="n">
        <v>20.73</v>
      </c>
      <c r="E172" s="51" t="n">
        <v>83.39074162080711</v>
      </c>
      <c r="F172" s="51" t="n">
        <v>2.64334877558757</v>
      </c>
      <c r="G172" s="51" t="n">
        <v>13.3531519553555</v>
      </c>
      <c r="H172" s="51" t="n">
        <v>46.9836807397435</v>
      </c>
      <c r="I172" s="51" t="n">
        <v>43.0919936922057</v>
      </c>
      <c r="J172" s="51" t="n">
        <v>6.11949784761262</v>
      </c>
      <c r="K172" s="51" t="n">
        <v>4</v>
      </c>
      <c r="L172" s="51" t="n">
        <v>5</v>
      </c>
      <c r="M172" s="51" t="n">
        <v>0</v>
      </c>
      <c r="N172" s="51" t="n">
        <v>1</v>
      </c>
      <c r="O172" s="51" t="n">
        <v>4</v>
      </c>
      <c r="P172" s="51" t="n">
        <v>240</v>
      </c>
      <c r="Q172" s="51" t="n">
        <v>3.3</v>
      </c>
      <c r="R172" s="51" t="n">
        <v>1200</v>
      </c>
      <c r="S172" s="51" t="n">
        <v>0</v>
      </c>
      <c r="T172" s="51" t="n">
        <v>5</v>
      </c>
      <c r="U172" s="51" t="n">
        <v>0</v>
      </c>
      <c r="V172" s="51" t="n">
        <v>0</v>
      </c>
      <c r="W172" s="51" t="n">
        <v>0</v>
      </c>
      <c r="X172" s="51" t="n">
        <v>0.39</v>
      </c>
    </row>
    <row r="173">
      <c r="A173" s="51" t="inlineStr">
        <is>
          <t>Kapok fiber</t>
        </is>
      </c>
      <c r="B173" s="51" t="n">
        <v>53.4</v>
      </c>
      <c r="C173" s="51" t="n">
        <v>29.63</v>
      </c>
      <c r="D173" s="51" t="n">
        <v>20.73</v>
      </c>
      <c r="E173" s="51" t="n">
        <v>83.39074162080711</v>
      </c>
      <c r="F173" s="51" t="n">
        <v>2.64334877558757</v>
      </c>
      <c r="G173" s="51" t="n">
        <v>13.3531519553555</v>
      </c>
      <c r="H173" s="51" t="n">
        <v>46.9836807397435</v>
      </c>
      <c r="I173" s="51" t="n">
        <v>43.0919936922057</v>
      </c>
      <c r="J173" s="51" t="n">
        <v>6.11949784761262</v>
      </c>
      <c r="K173" s="51" t="n">
        <v>4</v>
      </c>
      <c r="L173" s="51" t="n">
        <v>5</v>
      </c>
      <c r="M173" s="51" t="n">
        <v>0</v>
      </c>
      <c r="N173" s="51" t="n">
        <v>1</v>
      </c>
      <c r="O173" s="51" t="n">
        <v>4</v>
      </c>
      <c r="P173" s="51" t="n">
        <v>240</v>
      </c>
      <c r="Q173" s="51" t="n">
        <v>5</v>
      </c>
      <c r="R173" s="51" t="n">
        <v>1200</v>
      </c>
      <c r="S173" s="51" t="n">
        <v>0</v>
      </c>
      <c r="T173" s="51" t="n">
        <v>5</v>
      </c>
      <c r="U173" s="51" t="n">
        <v>0</v>
      </c>
      <c r="V173" s="51" t="n">
        <v>0</v>
      </c>
      <c r="W173" s="51" t="n">
        <v>0</v>
      </c>
      <c r="X173" s="51" t="n">
        <v>0.391</v>
      </c>
    </row>
    <row r="174">
      <c r="A174" s="51" t="inlineStr">
        <is>
          <t>Lignin</t>
        </is>
      </c>
      <c r="B174" s="51" t="n">
        <v>0</v>
      </c>
      <c r="C174" s="51" t="n">
        <v>0</v>
      </c>
      <c r="D174" s="51" t="n">
        <v>100</v>
      </c>
      <c r="E174" s="51" t="n">
        <v>74.413547453817</v>
      </c>
      <c r="F174" s="51" t="n">
        <v>7.93957117369227</v>
      </c>
      <c r="G174" s="51" t="n">
        <v>16.0485850317427</v>
      </c>
      <c r="H174" s="51" t="n">
        <v>46.9552486099622</v>
      </c>
      <c r="I174" s="51" t="n">
        <v>44.8534837562515</v>
      </c>
      <c r="J174" s="51" t="n">
        <v>5.81999479571385</v>
      </c>
      <c r="K174" s="51" t="n">
        <v>1</v>
      </c>
      <c r="L174" s="51" t="n">
        <v>5</v>
      </c>
      <c r="M174" s="51" t="n">
        <v>0</v>
      </c>
      <c r="N174" s="51" t="n">
        <v>1</v>
      </c>
      <c r="O174" s="51" t="n">
        <v>4</v>
      </c>
      <c r="P174" s="51" t="n">
        <v>120</v>
      </c>
      <c r="Q174" s="51" t="n">
        <v>5</v>
      </c>
      <c r="R174" s="51" t="n">
        <v>1800</v>
      </c>
      <c r="S174" s="51" t="n">
        <v>0</v>
      </c>
      <c r="T174" s="51" t="n">
        <v>5</v>
      </c>
      <c r="U174" s="51" t="n">
        <v>0</v>
      </c>
      <c r="V174" s="51" t="n">
        <v>0</v>
      </c>
      <c r="W174" s="51" t="n">
        <v>0</v>
      </c>
      <c r="X174" s="51" t="n">
        <v>0.346</v>
      </c>
    </row>
    <row r="175">
      <c r="A175" s="51" t="inlineStr">
        <is>
          <t>Lignin</t>
        </is>
      </c>
      <c r="B175" s="51" t="n">
        <v>0</v>
      </c>
      <c r="C175" s="51" t="n">
        <v>0</v>
      </c>
      <c r="D175" s="51" t="n">
        <v>100</v>
      </c>
      <c r="E175" s="51" t="n">
        <v>74.413547453817</v>
      </c>
      <c r="F175" s="51" t="n">
        <v>7.93957117369227</v>
      </c>
      <c r="G175" s="51" t="n">
        <v>16.0485850317427</v>
      </c>
      <c r="H175" s="51" t="n">
        <v>46.9552486099622</v>
      </c>
      <c r="I175" s="51" t="n">
        <v>44.8534837562515</v>
      </c>
      <c r="J175" s="51" t="n">
        <v>5.81999479571385</v>
      </c>
      <c r="K175" s="51" t="n">
        <v>1</v>
      </c>
      <c r="L175" s="51" t="n">
        <v>5</v>
      </c>
      <c r="M175" s="51" t="n">
        <v>0</v>
      </c>
      <c r="N175" s="51" t="n">
        <v>1</v>
      </c>
      <c r="O175" s="51" t="n">
        <v>4</v>
      </c>
      <c r="P175" s="51" t="n">
        <v>120</v>
      </c>
      <c r="Q175" s="51" t="n">
        <v>5</v>
      </c>
      <c r="R175" s="51" t="n">
        <v>1600</v>
      </c>
      <c r="S175" s="51" t="n">
        <v>0</v>
      </c>
      <c r="T175" s="51" t="n">
        <v>5</v>
      </c>
      <c r="U175" s="51" t="n">
        <v>0</v>
      </c>
      <c r="V175" s="51" t="n">
        <v>0</v>
      </c>
      <c r="W175" s="51" t="n">
        <v>0</v>
      </c>
      <c r="X175" s="51" t="n">
        <v>0.365</v>
      </c>
    </row>
    <row r="176">
      <c r="A176" s="51" t="inlineStr">
        <is>
          <t>lignin</t>
        </is>
      </c>
      <c r="B176" s="51" t="n">
        <v>0</v>
      </c>
      <c r="C176" s="51" t="n">
        <v>0</v>
      </c>
      <c r="D176" s="51" t="n">
        <v>100</v>
      </c>
      <c r="E176" s="51" t="n">
        <v>74.413547453817</v>
      </c>
      <c r="F176" s="51" t="n">
        <v>7.93957117369227</v>
      </c>
      <c r="G176" s="51" t="n">
        <v>16.0485850317427</v>
      </c>
      <c r="H176" s="51" t="n">
        <v>46.9552486099622</v>
      </c>
      <c r="I176" s="51" t="n">
        <v>44.8534837562515</v>
      </c>
      <c r="J176" s="51" t="n">
        <v>5.81999479571385</v>
      </c>
      <c r="K176" s="51" t="n">
        <v>4</v>
      </c>
      <c r="L176" s="51" t="n">
        <v>5</v>
      </c>
      <c r="M176" s="51" t="n">
        <v>0</v>
      </c>
      <c r="N176" s="51" t="n">
        <v>1</v>
      </c>
      <c r="O176" s="51" t="n">
        <v>4</v>
      </c>
      <c r="P176" s="51" t="n">
        <v>240</v>
      </c>
      <c r="Q176" s="51" t="n">
        <v>5</v>
      </c>
      <c r="R176" s="51" t="n">
        <v>1600</v>
      </c>
      <c r="S176" s="51" t="n">
        <v>0</v>
      </c>
      <c r="T176" s="51" t="n">
        <v>5</v>
      </c>
      <c r="U176" s="51" t="n">
        <v>0</v>
      </c>
      <c r="V176" s="51" t="n">
        <v>0</v>
      </c>
      <c r="W176" s="51" t="n">
        <v>0</v>
      </c>
      <c r="X176" s="51" t="n">
        <v>0.372</v>
      </c>
    </row>
    <row r="177">
      <c r="A177" s="51" t="inlineStr">
        <is>
          <t>Lignin</t>
        </is>
      </c>
      <c r="B177" s="51" t="n">
        <v>0</v>
      </c>
      <c r="C177" s="51" t="n">
        <v>0</v>
      </c>
      <c r="D177" s="51" t="n">
        <v>100</v>
      </c>
      <c r="E177" s="51" t="n">
        <v>74.413547453817</v>
      </c>
      <c r="F177" s="51" t="n">
        <v>7.93957117369227</v>
      </c>
      <c r="G177" s="51" t="n">
        <v>16.0485850317427</v>
      </c>
      <c r="H177" s="51" t="n">
        <v>46.9552486099622</v>
      </c>
      <c r="I177" s="51" t="n">
        <v>44.8534837562515</v>
      </c>
      <c r="J177" s="51" t="n">
        <v>5.81999479571385</v>
      </c>
      <c r="K177" s="51" t="n">
        <v>1</v>
      </c>
      <c r="L177" s="51" t="n">
        <v>5</v>
      </c>
      <c r="M177" s="51" t="n">
        <v>0</v>
      </c>
      <c r="N177" s="51" t="n">
        <v>1</v>
      </c>
      <c r="O177" s="51" t="n">
        <v>4</v>
      </c>
      <c r="P177" s="51" t="n">
        <v>120</v>
      </c>
      <c r="Q177" s="51" t="n">
        <v>5</v>
      </c>
      <c r="R177" s="51" t="n">
        <v>1400</v>
      </c>
      <c r="S177" s="51" t="n">
        <v>0</v>
      </c>
      <c r="T177" s="51" t="n">
        <v>5</v>
      </c>
      <c r="U177" s="51" t="n">
        <v>0</v>
      </c>
      <c r="V177" s="51" t="n">
        <v>0</v>
      </c>
      <c r="W177" s="51" t="n">
        <v>0</v>
      </c>
      <c r="X177" s="51" t="n">
        <v>0.375</v>
      </c>
    </row>
    <row r="178">
      <c r="A178" s="51" t="inlineStr">
        <is>
          <t>Lignin</t>
        </is>
      </c>
      <c r="B178" s="51" t="n">
        <v>0</v>
      </c>
      <c r="C178" s="51" t="n">
        <v>0</v>
      </c>
      <c r="D178" s="51" t="n">
        <v>100</v>
      </c>
      <c r="E178" s="51" t="n">
        <v>74.413547453817</v>
      </c>
      <c r="F178" s="51" t="n">
        <v>7.93957117369227</v>
      </c>
      <c r="G178" s="51" t="n">
        <v>16.0485850317427</v>
      </c>
      <c r="H178" s="51" t="n">
        <v>46.9552486099622</v>
      </c>
      <c r="I178" s="51" t="n">
        <v>44.8534837562515</v>
      </c>
      <c r="J178" s="51" t="n">
        <v>5.81999479571385</v>
      </c>
      <c r="K178" s="51" t="n">
        <v>1</v>
      </c>
      <c r="L178" s="51" t="n">
        <v>5</v>
      </c>
      <c r="M178" s="51" t="n">
        <v>0</v>
      </c>
      <c r="N178" s="51" t="n">
        <v>1</v>
      </c>
      <c r="O178" s="51" t="n">
        <v>4</v>
      </c>
      <c r="P178" s="51" t="n">
        <v>120</v>
      </c>
      <c r="Q178" s="51" t="n">
        <v>5</v>
      </c>
      <c r="R178" s="51" t="n">
        <v>1200</v>
      </c>
      <c r="S178" s="51" t="n">
        <v>0</v>
      </c>
      <c r="T178" s="51" t="n">
        <v>5</v>
      </c>
      <c r="U178" s="51" t="n">
        <v>0</v>
      </c>
      <c r="V178" s="51" t="n">
        <v>0</v>
      </c>
      <c r="W178" s="51" t="n">
        <v>0</v>
      </c>
      <c r="X178" s="51" t="n">
        <v>0.383</v>
      </c>
    </row>
    <row r="179">
      <c r="A179" s="51" t="inlineStr">
        <is>
          <t>lignin</t>
        </is>
      </c>
      <c r="B179" s="51" t="n">
        <v>0</v>
      </c>
      <c r="C179" s="51" t="n">
        <v>0</v>
      </c>
      <c r="D179" s="51" t="n">
        <v>100</v>
      </c>
      <c r="E179" s="51" t="n">
        <v>74.413547453817</v>
      </c>
      <c r="F179" s="51" t="n">
        <v>7.93957117369227</v>
      </c>
      <c r="G179" s="51" t="n">
        <v>16.0485850317427</v>
      </c>
      <c r="H179" s="51" t="n">
        <v>46.9552486099622</v>
      </c>
      <c r="I179" s="51" t="n">
        <v>44.8534837562515</v>
      </c>
      <c r="J179" s="51" t="n">
        <v>5.81999479571385</v>
      </c>
      <c r="K179" s="51" t="n">
        <v>4</v>
      </c>
      <c r="L179" s="51" t="n">
        <v>5</v>
      </c>
      <c r="M179" s="51" t="n">
        <v>0</v>
      </c>
      <c r="N179" s="51" t="n">
        <v>1</v>
      </c>
      <c r="O179" s="51" t="n">
        <v>4</v>
      </c>
      <c r="P179" s="51" t="n">
        <v>240</v>
      </c>
      <c r="Q179" s="51" t="n">
        <v>5</v>
      </c>
      <c r="R179" s="51" t="n">
        <v>1400</v>
      </c>
      <c r="S179" s="51" t="n">
        <v>0</v>
      </c>
      <c r="T179" s="51" t="n">
        <v>5</v>
      </c>
      <c r="U179" s="51" t="n">
        <v>0</v>
      </c>
      <c r="V179" s="51" t="n">
        <v>0</v>
      </c>
      <c r="W179" s="51" t="n">
        <v>0</v>
      </c>
      <c r="X179" s="51" t="n">
        <v>0.384</v>
      </c>
    </row>
    <row r="180">
      <c r="A180" s="51" t="inlineStr">
        <is>
          <t>Lignin</t>
        </is>
      </c>
      <c r="B180" s="51" t="n">
        <v>0</v>
      </c>
      <c r="C180" s="51" t="n">
        <v>0</v>
      </c>
      <c r="D180" s="51" t="n">
        <v>100</v>
      </c>
      <c r="E180" s="51" t="n">
        <v>74.413547453817</v>
      </c>
      <c r="F180" s="51" t="n">
        <v>7.93957117369227</v>
      </c>
      <c r="G180" s="51" t="n">
        <v>16.0485850317427</v>
      </c>
      <c r="H180" s="51" t="n">
        <v>46.9552486099622</v>
      </c>
      <c r="I180" s="51" t="n">
        <v>44.8534837562515</v>
      </c>
      <c r="J180" s="51" t="n">
        <v>5.81999479571385</v>
      </c>
      <c r="K180" s="51" t="n">
        <v>1</v>
      </c>
      <c r="L180" s="51" t="n">
        <v>5</v>
      </c>
      <c r="M180" s="51" t="n">
        <v>0</v>
      </c>
      <c r="N180" s="51" t="n">
        <v>1</v>
      </c>
      <c r="O180" s="51" t="n">
        <v>4</v>
      </c>
      <c r="P180" s="51" t="n">
        <v>120</v>
      </c>
      <c r="Q180" s="51" t="n">
        <v>5</v>
      </c>
      <c r="R180" s="51" t="n">
        <v>1000</v>
      </c>
      <c r="S180" s="51" t="n">
        <v>0</v>
      </c>
      <c r="T180" s="51" t="n">
        <v>5</v>
      </c>
      <c r="U180" s="51" t="n">
        <v>0</v>
      </c>
      <c r="V180" s="51" t="n">
        <v>0</v>
      </c>
      <c r="W180" s="51" t="n">
        <v>0</v>
      </c>
      <c r="X180" s="51" t="n">
        <v>0.386</v>
      </c>
    </row>
    <row r="181">
      <c r="A181" s="51" t="inlineStr">
        <is>
          <t>Lignin</t>
        </is>
      </c>
      <c r="B181" s="51" t="n">
        <v>0</v>
      </c>
      <c r="C181" s="51" t="n">
        <v>0</v>
      </c>
      <c r="D181" s="51" t="n">
        <v>100</v>
      </c>
      <c r="E181" s="51" t="n">
        <v>74.413547453817</v>
      </c>
      <c r="F181" s="51" t="n">
        <v>7.93957117369227</v>
      </c>
      <c r="G181" s="51" t="n">
        <v>16.0485850317427</v>
      </c>
      <c r="H181" s="51" t="n">
        <v>46.9552486099622</v>
      </c>
      <c r="I181" s="51" t="n">
        <v>44.8534837562515</v>
      </c>
      <c r="J181" s="51" t="n">
        <v>5.81999479571385</v>
      </c>
      <c r="K181" s="51" t="n">
        <v>1</v>
      </c>
      <c r="L181" s="51" t="n">
        <v>5</v>
      </c>
      <c r="M181" s="51" t="n">
        <v>1</v>
      </c>
      <c r="N181" s="51" t="n">
        <v>1</v>
      </c>
      <c r="O181" s="51" t="n">
        <v>4</v>
      </c>
      <c r="P181" s="51" t="n">
        <v>60</v>
      </c>
      <c r="Q181" s="51" t="n">
        <v>10</v>
      </c>
      <c r="R181" s="51" t="n">
        <v>800</v>
      </c>
      <c r="S181" s="51" t="n">
        <v>1</v>
      </c>
      <c r="T181" s="51" t="n">
        <v>5</v>
      </c>
      <c r="U181" s="51" t="n">
        <v>480</v>
      </c>
      <c r="V181" s="51" t="n">
        <v>10</v>
      </c>
      <c r="W181" s="51" t="n">
        <v>1300</v>
      </c>
      <c r="X181" s="51" t="n">
        <v>0.386</v>
      </c>
    </row>
    <row r="182">
      <c r="A182" s="51" t="inlineStr">
        <is>
          <t>lignin</t>
        </is>
      </c>
      <c r="B182" s="51" t="n">
        <v>0</v>
      </c>
      <c r="C182" s="51" t="n">
        <v>0</v>
      </c>
      <c r="D182" s="51" t="n">
        <v>100</v>
      </c>
      <c r="E182" s="51" t="n">
        <v>74.413547453817</v>
      </c>
      <c r="F182" s="51" t="n">
        <v>7.93957117369227</v>
      </c>
      <c r="G182" s="51" t="n">
        <v>16.0485850317427</v>
      </c>
      <c r="H182" s="51" t="n">
        <v>46.9552486099622</v>
      </c>
      <c r="I182" s="51" t="n">
        <v>44.8534837562515</v>
      </c>
      <c r="J182" s="51" t="n">
        <v>5.81999479571385</v>
      </c>
      <c r="K182" s="51" t="n">
        <v>4</v>
      </c>
      <c r="L182" s="51" t="n">
        <v>5</v>
      </c>
      <c r="M182" s="51" t="n">
        <v>0</v>
      </c>
      <c r="N182" s="51" t="n">
        <v>1</v>
      </c>
      <c r="O182" s="51" t="n">
        <v>4</v>
      </c>
      <c r="P182" s="51" t="n">
        <v>240</v>
      </c>
      <c r="Q182" s="51" t="n">
        <v>5</v>
      </c>
      <c r="R182" s="51" t="n">
        <v>1200</v>
      </c>
      <c r="S182" s="51" t="n">
        <v>0</v>
      </c>
      <c r="T182" s="51" t="n">
        <v>5</v>
      </c>
      <c r="U182" s="51" t="n">
        <v>0</v>
      </c>
      <c r="V182" s="51" t="n">
        <v>0</v>
      </c>
      <c r="W182" s="51" t="n">
        <v>0</v>
      </c>
      <c r="X182" s="51" t="n">
        <v>0.392</v>
      </c>
    </row>
    <row r="183">
      <c r="A183" s="51" t="inlineStr">
        <is>
          <t>lignin</t>
        </is>
      </c>
      <c r="B183" s="51" t="n">
        <v>0</v>
      </c>
      <c r="C183" s="51" t="n">
        <v>0</v>
      </c>
      <c r="D183" s="51" t="n">
        <v>100</v>
      </c>
      <c r="E183" s="51" t="n">
        <v>74.413547453817</v>
      </c>
      <c r="F183" s="51" t="n">
        <v>7.93957117369227</v>
      </c>
      <c r="G183" s="51" t="n">
        <v>16.0485850317427</v>
      </c>
      <c r="H183" s="51" t="n">
        <v>46.9552486099622</v>
      </c>
      <c r="I183" s="51" t="n">
        <v>44.8534837562515</v>
      </c>
      <c r="J183" s="51" t="n">
        <v>5.81999479571385</v>
      </c>
      <c r="K183" s="51" t="n">
        <v>4</v>
      </c>
      <c r="L183" s="51" t="n">
        <v>5</v>
      </c>
      <c r="M183" s="51" t="n">
        <v>0</v>
      </c>
      <c r="N183" s="51" t="n">
        <v>1</v>
      </c>
      <c r="O183" s="51" t="n">
        <v>4</v>
      </c>
      <c r="P183" s="51" t="n">
        <v>240</v>
      </c>
      <c r="Q183" s="51" t="n">
        <v>5</v>
      </c>
      <c r="R183" s="51" t="n">
        <v>1000</v>
      </c>
      <c r="S183" s="51" t="n">
        <v>0</v>
      </c>
      <c r="T183" s="51" t="n">
        <v>5</v>
      </c>
      <c r="U183" s="51" t="n">
        <v>0</v>
      </c>
      <c r="V183" s="51" t="n">
        <v>0</v>
      </c>
      <c r="W183" s="51" t="n">
        <v>0</v>
      </c>
      <c r="X183" s="51" t="n">
        <v>0.404</v>
      </c>
    </row>
    <row r="184">
      <c r="A184" s="51" t="inlineStr">
        <is>
          <t>lignin</t>
        </is>
      </c>
      <c r="B184" s="51" t="n">
        <v>0</v>
      </c>
      <c r="C184" s="51" t="n">
        <v>0</v>
      </c>
      <c r="D184" s="51" t="n">
        <v>100</v>
      </c>
      <c r="E184" s="51" t="n">
        <v>74.413547453817</v>
      </c>
      <c r="F184" s="51" t="n">
        <v>7.93957117369227</v>
      </c>
      <c r="G184" s="51" t="n">
        <v>16.0485850317427</v>
      </c>
      <c r="H184" s="51" t="n">
        <v>46.9552486099622</v>
      </c>
      <c r="I184" s="51" t="n">
        <v>44.8534837562515</v>
      </c>
      <c r="J184" s="51" t="n">
        <v>5.81999479571385</v>
      </c>
      <c r="K184" s="51" t="n">
        <v>4</v>
      </c>
      <c r="L184" s="51" t="n">
        <v>5</v>
      </c>
      <c r="M184" s="51" t="n">
        <v>0</v>
      </c>
      <c r="N184" s="51" t="n">
        <v>1</v>
      </c>
      <c r="O184" s="51" t="n">
        <v>4</v>
      </c>
      <c r="P184" s="51" t="n">
        <v>240</v>
      </c>
      <c r="Q184" s="51" t="n">
        <v>5</v>
      </c>
      <c r="R184" s="51" t="n">
        <v>800</v>
      </c>
      <c r="S184" s="51" t="n">
        <v>0</v>
      </c>
      <c r="T184" s="51" t="n">
        <v>5</v>
      </c>
      <c r="U184" s="51" t="n">
        <v>0</v>
      </c>
      <c r="V184" s="51" t="n">
        <v>0</v>
      </c>
      <c r="W184" s="51" t="n">
        <v>0</v>
      </c>
      <c r="X184" s="51" t="n">
        <v>0.412</v>
      </c>
    </row>
    <row r="185">
      <c r="A185" s="51" t="inlineStr">
        <is>
          <t>lignin</t>
        </is>
      </c>
      <c r="B185" s="51" t="n">
        <v>0</v>
      </c>
      <c r="C185" s="51" t="n">
        <v>0</v>
      </c>
      <c r="D185" s="51" t="n">
        <v>100</v>
      </c>
      <c r="E185" s="51" t="n">
        <v>74.413547453817</v>
      </c>
      <c r="F185" s="51" t="n">
        <v>7.93957117369227</v>
      </c>
      <c r="G185" s="51" t="n">
        <v>16.0485850317427</v>
      </c>
      <c r="H185" s="51" t="n">
        <v>46.9552486099622</v>
      </c>
      <c r="I185" s="51" t="n">
        <v>44.8534837562515</v>
      </c>
      <c r="J185" s="51" t="n">
        <v>5.81999479571385</v>
      </c>
      <c r="K185" s="51" t="n">
        <v>4</v>
      </c>
      <c r="L185" s="51" t="n">
        <v>5</v>
      </c>
      <c r="M185" s="51" t="n">
        <v>0</v>
      </c>
      <c r="N185" s="51" t="n">
        <v>1</v>
      </c>
      <c r="O185" s="51" t="n">
        <v>4</v>
      </c>
      <c r="P185" s="51" t="n">
        <v>240</v>
      </c>
      <c r="Q185" s="51" t="n">
        <v>5</v>
      </c>
      <c r="R185" s="51" t="n">
        <v>600</v>
      </c>
      <c r="S185" s="51" t="n">
        <v>0</v>
      </c>
      <c r="T185" s="51" t="n">
        <v>5</v>
      </c>
      <c r="U185" s="51" t="n">
        <v>0</v>
      </c>
      <c r="V185" s="51" t="n">
        <v>0</v>
      </c>
      <c r="W185" s="51" t="n">
        <v>0</v>
      </c>
      <c r="X185" s="51" t="n">
        <v>0.432</v>
      </c>
    </row>
    <row r="186">
      <c r="A186" s="51" t="inlineStr">
        <is>
          <t>Lotus seedpod</t>
        </is>
      </c>
      <c r="B186" s="51" t="n">
        <v>32</v>
      </c>
      <c r="C186" s="51" t="n">
        <v>22</v>
      </c>
      <c r="D186" s="51" t="n">
        <v>18</v>
      </c>
      <c r="E186" s="51" t="n">
        <v>74.0843415740194</v>
      </c>
      <c r="F186" s="51" t="n">
        <v>5.41395436606743</v>
      </c>
      <c r="G186" s="51" t="n">
        <v>20.3226845536871</v>
      </c>
      <c r="H186" s="51" t="n">
        <v>44.2768101943862</v>
      </c>
      <c r="I186" s="51" t="n">
        <v>42.4266732942664</v>
      </c>
      <c r="J186" s="51" t="n">
        <v>4.60876937937635</v>
      </c>
      <c r="K186" s="51" t="n">
        <v>6</v>
      </c>
      <c r="L186" s="51" t="n">
        <v>1</v>
      </c>
      <c r="M186" s="51" t="n">
        <v>0</v>
      </c>
      <c r="N186" s="51" t="n">
        <v>1</v>
      </c>
      <c r="O186" s="51" t="n">
        <v>4</v>
      </c>
      <c r="P186" s="51" t="n">
        <v>120</v>
      </c>
      <c r="Q186" s="51" t="n">
        <v>3.01033677933022</v>
      </c>
      <c r="R186" s="51" t="n">
        <v>1000</v>
      </c>
      <c r="S186" s="51" t="n">
        <v>0</v>
      </c>
      <c r="T186" s="51" t="n">
        <v>5</v>
      </c>
      <c r="U186" s="51" t="n">
        <v>0</v>
      </c>
      <c r="V186" s="51" t="n">
        <v>0</v>
      </c>
      <c r="W186" s="51" t="n">
        <v>0</v>
      </c>
      <c r="X186" s="51" t="n">
        <v>0.391</v>
      </c>
    </row>
    <row r="187">
      <c r="A187" s="51" t="inlineStr">
        <is>
          <t>Lotus seedpod</t>
        </is>
      </c>
      <c r="B187" s="51" t="n">
        <v>32</v>
      </c>
      <c r="C187" s="51" t="n">
        <v>22</v>
      </c>
      <c r="D187" s="51" t="n">
        <v>18</v>
      </c>
      <c r="E187" s="51" t="n">
        <v>74.0843415740194</v>
      </c>
      <c r="F187" s="51" t="n">
        <v>5.41395436606743</v>
      </c>
      <c r="G187" s="51" t="n">
        <v>20.3226845536871</v>
      </c>
      <c r="H187" s="51" t="n">
        <v>44.2768101943862</v>
      </c>
      <c r="I187" s="51" t="n">
        <v>42.4266732942664</v>
      </c>
      <c r="J187" s="51" t="n">
        <v>4.60876937937635</v>
      </c>
      <c r="K187" s="51" t="n">
        <v>6</v>
      </c>
      <c r="L187" s="51" t="n">
        <v>1</v>
      </c>
      <c r="M187" s="51" t="n">
        <v>0</v>
      </c>
      <c r="N187" s="51" t="n">
        <v>1</v>
      </c>
      <c r="O187" s="51" t="n">
        <v>4</v>
      </c>
      <c r="P187" s="51" t="n">
        <v>120</v>
      </c>
      <c r="Q187" s="51" t="n">
        <v>4.58525475807561</v>
      </c>
      <c r="R187" s="51" t="n">
        <v>1200</v>
      </c>
      <c r="S187" s="51" t="n">
        <v>0</v>
      </c>
      <c r="T187" s="51" t="n">
        <v>5</v>
      </c>
      <c r="U187" s="51" t="n">
        <v>0</v>
      </c>
      <c r="V187" s="51" t="n">
        <v>0</v>
      </c>
      <c r="W187" s="51" t="n">
        <v>0</v>
      </c>
      <c r="X187" s="51" t="n">
        <v>0.386</v>
      </c>
    </row>
    <row r="188">
      <c r="A188" s="51" t="inlineStr">
        <is>
          <t>Lotus stem</t>
        </is>
      </c>
      <c r="B188" s="51" t="n">
        <v>34.6</v>
      </c>
      <c r="C188" s="51" t="n">
        <v>19.2</v>
      </c>
      <c r="D188" s="51" t="n">
        <v>25.4</v>
      </c>
      <c r="E188" s="51" t="n">
        <v>77.44065266469779</v>
      </c>
      <c r="F188" s="51" t="n">
        <v>6.01739941318613</v>
      </c>
      <c r="G188" s="51" t="n">
        <v>17.7960359441177</v>
      </c>
      <c r="H188" s="51" t="n">
        <v>48.1519093848142</v>
      </c>
      <c r="I188" s="51" t="n">
        <v>41.0827448296098</v>
      </c>
      <c r="J188" s="51" t="n">
        <v>5.25526048251373</v>
      </c>
      <c r="K188" s="51" t="n">
        <v>4</v>
      </c>
      <c r="L188" s="51" t="n">
        <v>0</v>
      </c>
      <c r="M188" s="51" t="n">
        <v>0</v>
      </c>
      <c r="N188" s="51" t="n">
        <v>1</v>
      </c>
      <c r="O188" s="51" t="n">
        <v>4</v>
      </c>
      <c r="P188" s="51" t="n">
        <v>116.163456313279</v>
      </c>
      <c r="Q188" s="51" t="n">
        <v>4.74693327398682</v>
      </c>
      <c r="R188" s="51" t="n">
        <v>1200</v>
      </c>
      <c r="S188" s="51" t="n">
        <v>0</v>
      </c>
      <c r="T188" s="51" t="n">
        <v>5</v>
      </c>
      <c r="U188" s="51" t="n">
        <v>0</v>
      </c>
      <c r="V188" s="51" t="n">
        <v>0</v>
      </c>
      <c r="W188" s="51" t="n">
        <v>0</v>
      </c>
      <c r="X188" s="51" t="n">
        <v>0.369</v>
      </c>
    </row>
    <row r="189">
      <c r="A189" s="51" t="inlineStr">
        <is>
          <t>Lotus seedpod</t>
        </is>
      </c>
      <c r="B189" s="51" t="n">
        <v>32</v>
      </c>
      <c r="C189" s="51" t="n">
        <v>22</v>
      </c>
      <c r="D189" s="51" t="n">
        <v>18</v>
      </c>
      <c r="E189" s="51" t="n">
        <v>74.0843415740194</v>
      </c>
      <c r="F189" s="51" t="n">
        <v>5.41395436606743</v>
      </c>
      <c r="G189" s="51" t="n">
        <v>20.3226845536871</v>
      </c>
      <c r="H189" s="51" t="n">
        <v>44.2768101943862</v>
      </c>
      <c r="I189" s="51" t="n">
        <v>42.4266732942664</v>
      </c>
      <c r="J189" s="51" t="n">
        <v>4.60876937937635</v>
      </c>
      <c r="K189" s="51" t="n">
        <v>6</v>
      </c>
      <c r="L189" s="51" t="n">
        <v>1</v>
      </c>
      <c r="M189" s="51" t="n">
        <v>0</v>
      </c>
      <c r="N189" s="51" t="n">
        <v>1</v>
      </c>
      <c r="O189" s="51" t="n">
        <v>4</v>
      </c>
      <c r="P189" s="51" t="n">
        <v>120</v>
      </c>
      <c r="Q189" s="51" t="n">
        <v>5</v>
      </c>
      <c r="R189" s="51" t="n">
        <v>1400</v>
      </c>
      <c r="S189" s="51" t="n">
        <v>0</v>
      </c>
      <c r="T189" s="51" t="n">
        <v>5</v>
      </c>
      <c r="U189" s="51" t="n">
        <v>0</v>
      </c>
      <c r="V189" s="51" t="n">
        <v>0</v>
      </c>
      <c r="W189" s="51" t="n">
        <v>0</v>
      </c>
      <c r="X189" s="51" t="n">
        <v>0.37</v>
      </c>
    </row>
    <row r="190">
      <c r="A190" s="51" t="inlineStr">
        <is>
          <t>Lotus stem</t>
        </is>
      </c>
      <c r="B190" s="51" t="n">
        <v>34.6</v>
      </c>
      <c r="C190" s="51" t="n">
        <v>19.2</v>
      </c>
      <c r="D190" s="51" t="n">
        <v>25.4</v>
      </c>
      <c r="E190" s="51" t="n">
        <v>77.44065266469779</v>
      </c>
      <c r="F190" s="51" t="n">
        <v>6.01739941318613</v>
      </c>
      <c r="G190" s="51" t="n">
        <v>17.7960359441177</v>
      </c>
      <c r="H190" s="51" t="n">
        <v>48.1519093848142</v>
      </c>
      <c r="I190" s="51" t="n">
        <v>41.0827448296098</v>
      </c>
      <c r="J190" s="51" t="n">
        <v>5.25526048251373</v>
      </c>
      <c r="K190" s="51" t="n">
        <v>4</v>
      </c>
      <c r="L190" s="51" t="n">
        <v>0</v>
      </c>
      <c r="M190" s="51" t="n">
        <v>0</v>
      </c>
      <c r="N190" s="51" t="n">
        <v>1</v>
      </c>
      <c r="O190" s="51" t="n">
        <v>4</v>
      </c>
      <c r="P190" s="51" t="n">
        <v>115.272221224877</v>
      </c>
      <c r="Q190" s="51" t="n">
        <v>4.86184462853793</v>
      </c>
      <c r="R190" s="51" t="n">
        <v>1400</v>
      </c>
      <c r="S190" s="51" t="n">
        <v>0</v>
      </c>
      <c r="T190" s="51" t="n">
        <v>5</v>
      </c>
      <c r="U190" s="51" t="n">
        <v>0</v>
      </c>
      <c r="V190" s="51" t="n">
        <v>0</v>
      </c>
      <c r="W190" s="51" t="n">
        <v>0</v>
      </c>
      <c r="X190" s="51" t="n">
        <v>0.368</v>
      </c>
    </row>
    <row r="191">
      <c r="A191" s="51" t="inlineStr">
        <is>
          <t>Lotus stem</t>
        </is>
      </c>
      <c r="B191" s="51" t="n">
        <v>34.6</v>
      </c>
      <c r="C191" s="51" t="n">
        <v>19.2</v>
      </c>
      <c r="D191" s="51" t="n">
        <v>25.4</v>
      </c>
      <c r="E191" s="51" t="n">
        <v>77.44065266469779</v>
      </c>
      <c r="F191" s="51" t="n">
        <v>6.01739941318613</v>
      </c>
      <c r="G191" s="51" t="n">
        <v>17.7960359441177</v>
      </c>
      <c r="H191" s="51" t="n">
        <v>48.1519093848142</v>
      </c>
      <c r="I191" s="51" t="n">
        <v>41.0827448296098</v>
      </c>
      <c r="J191" s="51" t="n">
        <v>5.25526048251373</v>
      </c>
      <c r="K191" s="51" t="n">
        <v>4</v>
      </c>
      <c r="L191" s="51" t="n">
        <v>0</v>
      </c>
      <c r="M191" s="51" t="n">
        <v>0</v>
      </c>
      <c r="N191" s="51" t="n">
        <v>1</v>
      </c>
      <c r="O191" s="51" t="n">
        <v>4</v>
      </c>
      <c r="P191" s="51" t="n">
        <v>122.012928661282</v>
      </c>
      <c r="Q191" s="51" t="n">
        <v>4.36297752058218</v>
      </c>
      <c r="R191" s="51" t="n">
        <v>1600</v>
      </c>
      <c r="S191" s="51" t="n">
        <v>0</v>
      </c>
      <c r="T191" s="51" t="n">
        <v>5</v>
      </c>
      <c r="U191" s="51" t="n">
        <v>0</v>
      </c>
      <c r="V191" s="51" t="n">
        <v>0</v>
      </c>
      <c r="W191" s="51" t="n">
        <v>0</v>
      </c>
      <c r="X191" s="51" t="n">
        <v>0.361</v>
      </c>
    </row>
    <row r="192">
      <c r="A192" s="51" t="inlineStr">
        <is>
          <t xml:space="preserve">Lotus Stems </t>
        </is>
      </c>
      <c r="B192" s="51" t="n">
        <v>34.6</v>
      </c>
      <c r="C192" s="51" t="n">
        <v>19.2</v>
      </c>
      <c r="D192" s="51" t="n">
        <v>25.4</v>
      </c>
      <c r="E192" s="51" t="n">
        <v>77.44065266469779</v>
      </c>
      <c r="F192" s="51" t="n">
        <v>6.01739941318613</v>
      </c>
      <c r="G192" s="51" t="n">
        <v>17.7960359441177</v>
      </c>
      <c r="H192" s="51" t="n">
        <v>48.1519093848142</v>
      </c>
      <c r="I192" s="51" t="n">
        <v>41.0827448296098</v>
      </c>
      <c r="J192" s="51" t="n">
        <v>5.25526048251373</v>
      </c>
      <c r="K192" s="51" t="n">
        <v>1</v>
      </c>
      <c r="L192" s="51" t="n">
        <v>5</v>
      </c>
      <c r="M192" s="51" t="n">
        <v>0</v>
      </c>
      <c r="N192" s="51" t="n">
        <v>1</v>
      </c>
      <c r="O192" s="51" t="n">
        <v>4</v>
      </c>
      <c r="P192" s="51" t="n">
        <v>121.51620786346</v>
      </c>
      <c r="Q192" s="51" t="n">
        <v>4.53490075319468</v>
      </c>
      <c r="R192" s="51" t="n">
        <v>1600</v>
      </c>
      <c r="S192" s="51" t="n">
        <v>0</v>
      </c>
      <c r="T192" s="51" t="n">
        <v>5</v>
      </c>
      <c r="U192" s="51" t="n">
        <v>0</v>
      </c>
      <c r="V192" s="51" t="n">
        <v>0</v>
      </c>
      <c r="W192" s="51" t="n">
        <v>0</v>
      </c>
      <c r="X192" s="51" t="n">
        <v>0.361</v>
      </c>
    </row>
    <row r="193">
      <c r="A193" s="51" t="inlineStr">
        <is>
          <t xml:space="preserve">Lotus Stems </t>
        </is>
      </c>
      <c r="B193" s="51" t="n">
        <v>34.6</v>
      </c>
      <c r="C193" s="51" t="n">
        <v>19.2</v>
      </c>
      <c r="D193" s="51" t="n">
        <v>25.4</v>
      </c>
      <c r="E193" s="51" t="n">
        <v>77.44065266469779</v>
      </c>
      <c r="F193" s="51" t="n">
        <v>6.01739941318613</v>
      </c>
      <c r="G193" s="51" t="n">
        <v>17.7960359441177</v>
      </c>
      <c r="H193" s="51" t="n">
        <v>48.1519093848142</v>
      </c>
      <c r="I193" s="51" t="n">
        <v>41.0827448296098</v>
      </c>
      <c r="J193" s="51" t="n">
        <v>5.25526048251373</v>
      </c>
      <c r="K193" s="51" t="n">
        <v>1</v>
      </c>
      <c r="L193" s="51" t="n">
        <v>5</v>
      </c>
      <c r="M193" s="51" t="n">
        <v>0</v>
      </c>
      <c r="N193" s="51" t="n">
        <v>1</v>
      </c>
      <c r="O193" s="51" t="n">
        <v>4</v>
      </c>
      <c r="P193" s="51" t="n">
        <v>110.467131575056</v>
      </c>
      <c r="Q193" s="51" t="n">
        <v>4.72555047242876</v>
      </c>
      <c r="R193" s="51" t="n">
        <v>1400</v>
      </c>
      <c r="S193" s="51" t="n">
        <v>0</v>
      </c>
      <c r="T193" s="51" t="n">
        <v>5</v>
      </c>
      <c r="U193" s="51" t="n">
        <v>0</v>
      </c>
      <c r="V193" s="51" t="n">
        <v>0</v>
      </c>
      <c r="W193" s="51" t="n">
        <v>0</v>
      </c>
      <c r="X193" s="51" t="n">
        <v>0.368</v>
      </c>
    </row>
    <row r="194">
      <c r="A194" s="51" t="inlineStr">
        <is>
          <t xml:space="preserve">Lotus Stems </t>
        </is>
      </c>
      <c r="B194" s="51" t="n">
        <v>34.6</v>
      </c>
      <c r="C194" s="51" t="n">
        <v>19.2</v>
      </c>
      <c r="D194" s="51" t="n">
        <v>25.4</v>
      </c>
      <c r="E194" s="51" t="n">
        <v>77.44065266469779</v>
      </c>
      <c r="F194" s="51" t="n">
        <v>6.01739941318613</v>
      </c>
      <c r="G194" s="51" t="n">
        <v>17.7960359441177</v>
      </c>
      <c r="H194" s="51" t="n">
        <v>48.1519093848142</v>
      </c>
      <c r="I194" s="51" t="n">
        <v>41.0827448296098</v>
      </c>
      <c r="J194" s="51" t="n">
        <v>5.25526048251373</v>
      </c>
      <c r="K194" s="51" t="n">
        <v>1</v>
      </c>
      <c r="L194" s="51" t="n">
        <v>5</v>
      </c>
      <c r="M194" s="51" t="n">
        <v>0</v>
      </c>
      <c r="N194" s="51" t="n">
        <v>1</v>
      </c>
      <c r="O194" s="51" t="n">
        <v>4</v>
      </c>
      <c r="P194" s="51" t="n">
        <v>111.367914049325</v>
      </c>
      <c r="Q194" s="51" t="n">
        <v>4.48662295142148</v>
      </c>
      <c r="R194" s="51" t="n">
        <v>1200</v>
      </c>
      <c r="S194" s="51" t="n">
        <v>0</v>
      </c>
      <c r="T194" s="51" t="n">
        <v>5</v>
      </c>
      <c r="U194" s="51" t="n">
        <v>0</v>
      </c>
      <c r="V194" s="51" t="n">
        <v>0</v>
      </c>
      <c r="W194" s="51" t="n">
        <v>0</v>
      </c>
      <c r="X194" s="51" t="n">
        <v>0.369</v>
      </c>
    </row>
    <row r="195">
      <c r="A195" s="51" t="inlineStr">
        <is>
          <t>Macadamia nutshell</t>
        </is>
      </c>
      <c r="B195" s="51" t="n">
        <v>29.5</v>
      </c>
      <c r="C195" s="51" t="n">
        <v>30</v>
      </c>
      <c r="D195" s="51" t="n">
        <v>40.1</v>
      </c>
      <c r="E195" s="51" t="n">
        <v>76.25</v>
      </c>
      <c r="F195" s="51" t="n">
        <v>0.36</v>
      </c>
      <c r="G195" s="51" t="n">
        <v>23.4</v>
      </c>
      <c r="H195" s="51" t="n">
        <v>49.7</v>
      </c>
      <c r="I195" s="51" t="n">
        <v>35.2</v>
      </c>
      <c r="J195" s="51" t="n">
        <v>6.2</v>
      </c>
      <c r="K195" s="51" t="n">
        <v>4</v>
      </c>
      <c r="L195" s="51" t="n">
        <v>5</v>
      </c>
      <c r="M195" s="51" t="n">
        <v>0</v>
      </c>
      <c r="N195" s="51" t="n">
        <v>1</v>
      </c>
      <c r="O195" s="51" t="n">
        <v>4</v>
      </c>
      <c r="P195" s="51" t="n">
        <v>60</v>
      </c>
      <c r="Q195" s="51" t="n">
        <v>4.65639141172644</v>
      </c>
      <c r="R195" s="51" t="n">
        <v>700</v>
      </c>
      <c r="S195" s="51" t="n">
        <v>0</v>
      </c>
      <c r="T195" s="51" t="n">
        <v>5</v>
      </c>
      <c r="U195" s="51" t="n">
        <v>0</v>
      </c>
      <c r="V195" s="51" t="n">
        <v>0</v>
      </c>
      <c r="W195" s="51" t="n">
        <v>0</v>
      </c>
      <c r="X195" s="51" t="n">
        <v>0.395</v>
      </c>
    </row>
    <row r="196">
      <c r="A196" s="51" t="inlineStr">
        <is>
          <t>Macadamia nutshell</t>
        </is>
      </c>
      <c r="B196" s="51" t="n">
        <v>29.5</v>
      </c>
      <c r="C196" s="51" t="n">
        <v>30</v>
      </c>
      <c r="D196" s="51" t="n">
        <v>40.1</v>
      </c>
      <c r="E196" s="51" t="n">
        <v>76.25</v>
      </c>
      <c r="F196" s="51" t="n">
        <v>0.36</v>
      </c>
      <c r="G196" s="51" t="n">
        <v>23.4</v>
      </c>
      <c r="H196" s="51" t="n">
        <v>49.7</v>
      </c>
      <c r="I196" s="51" t="n">
        <v>35.2</v>
      </c>
      <c r="J196" s="51" t="n">
        <v>6.2</v>
      </c>
      <c r="K196" s="51" t="n">
        <v>4</v>
      </c>
      <c r="L196" s="51" t="n">
        <v>5</v>
      </c>
      <c r="M196" s="51" t="n">
        <v>0</v>
      </c>
      <c r="N196" s="51" t="n">
        <v>1</v>
      </c>
      <c r="O196" s="51" t="n">
        <v>4</v>
      </c>
      <c r="P196" s="51" t="n">
        <v>60</v>
      </c>
      <c r="Q196" s="51" t="n">
        <v>3.82264524457495</v>
      </c>
      <c r="R196" s="51" t="n">
        <v>900</v>
      </c>
      <c r="S196" s="51" t="n">
        <v>0</v>
      </c>
      <c r="T196" s="51" t="n">
        <v>5</v>
      </c>
      <c r="U196" s="51" t="n">
        <v>0</v>
      </c>
      <c r="V196" s="51" t="n">
        <v>0</v>
      </c>
      <c r="W196" s="51" t="n">
        <v>0</v>
      </c>
      <c r="X196" s="51" t="n">
        <v>0.373</v>
      </c>
    </row>
    <row r="197">
      <c r="A197" s="51" t="inlineStr">
        <is>
          <t>Macadamia nutshell</t>
        </is>
      </c>
      <c r="B197" s="51" t="n">
        <v>29.5</v>
      </c>
      <c r="C197" s="51" t="n">
        <v>30</v>
      </c>
      <c r="D197" s="51" t="n">
        <v>40.1</v>
      </c>
      <c r="E197" s="51" t="n">
        <v>76.25</v>
      </c>
      <c r="F197" s="51" t="n">
        <v>0.36</v>
      </c>
      <c r="G197" s="51" t="n">
        <v>23.4</v>
      </c>
      <c r="H197" s="51" t="n">
        <v>49.7</v>
      </c>
      <c r="I197" s="51" t="n">
        <v>35.2</v>
      </c>
      <c r="J197" s="51" t="n">
        <v>6.2</v>
      </c>
      <c r="K197" s="51" t="n">
        <v>4</v>
      </c>
      <c r="L197" s="51" t="n">
        <v>5</v>
      </c>
      <c r="M197" s="51" t="n">
        <v>0</v>
      </c>
      <c r="N197" s="51" t="n">
        <v>1</v>
      </c>
      <c r="O197" s="51" t="n">
        <v>4</v>
      </c>
      <c r="P197" s="51" t="n">
        <v>60</v>
      </c>
      <c r="Q197" s="51" t="n">
        <v>3.98623777088904</v>
      </c>
      <c r="R197" s="51" t="n">
        <v>1100</v>
      </c>
      <c r="S197" s="51" t="n">
        <v>0</v>
      </c>
      <c r="T197" s="51" t="n">
        <v>5</v>
      </c>
      <c r="U197" s="51" t="n">
        <v>0</v>
      </c>
      <c r="V197" s="51" t="n">
        <v>0</v>
      </c>
      <c r="W197" s="51" t="n">
        <v>0</v>
      </c>
      <c r="X197" s="51" t="n">
        <v>0.371</v>
      </c>
    </row>
    <row r="198">
      <c r="A198" s="51" t="inlineStr">
        <is>
          <t>Mangosteen shell</t>
        </is>
      </c>
      <c r="B198" s="51" t="n">
        <v>26.22</v>
      </c>
      <c r="C198" s="51" t="n">
        <v>15.39</v>
      </c>
      <c r="D198" s="51" t="n">
        <v>48.52</v>
      </c>
      <c r="E198" s="51" t="n">
        <v>62.28</v>
      </c>
      <c r="F198" s="51" t="n">
        <v>1.85</v>
      </c>
      <c r="G198" s="51" t="n">
        <v>32.29</v>
      </c>
      <c r="H198" s="51" t="n">
        <v>48.81</v>
      </c>
      <c r="I198" s="51" t="n">
        <v>42.7</v>
      </c>
      <c r="J198" s="51" t="n">
        <v>5.73</v>
      </c>
      <c r="K198" s="51" t="n">
        <v>4</v>
      </c>
      <c r="L198" s="51" t="n">
        <v>5</v>
      </c>
      <c r="M198" s="51" t="n">
        <v>0</v>
      </c>
      <c r="N198" s="51" t="n">
        <v>1</v>
      </c>
      <c r="O198" s="51" t="n">
        <v>4</v>
      </c>
      <c r="P198" s="51" t="n">
        <v>120</v>
      </c>
      <c r="Q198" s="51" t="n">
        <v>3</v>
      </c>
      <c r="R198" s="51" t="n">
        <v>1600</v>
      </c>
      <c r="S198" s="51" t="n">
        <v>0</v>
      </c>
      <c r="T198" s="51" t="n">
        <v>5</v>
      </c>
      <c r="U198" s="51" t="n">
        <v>0</v>
      </c>
      <c r="V198" s="51" t="n">
        <v>0</v>
      </c>
      <c r="W198" s="51" t="n">
        <v>0</v>
      </c>
      <c r="X198" s="51" t="n">
        <v>0.366</v>
      </c>
    </row>
    <row r="199">
      <c r="A199" s="51" t="inlineStr">
        <is>
          <t>Mangosteen shell</t>
        </is>
      </c>
      <c r="B199" s="51" t="n">
        <v>26.22</v>
      </c>
      <c r="C199" s="51" t="n">
        <v>15.39</v>
      </c>
      <c r="D199" s="51" t="n">
        <v>48.52</v>
      </c>
      <c r="E199" s="51" t="n">
        <v>62.28</v>
      </c>
      <c r="F199" s="51" t="n">
        <v>1.85</v>
      </c>
      <c r="G199" s="51" t="n">
        <v>32.29</v>
      </c>
      <c r="H199" s="51" t="n">
        <v>48.81</v>
      </c>
      <c r="I199" s="51" t="n">
        <v>42.7</v>
      </c>
      <c r="J199" s="51" t="n">
        <v>5.73</v>
      </c>
      <c r="K199" s="51" t="n">
        <v>4</v>
      </c>
      <c r="L199" s="51" t="n">
        <v>5</v>
      </c>
      <c r="M199" s="51" t="n">
        <v>0</v>
      </c>
      <c r="N199" s="51" t="n">
        <v>1</v>
      </c>
      <c r="O199" s="51" t="n">
        <v>4</v>
      </c>
      <c r="P199" s="51" t="n">
        <v>120</v>
      </c>
      <c r="Q199" s="51" t="n">
        <v>3</v>
      </c>
      <c r="R199" s="51" t="n">
        <v>1500</v>
      </c>
      <c r="S199" s="51" t="n">
        <v>0</v>
      </c>
      <c r="T199" s="51" t="n">
        <v>5</v>
      </c>
      <c r="U199" s="51" t="n">
        <v>0</v>
      </c>
      <c r="V199" s="51" t="n">
        <v>0</v>
      </c>
      <c r="W199" s="51" t="n">
        <v>0</v>
      </c>
      <c r="X199" s="51" t="n">
        <v>0.367</v>
      </c>
    </row>
    <row r="200">
      <c r="A200" s="51" t="inlineStr">
        <is>
          <t>Mangosteen shell</t>
        </is>
      </c>
      <c r="B200" s="51" t="n">
        <v>26.22</v>
      </c>
      <c r="C200" s="51" t="n">
        <v>15.39</v>
      </c>
      <c r="D200" s="51" t="n">
        <v>48.52</v>
      </c>
      <c r="E200" s="51" t="n">
        <v>62.28</v>
      </c>
      <c r="F200" s="51" t="n">
        <v>1.85</v>
      </c>
      <c r="G200" s="51" t="n">
        <v>32.29</v>
      </c>
      <c r="H200" s="51" t="n">
        <v>48.81</v>
      </c>
      <c r="I200" s="51" t="n">
        <v>42.7</v>
      </c>
      <c r="J200" s="51" t="n">
        <v>5.73</v>
      </c>
      <c r="K200" s="51" t="n">
        <v>4</v>
      </c>
      <c r="L200" s="51" t="n">
        <v>5</v>
      </c>
      <c r="M200" s="51" t="n">
        <v>0</v>
      </c>
      <c r="N200" s="51" t="n">
        <v>1</v>
      </c>
      <c r="O200" s="51" t="n">
        <v>4</v>
      </c>
      <c r="P200" s="51" t="n">
        <v>120</v>
      </c>
      <c r="Q200" s="51" t="n">
        <v>3</v>
      </c>
      <c r="R200" s="51" t="n">
        <v>1400</v>
      </c>
      <c r="S200" s="51" t="n">
        <v>0</v>
      </c>
      <c r="T200" s="51" t="n">
        <v>5</v>
      </c>
      <c r="U200" s="51" t="n">
        <v>0</v>
      </c>
      <c r="V200" s="51" t="n">
        <v>0</v>
      </c>
      <c r="W200" s="51" t="n">
        <v>0</v>
      </c>
      <c r="X200" s="51" t="n">
        <v>0.369</v>
      </c>
    </row>
    <row r="201">
      <c r="A201" s="51" t="inlineStr">
        <is>
          <t>Mangosteen shell</t>
        </is>
      </c>
      <c r="B201" s="51" t="n">
        <v>26.22</v>
      </c>
      <c r="C201" s="51" t="n">
        <v>15.39</v>
      </c>
      <c r="D201" s="51" t="n">
        <v>48.52</v>
      </c>
      <c r="E201" s="51" t="n">
        <v>62.28</v>
      </c>
      <c r="F201" s="51" t="n">
        <v>1.85</v>
      </c>
      <c r="G201" s="51" t="n">
        <v>32.29</v>
      </c>
      <c r="H201" s="51" t="n">
        <v>48.81</v>
      </c>
      <c r="I201" s="51" t="n">
        <v>42.7</v>
      </c>
      <c r="J201" s="51" t="n">
        <v>5.73</v>
      </c>
      <c r="K201" s="51" t="n">
        <v>4</v>
      </c>
      <c r="L201" s="51" t="n">
        <v>5</v>
      </c>
      <c r="M201" s="51" t="n">
        <v>0</v>
      </c>
      <c r="N201" s="51" t="n">
        <v>1</v>
      </c>
      <c r="O201" s="51" t="n">
        <v>4</v>
      </c>
      <c r="P201" s="51" t="n">
        <v>120</v>
      </c>
      <c r="Q201" s="51" t="n">
        <v>3</v>
      </c>
      <c r="R201" s="51" t="n">
        <v>1300</v>
      </c>
      <c r="S201" s="51" t="n">
        <v>0</v>
      </c>
      <c r="T201" s="51" t="n">
        <v>5</v>
      </c>
      <c r="U201" s="51" t="n">
        <v>0</v>
      </c>
      <c r="V201" s="51" t="n">
        <v>0</v>
      </c>
      <c r="W201" s="51" t="n">
        <v>0</v>
      </c>
      <c r="X201" s="51" t="n">
        <v>0.371</v>
      </c>
    </row>
    <row r="202">
      <c r="A202" s="51" t="inlineStr">
        <is>
          <t>Mangosteen shell</t>
        </is>
      </c>
      <c r="B202" s="51" t="n">
        <v>26.22</v>
      </c>
      <c r="C202" s="51" t="n">
        <v>15.39</v>
      </c>
      <c r="D202" s="51" t="n">
        <v>48.52</v>
      </c>
      <c r="E202" s="51" t="n">
        <v>62.28</v>
      </c>
      <c r="F202" s="51" t="n">
        <v>1.85</v>
      </c>
      <c r="G202" s="51" t="n">
        <v>32.29</v>
      </c>
      <c r="H202" s="51" t="n">
        <v>48.81</v>
      </c>
      <c r="I202" s="51" t="n">
        <v>42.7</v>
      </c>
      <c r="J202" s="51" t="n">
        <v>5.73</v>
      </c>
      <c r="K202" s="51" t="n">
        <v>4</v>
      </c>
      <c r="L202" s="51" t="n">
        <v>5</v>
      </c>
      <c r="M202" s="51" t="n">
        <v>0</v>
      </c>
      <c r="N202" s="51" t="n">
        <v>1</v>
      </c>
      <c r="O202" s="51" t="n">
        <v>4</v>
      </c>
      <c r="P202" s="51" t="n">
        <v>120</v>
      </c>
      <c r="Q202" s="51" t="n">
        <v>3</v>
      </c>
      <c r="R202" s="51" t="n">
        <v>1200</v>
      </c>
      <c r="S202" s="51" t="n">
        <v>0</v>
      </c>
      <c r="T202" s="51" t="n">
        <v>5</v>
      </c>
      <c r="U202" s="51" t="n">
        <v>0</v>
      </c>
      <c r="V202" s="51" t="n">
        <v>0</v>
      </c>
      <c r="W202" s="51" t="n">
        <v>0</v>
      </c>
      <c r="X202" s="51" t="n">
        <v>0.372</v>
      </c>
    </row>
    <row r="203">
      <c r="A203" s="51" t="inlineStr">
        <is>
          <t>Mangosteen shell</t>
        </is>
      </c>
      <c r="B203" s="51" t="n">
        <v>26.22</v>
      </c>
      <c r="C203" s="51" t="n">
        <v>15.39</v>
      </c>
      <c r="D203" s="51" t="n">
        <v>48.52</v>
      </c>
      <c r="E203" s="51" t="n">
        <v>62.28</v>
      </c>
      <c r="F203" s="51" t="n">
        <v>1.85</v>
      </c>
      <c r="G203" s="51" t="n">
        <v>32.29</v>
      </c>
      <c r="H203" s="51" t="n">
        <v>48.81</v>
      </c>
      <c r="I203" s="51" t="n">
        <v>42.7</v>
      </c>
      <c r="J203" s="51" t="n">
        <v>5.73</v>
      </c>
      <c r="K203" s="51" t="n">
        <v>4</v>
      </c>
      <c r="L203" s="51" t="n">
        <v>5</v>
      </c>
      <c r="M203" s="51" t="n">
        <v>0</v>
      </c>
      <c r="N203" s="51" t="n">
        <v>1</v>
      </c>
      <c r="O203" s="51" t="n">
        <v>4</v>
      </c>
      <c r="P203" s="51" t="n">
        <v>120</v>
      </c>
      <c r="Q203" s="51" t="n">
        <v>3</v>
      </c>
      <c r="R203" s="51" t="n">
        <v>1100</v>
      </c>
      <c r="S203" s="51" t="n">
        <v>0</v>
      </c>
      <c r="T203" s="51" t="n">
        <v>5</v>
      </c>
      <c r="U203" s="51" t="n">
        <v>0</v>
      </c>
      <c r="V203" s="51" t="n">
        <v>0</v>
      </c>
      <c r="W203" s="51" t="n">
        <v>0</v>
      </c>
      <c r="X203" s="51" t="n">
        <v>0.374</v>
      </c>
    </row>
    <row r="204">
      <c r="A204" s="51" t="inlineStr">
        <is>
          <t>Mangosteen shell</t>
        </is>
      </c>
      <c r="B204" s="51" t="n">
        <v>26.22</v>
      </c>
      <c r="C204" s="51" t="n">
        <v>15.39</v>
      </c>
      <c r="D204" s="51" t="n">
        <v>48.52</v>
      </c>
      <c r="E204" s="51" t="n">
        <v>62.28</v>
      </c>
      <c r="F204" s="51" t="n">
        <v>1.85</v>
      </c>
      <c r="G204" s="51" t="n">
        <v>32.29</v>
      </c>
      <c r="H204" s="51" t="n">
        <v>48.81</v>
      </c>
      <c r="I204" s="51" t="n">
        <v>42.7</v>
      </c>
      <c r="J204" s="51" t="n">
        <v>5.73</v>
      </c>
      <c r="K204" s="51" t="n">
        <v>4</v>
      </c>
      <c r="L204" s="51" t="n">
        <v>5</v>
      </c>
      <c r="M204" s="51" t="n">
        <v>0</v>
      </c>
      <c r="N204" s="51" t="n">
        <v>1</v>
      </c>
      <c r="O204" s="51" t="n">
        <v>4</v>
      </c>
      <c r="P204" s="51" t="n">
        <v>120</v>
      </c>
      <c r="Q204" s="51" t="n">
        <v>3</v>
      </c>
      <c r="R204" s="51" t="n">
        <v>1000</v>
      </c>
      <c r="S204" s="51" t="n">
        <v>0</v>
      </c>
      <c r="T204" s="51" t="n">
        <v>5</v>
      </c>
      <c r="U204" s="51" t="n">
        <v>0</v>
      </c>
      <c r="V204" s="51" t="n">
        <v>0</v>
      </c>
      <c r="W204" s="51" t="n">
        <v>0</v>
      </c>
      <c r="X204" s="51" t="n">
        <v>0.378</v>
      </c>
    </row>
    <row r="205">
      <c r="A205" s="51" t="inlineStr">
        <is>
          <t>Mangosteen shell</t>
        </is>
      </c>
      <c r="B205" s="51" t="n">
        <v>26.22</v>
      </c>
      <c r="C205" s="51" t="n">
        <v>15.39</v>
      </c>
      <c r="D205" s="51" t="n">
        <v>48.52</v>
      </c>
      <c r="E205" s="51" t="n">
        <v>62.28</v>
      </c>
      <c r="F205" s="51" t="n">
        <v>1.85</v>
      </c>
      <c r="G205" s="51" t="n">
        <v>32.29</v>
      </c>
      <c r="H205" s="51" t="n">
        <v>48.81</v>
      </c>
      <c r="I205" s="51" t="n">
        <v>42.7</v>
      </c>
      <c r="J205" s="51" t="n">
        <v>5.73</v>
      </c>
      <c r="K205" s="51" t="n">
        <v>4</v>
      </c>
      <c r="L205" s="51" t="n">
        <v>5</v>
      </c>
      <c r="M205" s="51" t="n">
        <v>0</v>
      </c>
      <c r="N205" s="51" t="n">
        <v>1</v>
      </c>
      <c r="O205" s="51" t="n">
        <v>4</v>
      </c>
      <c r="P205" s="51" t="n">
        <v>120</v>
      </c>
      <c r="Q205" s="51" t="n">
        <v>3</v>
      </c>
      <c r="R205" s="51" t="n">
        <v>900</v>
      </c>
      <c r="S205" s="51" t="n">
        <v>0</v>
      </c>
      <c r="T205" s="51" t="n">
        <v>5</v>
      </c>
      <c r="U205" s="51" t="n">
        <v>0</v>
      </c>
      <c r="V205" s="51" t="n">
        <v>0</v>
      </c>
      <c r="W205" s="51" t="n">
        <v>0</v>
      </c>
      <c r="X205" s="51" t="n">
        <v>0.38</v>
      </c>
    </row>
    <row r="206">
      <c r="A206" s="51" t="inlineStr">
        <is>
          <t>Mangosteen shell</t>
        </is>
      </c>
      <c r="B206" s="51" t="n">
        <v>26.22</v>
      </c>
      <c r="C206" s="51" t="n">
        <v>15.39</v>
      </c>
      <c r="D206" s="51" t="n">
        <v>48.52</v>
      </c>
      <c r="E206" s="51" t="n">
        <v>62.28</v>
      </c>
      <c r="F206" s="51" t="n">
        <v>1.85</v>
      </c>
      <c r="G206" s="51" t="n">
        <v>32.29</v>
      </c>
      <c r="H206" s="51" t="n">
        <v>48.81</v>
      </c>
      <c r="I206" s="51" t="n">
        <v>42.7</v>
      </c>
      <c r="J206" s="51" t="n">
        <v>5.73</v>
      </c>
      <c r="K206" s="51" t="n">
        <v>4</v>
      </c>
      <c r="L206" s="51" t="n">
        <v>5</v>
      </c>
      <c r="M206" s="51" t="n">
        <v>0</v>
      </c>
      <c r="N206" s="51" t="n">
        <v>1</v>
      </c>
      <c r="O206" s="51" t="n">
        <v>4</v>
      </c>
      <c r="P206" s="51" t="n">
        <v>120</v>
      </c>
      <c r="Q206" s="51" t="n">
        <v>3</v>
      </c>
      <c r="R206" s="51" t="n">
        <v>800</v>
      </c>
      <c r="S206" s="51" t="n">
        <v>0</v>
      </c>
      <c r="T206" s="51" t="n">
        <v>5</v>
      </c>
      <c r="U206" s="51" t="n">
        <v>0</v>
      </c>
      <c r="V206" s="51" t="n">
        <v>0</v>
      </c>
      <c r="W206" s="51" t="n">
        <v>0</v>
      </c>
      <c r="X206" s="51" t="n">
        <v>0.384</v>
      </c>
    </row>
    <row r="207">
      <c r="A207" s="51" t="inlineStr">
        <is>
          <t>Oatmeal</t>
        </is>
      </c>
      <c r="B207" s="51" t="n">
        <v>40.1</v>
      </c>
      <c r="C207" s="51" t="n">
        <v>25.1</v>
      </c>
      <c r="D207" s="51" t="n">
        <v>26.1</v>
      </c>
      <c r="E207" s="51" t="n">
        <v>76.09999999999999</v>
      </c>
      <c r="F207" s="51" t="n">
        <v>6.1</v>
      </c>
      <c r="G207" s="51" t="n">
        <v>16.1</v>
      </c>
      <c r="H207" s="51" t="n">
        <v>48.17</v>
      </c>
      <c r="I207" s="51" t="n">
        <v>45.55</v>
      </c>
      <c r="J207" s="51" t="n">
        <v>6.23</v>
      </c>
      <c r="K207" s="51" t="n">
        <v>4</v>
      </c>
      <c r="L207" s="51" t="n">
        <v>7</v>
      </c>
      <c r="M207" s="51" t="n">
        <v>1</v>
      </c>
      <c r="N207" s="51" t="n">
        <v>0</v>
      </c>
      <c r="O207" s="51" t="n">
        <v>4</v>
      </c>
      <c r="P207" s="51" t="n">
        <v>720</v>
      </c>
      <c r="Q207" s="51" t="n">
        <v>4.82703000006722</v>
      </c>
      <c r="R207" s="51" t="n">
        <v>200</v>
      </c>
      <c r="S207" s="51" t="n">
        <v>1</v>
      </c>
      <c r="T207" s="51" t="n">
        <v>5</v>
      </c>
      <c r="U207" s="51" t="n">
        <v>120</v>
      </c>
      <c r="V207" s="51" t="n">
        <v>5</v>
      </c>
      <c r="W207" s="51" t="n">
        <v>900</v>
      </c>
      <c r="X207" s="51" t="n">
        <v>0.388</v>
      </c>
    </row>
    <row r="208">
      <c r="A208" s="51" t="inlineStr">
        <is>
          <t>Oatmeal</t>
        </is>
      </c>
      <c r="B208" s="51" t="n">
        <v>40.1</v>
      </c>
      <c r="C208" s="51" t="n">
        <v>25.1</v>
      </c>
      <c r="D208" s="51" t="n">
        <v>26.1</v>
      </c>
      <c r="E208" s="51" t="n">
        <v>76.09999999999999</v>
      </c>
      <c r="F208" s="51" t="n">
        <v>6.1</v>
      </c>
      <c r="G208" s="51" t="n">
        <v>16.1</v>
      </c>
      <c r="H208" s="51" t="n">
        <v>48.17</v>
      </c>
      <c r="I208" s="51" t="n">
        <v>45.55</v>
      </c>
      <c r="J208" s="51" t="n">
        <v>6.23</v>
      </c>
      <c r="K208" s="51" t="n">
        <v>4</v>
      </c>
      <c r="L208" s="51" t="n">
        <v>7</v>
      </c>
      <c r="M208" s="51" t="n">
        <v>1</v>
      </c>
      <c r="N208" s="51" t="n">
        <v>0</v>
      </c>
      <c r="O208" s="51" t="n">
        <v>4</v>
      </c>
      <c r="P208" s="51" t="n">
        <v>720</v>
      </c>
      <c r="Q208" s="51" t="n">
        <v>4.82703000006722</v>
      </c>
      <c r="R208" s="51" t="n">
        <v>200</v>
      </c>
      <c r="S208" s="51" t="n">
        <v>1</v>
      </c>
      <c r="T208" s="51" t="n">
        <v>5</v>
      </c>
      <c r="U208" s="51" t="n">
        <v>108.783457731404</v>
      </c>
      <c r="V208" s="51" t="n">
        <v>4.25223051542691</v>
      </c>
      <c r="W208" s="51" t="n">
        <v>700</v>
      </c>
      <c r="X208" s="51" t="n">
        <v>0.391</v>
      </c>
    </row>
    <row r="209">
      <c r="A209" s="51" t="inlineStr">
        <is>
          <t>Oatmeal</t>
        </is>
      </c>
      <c r="B209" s="51" t="n">
        <v>40.1</v>
      </c>
      <c r="C209" s="51" t="n">
        <v>25.1</v>
      </c>
      <c r="D209" s="51" t="n">
        <v>26.1</v>
      </c>
      <c r="E209" s="51" t="n">
        <v>76.09999999999999</v>
      </c>
      <c r="F209" s="51" t="n">
        <v>6.1</v>
      </c>
      <c r="G209" s="51" t="n">
        <v>16.1</v>
      </c>
      <c r="H209" s="51" t="n">
        <v>48.17</v>
      </c>
      <c r="I209" s="51" t="n">
        <v>45.55</v>
      </c>
      <c r="J209" s="51" t="n">
        <v>6.23</v>
      </c>
      <c r="K209" s="51" t="n">
        <v>4</v>
      </c>
      <c r="L209" s="51" t="n">
        <v>7</v>
      </c>
      <c r="M209" s="51" t="n">
        <v>1</v>
      </c>
      <c r="N209" s="51" t="n">
        <v>0</v>
      </c>
      <c r="O209" s="51" t="n">
        <v>4</v>
      </c>
      <c r="P209" s="51" t="n">
        <v>720</v>
      </c>
      <c r="Q209" s="51" t="n">
        <v>4.82703000006722</v>
      </c>
      <c r="R209" s="51" t="n">
        <v>200</v>
      </c>
      <c r="S209" s="51" t="n">
        <v>1</v>
      </c>
      <c r="T209" s="51" t="n">
        <v>5</v>
      </c>
      <c r="U209" s="51" t="n">
        <v>98.5535695446636</v>
      </c>
      <c r="V209" s="51" t="n">
        <v>3.57023796964424</v>
      </c>
      <c r="W209" s="51" t="n">
        <v>500</v>
      </c>
      <c r="X209" s="51" t="n">
        <v>0.405</v>
      </c>
    </row>
    <row r="210">
      <c r="A210" s="51" t="inlineStr">
        <is>
          <t>Oatmeal</t>
        </is>
      </c>
      <c r="B210" s="51" t="n">
        <v>40.1</v>
      </c>
      <c r="C210" s="51" t="n">
        <v>25.1</v>
      </c>
      <c r="D210" s="51" t="n">
        <v>26.1</v>
      </c>
      <c r="E210" s="51" t="n">
        <v>76.09999999999999</v>
      </c>
      <c r="F210" s="51" t="n">
        <v>6.1</v>
      </c>
      <c r="G210" s="51" t="n">
        <v>16.1</v>
      </c>
      <c r="H210" s="51" t="n">
        <v>48.17</v>
      </c>
      <c r="I210" s="51" t="n">
        <v>45.55</v>
      </c>
      <c r="J210" s="51" t="n">
        <v>6.23</v>
      </c>
      <c r="K210" s="51" t="n">
        <v>4</v>
      </c>
      <c r="L210" s="51" t="n">
        <v>7</v>
      </c>
      <c r="M210" s="51" t="n">
        <v>1</v>
      </c>
      <c r="N210" s="51" t="n">
        <v>0</v>
      </c>
      <c r="O210" s="51" t="n">
        <v>4</v>
      </c>
      <c r="P210" s="51" t="n">
        <v>720</v>
      </c>
      <c r="Q210" s="51" t="n">
        <v>4.82703000006722</v>
      </c>
      <c r="R210" s="51" t="n">
        <v>200</v>
      </c>
      <c r="S210" s="51" t="n">
        <v>1</v>
      </c>
      <c r="T210" s="51" t="n">
        <v>5</v>
      </c>
      <c r="U210" s="51" t="n">
        <v>83.9885341923579</v>
      </c>
      <c r="V210" s="51" t="n">
        <v>2.59923561282386</v>
      </c>
      <c r="W210" s="51" t="n">
        <v>300</v>
      </c>
      <c r="X210" s="51" t="n">
        <v>0.418</v>
      </c>
    </row>
    <row r="211">
      <c r="A211" s="51" t="inlineStr">
        <is>
          <t>Olive Shells</t>
        </is>
      </c>
      <c r="B211" s="51" t="n">
        <v>53.5</v>
      </c>
      <c r="C211" s="51" t="n">
        <v>22.3</v>
      </c>
      <c r="D211" s="51" t="n">
        <v>22.5</v>
      </c>
      <c r="E211" s="51" t="n">
        <v>89.3</v>
      </c>
      <c r="F211" s="51" t="n">
        <v>0.6</v>
      </c>
      <c r="G211" s="51" t="n">
        <v>10</v>
      </c>
      <c r="H211" s="51" t="n">
        <v>49.5</v>
      </c>
      <c r="I211" s="51" t="n">
        <v>40.7</v>
      </c>
      <c r="J211" s="51" t="n">
        <v>6.4</v>
      </c>
      <c r="K211" s="51" t="n">
        <v>4</v>
      </c>
      <c r="L211" s="51" t="n">
        <v>5</v>
      </c>
      <c r="M211" s="51" t="n">
        <v>0</v>
      </c>
      <c r="N211" s="51" t="n">
        <v>1</v>
      </c>
      <c r="O211" s="51" t="n">
        <v>4</v>
      </c>
      <c r="P211" s="51" t="n">
        <v>120</v>
      </c>
      <c r="Q211" s="51" t="n">
        <v>5</v>
      </c>
      <c r="R211" s="51" t="n">
        <v>1400</v>
      </c>
      <c r="S211" s="51" t="n">
        <v>0</v>
      </c>
      <c r="T211" s="51" t="n">
        <v>5</v>
      </c>
      <c r="U211" s="51" t="n">
        <v>0</v>
      </c>
      <c r="V211" s="51" t="n">
        <v>0</v>
      </c>
      <c r="W211" s="51" t="n">
        <v>0</v>
      </c>
      <c r="X211" s="51" t="n">
        <v>0.364</v>
      </c>
    </row>
    <row r="212">
      <c r="A212" s="51" t="inlineStr">
        <is>
          <t>Olive Shells</t>
        </is>
      </c>
      <c r="B212" s="51" t="n">
        <v>53.5</v>
      </c>
      <c r="C212" s="51" t="n">
        <v>22.3</v>
      </c>
      <c r="D212" s="51" t="n">
        <v>22.5</v>
      </c>
      <c r="E212" s="51" t="n">
        <v>89.3</v>
      </c>
      <c r="F212" s="51" t="n">
        <v>0.6</v>
      </c>
      <c r="G212" s="51" t="n">
        <v>10</v>
      </c>
      <c r="H212" s="51" t="n">
        <v>49.5</v>
      </c>
      <c r="I212" s="51" t="n">
        <v>40.7</v>
      </c>
      <c r="J212" s="51" t="n">
        <v>6.4</v>
      </c>
      <c r="K212" s="51" t="n">
        <v>4</v>
      </c>
      <c r="L212" s="51" t="n">
        <v>5</v>
      </c>
      <c r="M212" s="51" t="n">
        <v>1</v>
      </c>
      <c r="N212" s="51" t="n">
        <v>1</v>
      </c>
      <c r="O212" s="51" t="n">
        <v>4</v>
      </c>
      <c r="P212" s="51" t="n">
        <v>120</v>
      </c>
      <c r="Q212" s="51" t="n">
        <v>5</v>
      </c>
      <c r="R212" s="51" t="n">
        <v>300</v>
      </c>
      <c r="S212" s="51" t="n">
        <v>1</v>
      </c>
      <c r="T212" s="51" t="n">
        <v>5</v>
      </c>
      <c r="U212" s="51" t="n">
        <v>120</v>
      </c>
      <c r="V212" s="51" t="n">
        <v>5</v>
      </c>
      <c r="W212" s="51" t="n">
        <v>1300</v>
      </c>
      <c r="X212" s="51" t="n">
        <v>0.376</v>
      </c>
    </row>
    <row r="213">
      <c r="A213" s="51" t="inlineStr">
        <is>
          <t>Olive Shells</t>
        </is>
      </c>
      <c r="B213" s="51" t="n">
        <v>53.5</v>
      </c>
      <c r="C213" s="51" t="n">
        <v>22.3</v>
      </c>
      <c r="D213" s="51" t="n">
        <v>22.5</v>
      </c>
      <c r="E213" s="51" t="n">
        <v>89.3</v>
      </c>
      <c r="F213" s="51" t="n">
        <v>0.6</v>
      </c>
      <c r="G213" s="51" t="n">
        <v>10</v>
      </c>
      <c r="H213" s="51" t="n">
        <v>49.5</v>
      </c>
      <c r="I213" s="51" t="n">
        <v>40.7</v>
      </c>
      <c r="J213" s="51" t="n">
        <v>6.4</v>
      </c>
      <c r="K213" s="51" t="n">
        <v>4</v>
      </c>
      <c r="L213" s="51" t="n">
        <v>5</v>
      </c>
      <c r="M213" s="51" t="n">
        <v>1</v>
      </c>
      <c r="N213" s="51" t="n">
        <v>1</v>
      </c>
      <c r="O213" s="51" t="n">
        <v>4</v>
      </c>
      <c r="P213" s="51" t="n">
        <v>120</v>
      </c>
      <c r="Q213" s="51" t="n">
        <v>5</v>
      </c>
      <c r="R213" s="51" t="n">
        <v>300</v>
      </c>
      <c r="S213" s="51" t="n">
        <v>1</v>
      </c>
      <c r="T213" s="51" t="n">
        <v>5</v>
      </c>
      <c r="U213" s="51" t="n">
        <v>120</v>
      </c>
      <c r="V213" s="51" t="n">
        <v>5</v>
      </c>
      <c r="W213" s="51" t="n">
        <v>1300</v>
      </c>
      <c r="X213" s="51" t="n">
        <v>0.378</v>
      </c>
    </row>
    <row r="214">
      <c r="A214" s="51" t="inlineStr">
        <is>
          <t>Olive Shells</t>
        </is>
      </c>
      <c r="B214" s="51" t="n">
        <v>53.5</v>
      </c>
      <c r="C214" s="51" t="n">
        <v>22.3</v>
      </c>
      <c r="D214" s="51" t="n">
        <v>22.5</v>
      </c>
      <c r="E214" s="51" t="n">
        <v>89.3</v>
      </c>
      <c r="F214" s="51" t="n">
        <v>0.6</v>
      </c>
      <c r="G214" s="51" t="n">
        <v>10</v>
      </c>
      <c r="H214" s="51" t="n">
        <v>49.5</v>
      </c>
      <c r="I214" s="51" t="n">
        <v>40.7</v>
      </c>
      <c r="J214" s="51" t="n">
        <v>6.4</v>
      </c>
      <c r="K214" s="51" t="n">
        <v>4</v>
      </c>
      <c r="L214" s="51" t="n">
        <v>5</v>
      </c>
      <c r="M214" s="51" t="n">
        <v>0</v>
      </c>
      <c r="N214" s="51" t="n">
        <v>1</v>
      </c>
      <c r="O214" s="51" t="n">
        <v>4</v>
      </c>
      <c r="P214" s="51" t="n">
        <v>120</v>
      </c>
      <c r="Q214" s="51" t="n">
        <v>5</v>
      </c>
      <c r="R214" s="51" t="n">
        <v>1300</v>
      </c>
      <c r="S214" s="51" t="n">
        <v>0</v>
      </c>
      <c r="T214" s="51" t="n">
        <v>5</v>
      </c>
      <c r="U214" s="51" t="n">
        <v>0</v>
      </c>
      <c r="V214" s="51" t="n">
        <v>0</v>
      </c>
      <c r="W214" s="51" t="n">
        <v>0</v>
      </c>
      <c r="X214" s="51" t="n">
        <v>0.379</v>
      </c>
    </row>
    <row r="215">
      <c r="A215" s="51" t="inlineStr">
        <is>
          <t>Olive Shells</t>
        </is>
      </c>
      <c r="B215" s="51" t="n">
        <v>53.5</v>
      </c>
      <c r="C215" s="51" t="n">
        <v>22.3</v>
      </c>
      <c r="D215" s="51" t="n">
        <v>22.5</v>
      </c>
      <c r="E215" s="51" t="n">
        <v>89.3</v>
      </c>
      <c r="F215" s="51" t="n">
        <v>0.6</v>
      </c>
      <c r="G215" s="51" t="n">
        <v>10</v>
      </c>
      <c r="H215" s="51" t="n">
        <v>49.5</v>
      </c>
      <c r="I215" s="51" t="n">
        <v>40.7</v>
      </c>
      <c r="J215" s="51" t="n">
        <v>6.4</v>
      </c>
      <c r="K215" s="51" t="n">
        <v>4</v>
      </c>
      <c r="L215" s="51" t="n">
        <v>5</v>
      </c>
      <c r="M215" s="51" t="n">
        <v>1</v>
      </c>
      <c r="N215" s="51" t="n">
        <v>1</v>
      </c>
      <c r="O215" s="51" t="n">
        <v>4</v>
      </c>
      <c r="P215" s="51" t="n">
        <v>120</v>
      </c>
      <c r="Q215" s="51" t="n">
        <v>5</v>
      </c>
      <c r="R215" s="51" t="n">
        <v>300</v>
      </c>
      <c r="S215" s="51" t="n">
        <v>1</v>
      </c>
      <c r="T215" s="51" t="n">
        <v>5</v>
      </c>
      <c r="U215" s="51" t="n">
        <v>120</v>
      </c>
      <c r="V215" s="51" t="n">
        <v>5</v>
      </c>
      <c r="W215" s="51" t="n">
        <v>1300</v>
      </c>
      <c r="X215" s="51" t="n">
        <v>0.379</v>
      </c>
    </row>
    <row r="216">
      <c r="A216" s="51" t="inlineStr">
        <is>
          <t>Olive Shells</t>
        </is>
      </c>
      <c r="B216" s="51" t="n">
        <v>53.5</v>
      </c>
      <c r="C216" s="51" t="n">
        <v>22.3</v>
      </c>
      <c r="D216" s="51" t="n">
        <v>22.5</v>
      </c>
      <c r="E216" s="51" t="n">
        <v>89.3</v>
      </c>
      <c r="F216" s="51" t="n">
        <v>0.6</v>
      </c>
      <c r="G216" s="51" t="n">
        <v>10</v>
      </c>
      <c r="H216" s="51" t="n">
        <v>49.5</v>
      </c>
      <c r="I216" s="51" t="n">
        <v>40.7</v>
      </c>
      <c r="J216" s="51" t="n">
        <v>6.4</v>
      </c>
      <c r="K216" s="51" t="n">
        <v>4</v>
      </c>
      <c r="L216" s="51" t="n">
        <v>5</v>
      </c>
      <c r="M216" s="51" t="n">
        <v>0</v>
      </c>
      <c r="N216" s="51" t="n">
        <v>1</v>
      </c>
      <c r="O216" s="51" t="n">
        <v>4</v>
      </c>
      <c r="P216" s="51" t="n">
        <v>120</v>
      </c>
      <c r="Q216" s="51" t="n">
        <v>5</v>
      </c>
      <c r="R216" s="51" t="n">
        <v>1200</v>
      </c>
      <c r="S216" s="51" t="n">
        <v>0</v>
      </c>
      <c r="T216" s="51" t="n">
        <v>5</v>
      </c>
      <c r="U216" s="51" t="n">
        <v>0</v>
      </c>
      <c r="V216" s="51" t="n">
        <v>0</v>
      </c>
      <c r="W216" s="51" t="n">
        <v>0</v>
      </c>
      <c r="X216" s="51" t="n">
        <v>0.385</v>
      </c>
    </row>
    <row r="217">
      <c r="A217" s="51" t="inlineStr">
        <is>
          <t>Olive stone</t>
        </is>
      </c>
      <c r="B217" s="51" t="n">
        <v>53.5</v>
      </c>
      <c r="C217" s="51" t="n">
        <v>22.3</v>
      </c>
      <c r="D217" s="51" t="n">
        <v>22.5</v>
      </c>
      <c r="E217" s="51" t="n">
        <v>89.3</v>
      </c>
      <c r="F217" s="51" t="n">
        <v>0.6</v>
      </c>
      <c r="G217" s="51" t="n">
        <v>10</v>
      </c>
      <c r="H217" s="51" t="n">
        <v>49.5</v>
      </c>
      <c r="I217" s="51" t="n">
        <v>40.7</v>
      </c>
      <c r="J217" s="51" t="n">
        <v>6.4</v>
      </c>
      <c r="K217" s="51" t="n">
        <v>4</v>
      </c>
      <c r="L217" s="51" t="n">
        <v>5</v>
      </c>
      <c r="M217" s="51" t="n">
        <v>0</v>
      </c>
      <c r="N217" s="51" t="n">
        <v>1</v>
      </c>
      <c r="O217" s="51" t="n">
        <v>4</v>
      </c>
      <c r="P217" s="51" t="n">
        <v>137.489591355137</v>
      </c>
      <c r="Q217" s="51" t="n">
        <v>3.86069473845149</v>
      </c>
      <c r="R217" s="51" t="n">
        <v>800</v>
      </c>
      <c r="S217" s="51" t="n">
        <v>0</v>
      </c>
      <c r="T217" s="51" t="n">
        <v>5</v>
      </c>
      <c r="U217" s="51" t="n">
        <v>0</v>
      </c>
      <c r="V217" s="51" t="n">
        <v>0</v>
      </c>
      <c r="W217" s="51" t="n">
        <v>0</v>
      </c>
      <c r="X217" s="51" t="n">
        <v>0.367</v>
      </c>
    </row>
    <row r="218">
      <c r="A218" s="51" t="inlineStr">
        <is>
          <t>Olive stone</t>
        </is>
      </c>
      <c r="B218" s="51" t="n">
        <v>53.5</v>
      </c>
      <c r="C218" s="51" t="n">
        <v>22.3</v>
      </c>
      <c r="D218" s="51" t="n">
        <v>22.5</v>
      </c>
      <c r="E218" s="51" t="n">
        <v>89.3</v>
      </c>
      <c r="F218" s="51" t="n">
        <v>0.6</v>
      </c>
      <c r="G218" s="51" t="n">
        <v>10</v>
      </c>
      <c r="H218" s="51" t="n">
        <v>49.5</v>
      </c>
      <c r="I218" s="51" t="n">
        <v>40.7</v>
      </c>
      <c r="J218" s="51" t="n">
        <v>6.4</v>
      </c>
      <c r="K218" s="51" t="n">
        <v>4</v>
      </c>
      <c r="L218" s="51" t="n">
        <v>5</v>
      </c>
      <c r="M218" s="51" t="n">
        <v>0</v>
      </c>
      <c r="N218" s="51" t="n">
        <v>1</v>
      </c>
      <c r="O218" s="51" t="n">
        <v>4</v>
      </c>
      <c r="P218" s="51" t="n">
        <v>120</v>
      </c>
      <c r="Q218" s="51" t="n">
        <v>5</v>
      </c>
      <c r="R218" s="51" t="n">
        <v>2000</v>
      </c>
      <c r="S218" s="51" t="n">
        <v>0</v>
      </c>
      <c r="T218" s="51" t="n">
        <v>5</v>
      </c>
      <c r="U218" s="51" t="n">
        <v>0</v>
      </c>
      <c r="V218" s="51" t="n">
        <v>0</v>
      </c>
      <c r="W218" s="51" t="n">
        <v>0</v>
      </c>
      <c r="X218" s="51" t="n">
        <v>0.372</v>
      </c>
    </row>
    <row r="219">
      <c r="A219" s="51" t="inlineStr">
        <is>
          <t>Olive stone</t>
        </is>
      </c>
      <c r="B219" s="51" t="n">
        <v>53.5</v>
      </c>
      <c r="C219" s="51" t="n">
        <v>22.3</v>
      </c>
      <c r="D219" s="51" t="n">
        <v>22.5</v>
      </c>
      <c r="E219" s="51" t="n">
        <v>89.3</v>
      </c>
      <c r="F219" s="51" t="n">
        <v>0.6</v>
      </c>
      <c r="G219" s="51" t="n">
        <v>10</v>
      </c>
      <c r="H219" s="51" t="n">
        <v>49.5</v>
      </c>
      <c r="I219" s="51" t="n">
        <v>40.7</v>
      </c>
      <c r="J219" s="51" t="n">
        <v>6.4</v>
      </c>
      <c r="K219" s="51" t="n">
        <v>4</v>
      </c>
      <c r="L219" s="51" t="n">
        <v>5</v>
      </c>
      <c r="M219" s="51" t="n">
        <v>0</v>
      </c>
      <c r="N219" s="51" t="n">
        <v>1</v>
      </c>
      <c r="O219" s="51" t="n">
        <v>4</v>
      </c>
      <c r="P219" s="51" t="n">
        <v>120</v>
      </c>
      <c r="Q219" s="51" t="n">
        <v>3.75279065400462</v>
      </c>
      <c r="R219" s="51" t="n">
        <v>1000</v>
      </c>
      <c r="S219" s="51" t="n">
        <v>0</v>
      </c>
      <c r="T219" s="51" t="n">
        <v>5</v>
      </c>
      <c r="U219" s="51" t="n">
        <v>0</v>
      </c>
      <c r="V219" s="51" t="n">
        <v>0</v>
      </c>
      <c r="W219" s="51" t="n">
        <v>0</v>
      </c>
      <c r="X219" s="51" t="n">
        <v>0.373</v>
      </c>
    </row>
    <row r="220">
      <c r="A220" s="51" t="inlineStr">
        <is>
          <t>Olive stone</t>
        </is>
      </c>
      <c r="B220" s="51" t="n">
        <v>53.5</v>
      </c>
      <c r="C220" s="51" t="n">
        <v>22.3</v>
      </c>
      <c r="D220" s="51" t="n">
        <v>22.5</v>
      </c>
      <c r="E220" s="51" t="n">
        <v>89.3</v>
      </c>
      <c r="F220" s="51" t="n">
        <v>0.6</v>
      </c>
      <c r="G220" s="51" t="n">
        <v>10</v>
      </c>
      <c r="H220" s="51" t="n">
        <v>49.5</v>
      </c>
      <c r="I220" s="51" t="n">
        <v>40.7</v>
      </c>
      <c r="J220" s="51" t="n">
        <v>6.4</v>
      </c>
      <c r="K220" s="51" t="n">
        <v>4</v>
      </c>
      <c r="L220" s="51" t="n">
        <v>5</v>
      </c>
      <c r="M220" s="51" t="n">
        <v>0</v>
      </c>
      <c r="N220" s="51" t="n">
        <v>1</v>
      </c>
      <c r="O220" s="51" t="n">
        <v>4</v>
      </c>
      <c r="P220" s="51" t="n">
        <v>120.214539526483</v>
      </c>
      <c r="Q220" s="51" t="n">
        <v>4.99616646936785</v>
      </c>
      <c r="R220" s="51" t="n">
        <v>1200</v>
      </c>
      <c r="S220" s="51" t="n">
        <v>0</v>
      </c>
      <c r="T220" s="51" t="n">
        <v>5</v>
      </c>
      <c r="U220" s="51" t="n">
        <v>0</v>
      </c>
      <c r="V220" s="51" t="n">
        <v>0</v>
      </c>
      <c r="W220" s="51" t="n">
        <v>0</v>
      </c>
      <c r="X220" s="51" t="n">
        <v>0.377</v>
      </c>
    </row>
    <row r="221">
      <c r="A221" s="51" t="inlineStr">
        <is>
          <t>Olive stone</t>
        </is>
      </c>
      <c r="B221" s="51" t="n">
        <v>53.5</v>
      </c>
      <c r="C221" s="51" t="n">
        <v>22.3</v>
      </c>
      <c r="D221" s="51" t="n">
        <v>22.5</v>
      </c>
      <c r="E221" s="51" t="n">
        <v>89.3</v>
      </c>
      <c r="F221" s="51" t="n">
        <v>0.6</v>
      </c>
      <c r="G221" s="51" t="n">
        <v>10</v>
      </c>
      <c r="H221" s="51" t="n">
        <v>49.5</v>
      </c>
      <c r="I221" s="51" t="n">
        <v>40.7</v>
      </c>
      <c r="J221" s="51" t="n">
        <v>6.4</v>
      </c>
      <c r="K221" s="51" t="n">
        <v>4</v>
      </c>
      <c r="L221" s="51" t="n">
        <v>5</v>
      </c>
      <c r="M221" s="51" t="n">
        <v>0</v>
      </c>
      <c r="N221" s="51" t="n">
        <v>1</v>
      </c>
      <c r="O221" s="51" t="n">
        <v>4</v>
      </c>
      <c r="P221" s="51" t="n">
        <v>168.625808773954</v>
      </c>
      <c r="Q221" s="51" t="n">
        <v>4.55885509443803</v>
      </c>
      <c r="R221" s="51" t="n">
        <v>1600</v>
      </c>
      <c r="S221" s="51" t="n">
        <v>0</v>
      </c>
      <c r="T221" s="51" t="n">
        <v>5</v>
      </c>
      <c r="U221" s="51" t="n">
        <v>0</v>
      </c>
      <c r="V221" s="51" t="n">
        <v>0</v>
      </c>
      <c r="W221" s="51" t="n">
        <v>0</v>
      </c>
      <c r="X221" s="51" t="n">
        <v>0.378</v>
      </c>
    </row>
    <row r="222">
      <c r="A222" s="51" t="inlineStr">
        <is>
          <t>Olive stone</t>
        </is>
      </c>
      <c r="B222" s="51" t="n">
        <v>53.5</v>
      </c>
      <c r="C222" s="51" t="n">
        <v>22.3</v>
      </c>
      <c r="D222" s="51" t="n">
        <v>22.5</v>
      </c>
      <c r="E222" s="51" t="n">
        <v>89.3</v>
      </c>
      <c r="F222" s="51" t="n">
        <v>0.6</v>
      </c>
      <c r="G222" s="51" t="n">
        <v>10</v>
      </c>
      <c r="H222" s="51" t="n">
        <v>49.5</v>
      </c>
      <c r="I222" s="51" t="n">
        <v>40.7</v>
      </c>
      <c r="J222" s="51" t="n">
        <v>6.4</v>
      </c>
      <c r="K222" s="51" t="n">
        <v>4</v>
      </c>
      <c r="L222" s="51" t="n">
        <v>5</v>
      </c>
      <c r="M222" s="51" t="n">
        <v>0</v>
      </c>
      <c r="N222" s="51" t="n">
        <v>1</v>
      </c>
      <c r="O222" s="51" t="n">
        <v>4</v>
      </c>
      <c r="P222" s="51" t="n">
        <v>120.428094065457</v>
      </c>
      <c r="Q222" s="51" t="n">
        <v>4.99696765998497</v>
      </c>
      <c r="R222" s="51" t="n">
        <v>1400</v>
      </c>
      <c r="S222" s="51" t="n">
        <v>0</v>
      </c>
      <c r="T222" s="51" t="n">
        <v>5</v>
      </c>
      <c r="U222" s="51" t="n">
        <v>0</v>
      </c>
      <c r="V222" s="51" t="n">
        <v>0</v>
      </c>
      <c r="W222" s="51" t="n">
        <v>0</v>
      </c>
      <c r="X222" s="51" t="n">
        <v>0.38</v>
      </c>
    </row>
    <row r="223">
      <c r="A223" s="51" t="inlineStr">
        <is>
          <t>Palm Leaves</t>
        </is>
      </c>
      <c r="B223" s="51" t="n">
        <v>40.21</v>
      </c>
      <c r="C223" s="51" t="n">
        <v>12.8</v>
      </c>
      <c r="D223" s="51" t="n">
        <v>32.2</v>
      </c>
      <c r="E223" s="51" t="n">
        <v>77.5</v>
      </c>
      <c r="F223" s="51" t="n">
        <v>12.1</v>
      </c>
      <c r="G223" s="51" t="n">
        <v>6.1</v>
      </c>
      <c r="H223" s="51" t="n">
        <v>50.4</v>
      </c>
      <c r="I223" s="51" t="n">
        <v>41.8</v>
      </c>
      <c r="J223" s="51" t="n">
        <v>6.3</v>
      </c>
      <c r="K223" s="51" t="n">
        <v>1</v>
      </c>
      <c r="L223" s="51" t="n">
        <v>5</v>
      </c>
      <c r="M223" s="51" t="n">
        <v>0</v>
      </c>
      <c r="N223" s="51" t="n">
        <v>1</v>
      </c>
      <c r="O223" s="51" t="n">
        <v>4</v>
      </c>
      <c r="P223" s="51" t="n">
        <v>173.387384627255</v>
      </c>
      <c r="Q223" s="51" t="n">
        <v>3.9670801835631</v>
      </c>
      <c r="R223" s="51" t="n">
        <v>1000</v>
      </c>
      <c r="S223" s="51" t="n">
        <v>0</v>
      </c>
      <c r="T223" s="51" t="n">
        <v>5</v>
      </c>
      <c r="U223" s="51" t="n">
        <v>0</v>
      </c>
      <c r="V223" s="51" t="n">
        <v>0</v>
      </c>
      <c r="W223" s="51" t="n">
        <v>0</v>
      </c>
      <c r="X223" s="51" t="n">
        <v>0.383</v>
      </c>
    </row>
    <row r="224">
      <c r="A224" s="51" t="inlineStr">
        <is>
          <t>Palm Leaves</t>
        </is>
      </c>
      <c r="B224" s="51" t="n">
        <v>40.21</v>
      </c>
      <c r="C224" s="51" t="n">
        <v>12.8</v>
      </c>
      <c r="D224" s="51" t="n">
        <v>32.2</v>
      </c>
      <c r="E224" s="51" t="n">
        <v>77.5</v>
      </c>
      <c r="F224" s="51" t="n">
        <v>12.1</v>
      </c>
      <c r="G224" s="51" t="n">
        <v>6.1</v>
      </c>
      <c r="H224" s="51" t="n">
        <v>50.4</v>
      </c>
      <c r="I224" s="51" t="n">
        <v>41.8</v>
      </c>
      <c r="J224" s="51" t="n">
        <v>6.3</v>
      </c>
      <c r="K224" s="51" t="n">
        <v>1</v>
      </c>
      <c r="L224" s="51" t="n">
        <v>5</v>
      </c>
      <c r="M224" s="51" t="n">
        <v>0</v>
      </c>
      <c r="N224" s="51" t="n">
        <v>1</v>
      </c>
      <c r="O224" s="51" t="n">
        <v>4</v>
      </c>
      <c r="P224" s="51" t="n">
        <v>173.387386548793</v>
      </c>
      <c r="Q224" s="51" t="n">
        <v>3.96708018134618</v>
      </c>
      <c r="R224" s="51" t="n">
        <v>1000</v>
      </c>
      <c r="S224" s="51" t="n">
        <v>0</v>
      </c>
      <c r="T224" s="51" t="n">
        <v>5</v>
      </c>
      <c r="U224" s="51" t="n">
        <v>0</v>
      </c>
      <c r="V224" s="51" t="n">
        <v>0</v>
      </c>
      <c r="W224" s="51" t="n">
        <v>0</v>
      </c>
      <c r="X224" s="51" t="n">
        <v>0.388</v>
      </c>
    </row>
    <row r="225">
      <c r="A225" s="51" t="inlineStr">
        <is>
          <t>Paulownia wood</t>
        </is>
      </c>
      <c r="B225" s="51" t="n">
        <v>44.25</v>
      </c>
      <c r="C225" s="51" t="n">
        <v>24.8</v>
      </c>
      <c r="D225" s="51" t="n">
        <v>22.61</v>
      </c>
      <c r="E225" s="51" t="n">
        <v>71.8</v>
      </c>
      <c r="F225" s="51" t="n">
        <v>1.06</v>
      </c>
      <c r="G225" s="51" t="n">
        <v>20.6</v>
      </c>
      <c r="H225" s="51" t="n">
        <v>44.73</v>
      </c>
      <c r="I225" s="51" t="n">
        <v>48.28</v>
      </c>
      <c r="J225" s="51" t="n">
        <v>6.1</v>
      </c>
      <c r="K225" s="51" t="n">
        <v>1</v>
      </c>
      <c r="L225" s="51" t="n">
        <v>5</v>
      </c>
      <c r="M225" s="51" t="n">
        <v>1</v>
      </c>
      <c r="N225" s="51" t="n">
        <v>1</v>
      </c>
      <c r="O225" s="51" t="n">
        <v>4</v>
      </c>
      <c r="P225" s="51" t="n">
        <v>120</v>
      </c>
      <c r="Q225" s="51" t="n">
        <v>5</v>
      </c>
      <c r="R225" s="51" t="n">
        <v>600</v>
      </c>
      <c r="S225" s="51" t="n">
        <v>1</v>
      </c>
      <c r="T225" s="51" t="n">
        <v>5</v>
      </c>
      <c r="U225" s="51" t="n">
        <v>120</v>
      </c>
      <c r="V225" s="51" t="n">
        <v>5</v>
      </c>
      <c r="W225" s="51" t="n">
        <v>1400</v>
      </c>
      <c r="X225" s="51" t="n">
        <v>0.368</v>
      </c>
    </row>
    <row r="226">
      <c r="A226" s="51" t="inlineStr">
        <is>
          <t>Paulownia wood</t>
        </is>
      </c>
      <c r="B226" s="51" t="n">
        <v>44.25</v>
      </c>
      <c r="C226" s="51" t="n">
        <v>24.8</v>
      </c>
      <c r="D226" s="51" t="n">
        <v>22.61</v>
      </c>
      <c r="E226" s="51" t="n">
        <v>71.8</v>
      </c>
      <c r="F226" s="51" t="n">
        <v>1.06</v>
      </c>
      <c r="G226" s="51" t="n">
        <v>20.6</v>
      </c>
      <c r="H226" s="51" t="n">
        <v>44.73</v>
      </c>
      <c r="I226" s="51" t="n">
        <v>48.28</v>
      </c>
      <c r="J226" s="51" t="n">
        <v>6.1</v>
      </c>
      <c r="K226" s="51" t="n">
        <v>1</v>
      </c>
      <c r="L226" s="51" t="n">
        <v>5</v>
      </c>
      <c r="M226" s="51" t="n">
        <v>1</v>
      </c>
      <c r="N226" s="51" t="n">
        <v>1</v>
      </c>
      <c r="O226" s="51" t="n">
        <v>4</v>
      </c>
      <c r="P226" s="51" t="n">
        <v>120</v>
      </c>
      <c r="Q226" s="51" t="n">
        <v>5</v>
      </c>
      <c r="R226" s="51" t="n">
        <v>600</v>
      </c>
      <c r="S226" s="51" t="n">
        <v>1</v>
      </c>
      <c r="T226" s="51" t="n">
        <v>5</v>
      </c>
      <c r="U226" s="51" t="n">
        <v>120</v>
      </c>
      <c r="V226" s="51" t="n">
        <v>5</v>
      </c>
      <c r="W226" s="51" t="n">
        <v>1300</v>
      </c>
      <c r="X226" s="51" t="n">
        <v>0.372</v>
      </c>
    </row>
    <row r="227">
      <c r="A227" s="51" t="inlineStr">
        <is>
          <t>Paulownia wood</t>
        </is>
      </c>
      <c r="B227" s="51" t="n">
        <v>44.25</v>
      </c>
      <c r="C227" s="51" t="n">
        <v>24.8</v>
      </c>
      <c r="D227" s="51" t="n">
        <v>22.61</v>
      </c>
      <c r="E227" s="51" t="n">
        <v>71.8</v>
      </c>
      <c r="F227" s="51" t="n">
        <v>1.06</v>
      </c>
      <c r="G227" s="51" t="n">
        <v>20.6</v>
      </c>
      <c r="H227" s="51" t="n">
        <v>44.73</v>
      </c>
      <c r="I227" s="51" t="n">
        <v>48.28</v>
      </c>
      <c r="J227" s="51" t="n">
        <v>6.1</v>
      </c>
      <c r="K227" s="51" t="n">
        <v>1</v>
      </c>
      <c r="L227" s="51" t="n">
        <v>5</v>
      </c>
      <c r="M227" s="51" t="n">
        <v>1</v>
      </c>
      <c r="N227" s="51" t="n">
        <v>1</v>
      </c>
      <c r="O227" s="51" t="n">
        <v>4</v>
      </c>
      <c r="P227" s="51" t="n">
        <v>120</v>
      </c>
      <c r="Q227" s="51" t="n">
        <v>5</v>
      </c>
      <c r="R227" s="51" t="n">
        <v>600</v>
      </c>
      <c r="S227" s="51" t="n">
        <v>1</v>
      </c>
      <c r="T227" s="51" t="n">
        <v>5</v>
      </c>
      <c r="U227" s="51" t="n">
        <v>120</v>
      </c>
      <c r="V227" s="51" t="n">
        <v>5</v>
      </c>
      <c r="W227" s="51" t="n">
        <v>1200</v>
      </c>
      <c r="X227" s="51" t="n">
        <v>0.374</v>
      </c>
    </row>
    <row r="228">
      <c r="A228" s="51" t="inlineStr">
        <is>
          <t>Paulownia wood</t>
        </is>
      </c>
      <c r="B228" s="51" t="n">
        <v>44.25</v>
      </c>
      <c r="C228" s="51" t="n">
        <v>24.8</v>
      </c>
      <c r="D228" s="51" t="n">
        <v>22.61</v>
      </c>
      <c r="E228" s="51" t="n">
        <v>71.8</v>
      </c>
      <c r="F228" s="51" t="n">
        <v>1.06</v>
      </c>
      <c r="G228" s="51" t="n">
        <v>20.6</v>
      </c>
      <c r="H228" s="51" t="n">
        <v>44.73</v>
      </c>
      <c r="I228" s="51" t="n">
        <v>48.28</v>
      </c>
      <c r="J228" s="51" t="n">
        <v>6.1</v>
      </c>
      <c r="K228" s="51" t="n">
        <v>1</v>
      </c>
      <c r="L228" s="51" t="n">
        <v>5</v>
      </c>
      <c r="M228" s="51" t="n">
        <v>1</v>
      </c>
      <c r="N228" s="51" t="n">
        <v>1</v>
      </c>
      <c r="O228" s="51" t="n">
        <v>4</v>
      </c>
      <c r="P228" s="51" t="n">
        <v>120</v>
      </c>
      <c r="Q228" s="51" t="n">
        <v>5</v>
      </c>
      <c r="R228" s="51" t="n">
        <v>600</v>
      </c>
      <c r="S228" s="51" t="n">
        <v>1</v>
      </c>
      <c r="T228" s="51" t="n">
        <v>5</v>
      </c>
      <c r="U228" s="51" t="n">
        <v>120</v>
      </c>
      <c r="V228" s="51" t="n">
        <v>5</v>
      </c>
      <c r="W228" s="51" t="n">
        <v>1100</v>
      </c>
      <c r="X228" s="51" t="n">
        <v>0.375</v>
      </c>
    </row>
    <row r="229">
      <c r="A229" s="51" t="inlineStr">
        <is>
          <t>Paulownia wood</t>
        </is>
      </c>
      <c r="B229" s="51" t="n">
        <v>44.25</v>
      </c>
      <c r="C229" s="51" t="n">
        <v>24.8</v>
      </c>
      <c r="D229" s="51" t="n">
        <v>22.61</v>
      </c>
      <c r="E229" s="51" t="n">
        <v>71.8</v>
      </c>
      <c r="F229" s="51" t="n">
        <v>1.06</v>
      </c>
      <c r="G229" s="51" t="n">
        <v>20.6</v>
      </c>
      <c r="H229" s="51" t="n">
        <v>44.73</v>
      </c>
      <c r="I229" s="51" t="n">
        <v>48.28</v>
      </c>
      <c r="J229" s="51" t="n">
        <v>6.1</v>
      </c>
      <c r="K229" s="51" t="n">
        <v>1</v>
      </c>
      <c r="L229" s="51" t="n">
        <v>5</v>
      </c>
      <c r="M229" s="51" t="n">
        <v>1</v>
      </c>
      <c r="N229" s="51" t="n">
        <v>1</v>
      </c>
      <c r="O229" s="51" t="n">
        <v>4</v>
      </c>
      <c r="P229" s="51" t="n">
        <v>120</v>
      </c>
      <c r="Q229" s="51" t="n">
        <v>5</v>
      </c>
      <c r="R229" s="51" t="n">
        <v>600</v>
      </c>
      <c r="S229" s="51" t="n">
        <v>1</v>
      </c>
      <c r="T229" s="51" t="n">
        <v>5</v>
      </c>
      <c r="U229" s="51" t="n">
        <v>120</v>
      </c>
      <c r="V229" s="51" t="n">
        <v>5</v>
      </c>
      <c r="W229" s="51" t="n">
        <v>1000</v>
      </c>
      <c r="X229" s="51" t="n">
        <v>0.379</v>
      </c>
    </row>
    <row r="230">
      <c r="A230" s="51" t="inlineStr">
        <is>
          <t>Peanut skin</t>
        </is>
      </c>
      <c r="B230" s="51" t="n">
        <v>30</v>
      </c>
      <c r="C230" s="51" t="n">
        <v>20</v>
      </c>
      <c r="D230" s="51" t="n">
        <v>32</v>
      </c>
      <c r="E230" s="51" t="n">
        <v>91.31999999999999</v>
      </c>
      <c r="F230" s="51" t="n">
        <v>3.4</v>
      </c>
      <c r="G230" s="51" t="n">
        <v>6.41</v>
      </c>
      <c r="H230" s="51" t="n">
        <v>47.98</v>
      </c>
      <c r="I230" s="51" t="n">
        <v>37.44</v>
      </c>
      <c r="J230" s="51" t="n">
        <v>6.65</v>
      </c>
      <c r="K230" s="51" t="n">
        <v>4</v>
      </c>
      <c r="L230" s="51" t="n">
        <v>1</v>
      </c>
      <c r="M230" s="51" t="n">
        <v>1</v>
      </c>
      <c r="N230" s="51" t="n">
        <v>1</v>
      </c>
      <c r="O230" s="51" t="n">
        <v>5</v>
      </c>
      <c r="P230" s="51" t="n">
        <v>1440</v>
      </c>
      <c r="Q230" s="51" t="n">
        <v>7.15064680236954</v>
      </c>
      <c r="R230" s="51" t="n">
        <v>180</v>
      </c>
      <c r="S230" s="51" t="n">
        <v>0</v>
      </c>
      <c r="T230" s="51" t="n">
        <v>5</v>
      </c>
      <c r="U230" s="51" t="n">
        <v>88.0193651083168</v>
      </c>
      <c r="V230" s="51" t="n">
        <v>5</v>
      </c>
      <c r="W230" s="51" t="n">
        <v>369.440700808625</v>
      </c>
      <c r="X230" s="51" t="n">
        <v>0.39</v>
      </c>
    </row>
    <row r="231">
      <c r="A231" s="51" t="inlineStr">
        <is>
          <t>Peanut skin</t>
        </is>
      </c>
      <c r="B231" s="51" t="n">
        <v>30</v>
      </c>
      <c r="C231" s="51" t="n">
        <v>20</v>
      </c>
      <c r="D231" s="51" t="n">
        <v>32</v>
      </c>
      <c r="E231" s="51" t="n">
        <v>91.31999999999999</v>
      </c>
      <c r="F231" s="51" t="n">
        <v>3.4</v>
      </c>
      <c r="G231" s="51" t="n">
        <v>6.41</v>
      </c>
      <c r="H231" s="51" t="n">
        <v>47.98</v>
      </c>
      <c r="I231" s="51" t="n">
        <v>37.44</v>
      </c>
      <c r="J231" s="51" t="n">
        <v>6.65</v>
      </c>
      <c r="K231" s="51" t="n">
        <v>4</v>
      </c>
      <c r="L231" s="51" t="n">
        <v>1</v>
      </c>
      <c r="M231" s="51" t="n">
        <v>1</v>
      </c>
      <c r="N231" s="51" t="n">
        <v>1</v>
      </c>
      <c r="O231" s="51" t="n">
        <v>5</v>
      </c>
      <c r="P231" s="51" t="n">
        <v>1440</v>
      </c>
      <c r="Q231" s="51" t="n">
        <v>7.15064206588472</v>
      </c>
      <c r="R231" s="51" t="n">
        <v>180</v>
      </c>
      <c r="S231" s="51" t="n">
        <v>0</v>
      </c>
      <c r="T231" s="51" t="n">
        <v>5</v>
      </c>
      <c r="U231" s="51" t="n">
        <v>88.0192813541731</v>
      </c>
      <c r="V231" s="51" t="n">
        <v>5</v>
      </c>
      <c r="W231" s="51" t="n">
        <v>369.440700808625</v>
      </c>
      <c r="X231" s="51" t="n">
        <v>0.39</v>
      </c>
    </row>
    <row r="232">
      <c r="A232" s="51" t="inlineStr">
        <is>
          <t>Peat moss</t>
        </is>
      </c>
      <c r="B232" s="51" t="n">
        <v>55</v>
      </c>
      <c r="C232" s="51" t="n">
        <v>65</v>
      </c>
      <c r="D232" s="51" t="n">
        <v>3</v>
      </c>
      <c r="E232" s="51" t="n">
        <v>69.2</v>
      </c>
      <c r="F232" s="51" t="n">
        <v>5.16</v>
      </c>
      <c r="G232" s="51" t="n">
        <v>25.3</v>
      </c>
      <c r="H232" s="51" t="n">
        <v>53.6</v>
      </c>
      <c r="I232" s="51" t="n">
        <v>32.9</v>
      </c>
      <c r="J232" s="51" t="n">
        <v>5.7</v>
      </c>
      <c r="K232" s="51" t="n">
        <v>4</v>
      </c>
      <c r="L232" s="51" t="n">
        <v>2</v>
      </c>
      <c r="M232" s="51" t="n">
        <v>0</v>
      </c>
      <c r="N232" s="51" t="n">
        <v>1</v>
      </c>
      <c r="O232" s="51" t="n">
        <v>4</v>
      </c>
      <c r="P232" s="51" t="n">
        <v>60</v>
      </c>
      <c r="Q232" s="51" t="n">
        <v>5</v>
      </c>
      <c r="R232" s="51" t="n">
        <v>1400</v>
      </c>
      <c r="S232" s="51" t="n">
        <v>0</v>
      </c>
      <c r="T232" s="51" t="n">
        <v>5</v>
      </c>
      <c r="U232" s="51" t="n">
        <v>0</v>
      </c>
      <c r="V232" s="51" t="n">
        <v>0</v>
      </c>
      <c r="W232" s="51" t="n">
        <v>0</v>
      </c>
      <c r="X232" s="51" t="n">
        <v>0.382</v>
      </c>
    </row>
    <row r="233">
      <c r="A233" s="51" t="inlineStr">
        <is>
          <t>Peat moss</t>
        </is>
      </c>
      <c r="B233" s="51" t="n">
        <v>55</v>
      </c>
      <c r="C233" s="51" t="n">
        <v>65</v>
      </c>
      <c r="D233" s="51" t="n">
        <v>3</v>
      </c>
      <c r="E233" s="51" t="n">
        <v>69.2</v>
      </c>
      <c r="F233" s="51" t="n">
        <v>5.16</v>
      </c>
      <c r="G233" s="51" t="n">
        <v>25.3</v>
      </c>
      <c r="H233" s="51" t="n">
        <v>53.6</v>
      </c>
      <c r="I233" s="51" t="n">
        <v>32.9</v>
      </c>
      <c r="J233" s="51" t="n">
        <v>5.7</v>
      </c>
      <c r="K233" s="51" t="n">
        <v>4</v>
      </c>
      <c r="L233" s="51" t="n">
        <v>2</v>
      </c>
      <c r="M233" s="51" t="n">
        <v>1</v>
      </c>
      <c r="N233" s="51" t="n">
        <v>1</v>
      </c>
      <c r="O233" s="51" t="n">
        <v>4</v>
      </c>
      <c r="P233" s="51" t="n">
        <v>60</v>
      </c>
      <c r="Q233" s="51" t="n">
        <v>5</v>
      </c>
      <c r="R233" s="51" t="n">
        <v>1400</v>
      </c>
      <c r="S233" s="51" t="n">
        <v>1</v>
      </c>
      <c r="T233" s="51" t="n">
        <v>6</v>
      </c>
      <c r="U233" s="51" t="n">
        <v>3</v>
      </c>
      <c r="V233" s="51" t="n">
        <v>5</v>
      </c>
      <c r="W233" s="51" t="n">
        <v>300</v>
      </c>
      <c r="X233" s="51" t="n">
        <v>0.383</v>
      </c>
    </row>
    <row r="234">
      <c r="A234" s="51" t="inlineStr">
        <is>
          <t>Peat moss</t>
        </is>
      </c>
      <c r="B234" s="51" t="n">
        <v>55</v>
      </c>
      <c r="C234" s="51" t="n">
        <v>65</v>
      </c>
      <c r="D234" s="51" t="n">
        <v>3</v>
      </c>
      <c r="E234" s="51" t="n">
        <v>69.2</v>
      </c>
      <c r="F234" s="51" t="n">
        <v>5.16</v>
      </c>
      <c r="G234" s="51" t="n">
        <v>25.3</v>
      </c>
      <c r="H234" s="51" t="n">
        <v>53.6</v>
      </c>
      <c r="I234" s="51" t="n">
        <v>32.9</v>
      </c>
      <c r="J234" s="51" t="n">
        <v>5.7</v>
      </c>
      <c r="K234" s="51" t="n">
        <v>4</v>
      </c>
      <c r="L234" s="51" t="n">
        <v>2</v>
      </c>
      <c r="M234" s="51" t="n">
        <v>0</v>
      </c>
      <c r="N234" s="51" t="n">
        <v>1</v>
      </c>
      <c r="O234" s="51" t="n">
        <v>4</v>
      </c>
      <c r="P234" s="51" t="n">
        <v>60</v>
      </c>
      <c r="Q234" s="51" t="n">
        <v>5</v>
      </c>
      <c r="R234" s="51" t="n">
        <v>1100</v>
      </c>
      <c r="S234" s="51" t="n">
        <v>0</v>
      </c>
      <c r="T234" s="51" t="n">
        <v>5</v>
      </c>
      <c r="U234" s="51" t="n">
        <v>0</v>
      </c>
      <c r="V234" s="51" t="n">
        <v>0</v>
      </c>
      <c r="W234" s="51" t="n">
        <v>0</v>
      </c>
      <c r="X234" s="51" t="n">
        <v>0.387</v>
      </c>
    </row>
    <row r="235">
      <c r="A235" s="51" t="inlineStr">
        <is>
          <t>Peat moss</t>
        </is>
      </c>
      <c r="B235" s="51" t="n">
        <v>55</v>
      </c>
      <c r="C235" s="51" t="n">
        <v>65</v>
      </c>
      <c r="D235" s="51" t="n">
        <v>3</v>
      </c>
      <c r="E235" s="51" t="n">
        <v>69.2</v>
      </c>
      <c r="F235" s="51" t="n">
        <v>5.16</v>
      </c>
      <c r="G235" s="51" t="n">
        <v>25.3</v>
      </c>
      <c r="H235" s="51" t="n">
        <v>53.6</v>
      </c>
      <c r="I235" s="51" t="n">
        <v>32.9</v>
      </c>
      <c r="J235" s="51" t="n">
        <v>5.7</v>
      </c>
      <c r="K235" s="51" t="n">
        <v>4</v>
      </c>
      <c r="L235" s="51" t="n">
        <v>2</v>
      </c>
      <c r="M235" s="51" t="n">
        <v>1</v>
      </c>
      <c r="N235" s="51" t="n">
        <v>1</v>
      </c>
      <c r="O235" s="51" t="n">
        <v>4</v>
      </c>
      <c r="P235" s="51" t="n">
        <v>60</v>
      </c>
      <c r="Q235" s="51" t="n">
        <v>5</v>
      </c>
      <c r="R235" s="51" t="n">
        <v>1100</v>
      </c>
      <c r="S235" s="51" t="n">
        <v>1</v>
      </c>
      <c r="T235" s="51" t="n">
        <v>6</v>
      </c>
      <c r="U235" s="51" t="n">
        <v>3</v>
      </c>
      <c r="V235" s="51" t="n">
        <v>5</v>
      </c>
      <c r="W235" s="51" t="n">
        <v>300</v>
      </c>
      <c r="X235" s="51" t="n">
        <v>0.388</v>
      </c>
    </row>
    <row r="236">
      <c r="A236" s="51" t="inlineStr">
        <is>
          <t>Peat moss</t>
        </is>
      </c>
      <c r="B236" s="51" t="n">
        <v>55</v>
      </c>
      <c r="C236" s="51" t="n">
        <v>65</v>
      </c>
      <c r="D236" s="51" t="n">
        <v>3</v>
      </c>
      <c r="E236" s="51" t="n">
        <v>69.2</v>
      </c>
      <c r="F236" s="51" t="n">
        <v>5.16</v>
      </c>
      <c r="G236" s="51" t="n">
        <v>25.3</v>
      </c>
      <c r="H236" s="51" t="n">
        <v>53.6</v>
      </c>
      <c r="I236" s="51" t="n">
        <v>32.9</v>
      </c>
      <c r="J236" s="51" t="n">
        <v>5.7</v>
      </c>
      <c r="K236" s="51" t="n">
        <v>4</v>
      </c>
      <c r="L236" s="51" t="n">
        <v>2</v>
      </c>
      <c r="M236" s="51" t="n">
        <v>0</v>
      </c>
      <c r="N236" s="51" t="n">
        <v>1</v>
      </c>
      <c r="O236" s="51" t="n">
        <v>4</v>
      </c>
      <c r="P236" s="51" t="n">
        <v>60</v>
      </c>
      <c r="Q236" s="51" t="n">
        <v>5</v>
      </c>
      <c r="R236" s="51" t="n">
        <v>900</v>
      </c>
      <c r="S236" s="51" t="n">
        <v>0</v>
      </c>
      <c r="T236" s="51" t="n">
        <v>5</v>
      </c>
      <c r="U236" s="51" t="n">
        <v>0</v>
      </c>
      <c r="V236" s="51" t="n">
        <v>0</v>
      </c>
      <c r="W236" s="51" t="n">
        <v>0</v>
      </c>
      <c r="X236" s="51" t="n">
        <v>0.391</v>
      </c>
    </row>
    <row r="237">
      <c r="A237" s="51" t="inlineStr">
        <is>
          <t>Peat moss</t>
        </is>
      </c>
      <c r="B237" s="51" t="n">
        <v>55</v>
      </c>
      <c r="C237" s="51" t="n">
        <v>65</v>
      </c>
      <c r="D237" s="51" t="n">
        <v>3</v>
      </c>
      <c r="E237" s="51" t="n">
        <v>69.2</v>
      </c>
      <c r="F237" s="51" t="n">
        <v>5.16</v>
      </c>
      <c r="G237" s="51" t="n">
        <v>25.3</v>
      </c>
      <c r="H237" s="51" t="n">
        <v>53.6</v>
      </c>
      <c r="I237" s="51" t="n">
        <v>32.9</v>
      </c>
      <c r="J237" s="51" t="n">
        <v>5.7</v>
      </c>
      <c r="K237" s="51" t="n">
        <v>4</v>
      </c>
      <c r="L237" s="51" t="n">
        <v>2</v>
      </c>
      <c r="M237" s="51" t="n">
        <v>1</v>
      </c>
      <c r="N237" s="51" t="n">
        <v>1</v>
      </c>
      <c r="O237" s="51" t="n">
        <v>4</v>
      </c>
      <c r="P237" s="51" t="n">
        <v>60</v>
      </c>
      <c r="Q237" s="51" t="n">
        <v>5</v>
      </c>
      <c r="R237" s="51" t="n">
        <v>900</v>
      </c>
      <c r="S237" s="51" t="n">
        <v>1</v>
      </c>
      <c r="T237" s="51" t="n">
        <v>6</v>
      </c>
      <c r="U237" s="51" t="n">
        <v>3</v>
      </c>
      <c r="V237" s="51" t="n">
        <v>5</v>
      </c>
      <c r="W237" s="51" t="n">
        <v>300</v>
      </c>
      <c r="X237" s="51" t="n">
        <v>0.395</v>
      </c>
    </row>
    <row r="238">
      <c r="A238" s="51" t="inlineStr">
        <is>
          <t>Peat moss</t>
        </is>
      </c>
      <c r="B238" s="51" t="n">
        <v>55</v>
      </c>
      <c r="C238" s="51" t="n">
        <v>65</v>
      </c>
      <c r="D238" s="51" t="n">
        <v>3</v>
      </c>
      <c r="E238" s="51" t="n">
        <v>69.2</v>
      </c>
      <c r="F238" s="51" t="n">
        <v>5.16</v>
      </c>
      <c r="G238" s="51" t="n">
        <v>25.3</v>
      </c>
      <c r="H238" s="51" t="n">
        <v>53.6</v>
      </c>
      <c r="I238" s="51" t="n">
        <v>32.9</v>
      </c>
      <c r="J238" s="51" t="n">
        <v>5.7</v>
      </c>
      <c r="K238" s="51" t="n">
        <v>4</v>
      </c>
      <c r="L238" s="51" t="n">
        <v>2</v>
      </c>
      <c r="M238" s="51" t="n">
        <v>0</v>
      </c>
      <c r="N238" s="51" t="n">
        <v>1</v>
      </c>
      <c r="O238" s="51" t="n">
        <v>4</v>
      </c>
      <c r="P238" s="51" t="n">
        <v>60</v>
      </c>
      <c r="Q238" s="51" t="n">
        <v>5</v>
      </c>
      <c r="R238" s="51" t="n">
        <v>600</v>
      </c>
      <c r="S238" s="51" t="n">
        <v>0</v>
      </c>
      <c r="T238" s="51" t="n">
        <v>5</v>
      </c>
      <c r="U238" s="51" t="n">
        <v>0</v>
      </c>
      <c r="V238" s="51" t="n">
        <v>0</v>
      </c>
      <c r="W238" s="51" t="n">
        <v>0</v>
      </c>
      <c r="X238" s="51" t="n">
        <v>0.398</v>
      </c>
    </row>
    <row r="239">
      <c r="A239" s="51" t="inlineStr">
        <is>
          <t>Peat moss</t>
        </is>
      </c>
      <c r="B239" s="51" t="n">
        <v>55</v>
      </c>
      <c r="C239" s="51" t="n">
        <v>65</v>
      </c>
      <c r="D239" s="51" t="n">
        <v>3</v>
      </c>
      <c r="E239" s="51" t="n">
        <v>69.2</v>
      </c>
      <c r="F239" s="51" t="n">
        <v>5.16</v>
      </c>
      <c r="G239" s="51" t="n">
        <v>25.3</v>
      </c>
      <c r="H239" s="51" t="n">
        <v>53.6</v>
      </c>
      <c r="I239" s="51" t="n">
        <v>32.9</v>
      </c>
      <c r="J239" s="51" t="n">
        <v>5.7</v>
      </c>
      <c r="K239" s="51" t="n">
        <v>4</v>
      </c>
      <c r="L239" s="51" t="n">
        <v>2</v>
      </c>
      <c r="M239" s="51" t="n">
        <v>1</v>
      </c>
      <c r="N239" s="51" t="n">
        <v>1</v>
      </c>
      <c r="O239" s="51" t="n">
        <v>4</v>
      </c>
      <c r="P239" s="51" t="n">
        <v>60</v>
      </c>
      <c r="Q239" s="51" t="n">
        <v>5</v>
      </c>
      <c r="R239" s="51" t="n">
        <v>600</v>
      </c>
      <c r="S239" s="51" t="n">
        <v>1</v>
      </c>
      <c r="T239" s="51" t="n">
        <v>6</v>
      </c>
      <c r="U239" s="51" t="n">
        <v>3</v>
      </c>
      <c r="V239" s="51" t="n">
        <v>5</v>
      </c>
      <c r="W239" s="51" t="n">
        <v>300</v>
      </c>
      <c r="X239" s="51" t="n">
        <v>0.399</v>
      </c>
    </row>
    <row r="240">
      <c r="A240" s="51" t="inlineStr">
        <is>
          <t>Pine</t>
        </is>
      </c>
      <c r="B240" s="51" t="n">
        <v>32.09</v>
      </c>
      <c r="C240" s="51" t="n">
        <v>14.22</v>
      </c>
      <c r="D240" s="51" t="n">
        <v>31.15</v>
      </c>
      <c r="E240" s="51" t="n">
        <v>83.3</v>
      </c>
      <c r="F240" s="51" t="n">
        <v>1.3</v>
      </c>
      <c r="G240" s="51" t="n">
        <v>15.4</v>
      </c>
      <c r="H240" s="51" t="n">
        <v>52.2</v>
      </c>
      <c r="I240" s="51" t="n">
        <v>41.7</v>
      </c>
      <c r="J240" s="51" t="n">
        <v>6</v>
      </c>
      <c r="K240" s="51" t="n">
        <v>4</v>
      </c>
      <c r="L240" s="51" t="n">
        <v>5</v>
      </c>
      <c r="M240" s="51" t="n">
        <v>0</v>
      </c>
      <c r="N240" s="51" t="n">
        <v>1</v>
      </c>
      <c r="O240" s="51" t="n">
        <v>4</v>
      </c>
      <c r="P240" s="51" t="n">
        <v>60</v>
      </c>
      <c r="Q240" s="51" t="n">
        <v>3.3</v>
      </c>
      <c r="R240" s="51" t="n">
        <v>1400</v>
      </c>
      <c r="S240" s="51" t="n">
        <v>0</v>
      </c>
      <c r="T240" s="51" t="n">
        <v>5</v>
      </c>
      <c r="U240" s="51" t="n">
        <v>0</v>
      </c>
      <c r="V240" s="51" t="n">
        <v>0</v>
      </c>
      <c r="W240" s="51" t="n">
        <v>0</v>
      </c>
      <c r="X240" s="51" t="n">
        <v>0.3759</v>
      </c>
    </row>
    <row r="241">
      <c r="A241" s="51" t="inlineStr">
        <is>
          <t>Pine</t>
        </is>
      </c>
      <c r="B241" s="51" t="n">
        <v>32.09</v>
      </c>
      <c r="C241" s="51" t="n">
        <v>14.22</v>
      </c>
      <c r="D241" s="51" t="n">
        <v>31.15</v>
      </c>
      <c r="E241" s="51" t="n">
        <v>83.3</v>
      </c>
      <c r="F241" s="51" t="n">
        <v>1.3</v>
      </c>
      <c r="G241" s="51" t="n">
        <v>15.4</v>
      </c>
      <c r="H241" s="51" t="n">
        <v>52.2</v>
      </c>
      <c r="I241" s="51" t="n">
        <v>41.7</v>
      </c>
      <c r="J241" s="51" t="n">
        <v>6</v>
      </c>
      <c r="K241" s="51" t="n">
        <v>4</v>
      </c>
      <c r="L241" s="51" t="n">
        <v>5</v>
      </c>
      <c r="M241" s="51" t="n">
        <v>0</v>
      </c>
      <c r="N241" s="51" t="n">
        <v>1</v>
      </c>
      <c r="O241" s="51" t="n">
        <v>4</v>
      </c>
      <c r="P241" s="51" t="n">
        <v>60</v>
      </c>
      <c r="Q241" s="51" t="n">
        <v>3.3</v>
      </c>
      <c r="R241" s="51" t="n">
        <v>1000</v>
      </c>
      <c r="S241" s="51" t="n">
        <v>0</v>
      </c>
      <c r="T241" s="51" t="n">
        <v>5</v>
      </c>
      <c r="U241" s="51" t="n">
        <v>0</v>
      </c>
      <c r="V241" s="51" t="n">
        <v>0</v>
      </c>
      <c r="W241" s="51" t="n">
        <v>0</v>
      </c>
      <c r="X241" s="51" t="n">
        <v>0.3786</v>
      </c>
    </row>
    <row r="242">
      <c r="A242" s="51" t="inlineStr">
        <is>
          <t>Pine</t>
        </is>
      </c>
      <c r="B242" s="51" t="n">
        <v>32.09</v>
      </c>
      <c r="C242" s="51" t="n">
        <v>14.22</v>
      </c>
      <c r="D242" s="51" t="n">
        <v>31.15</v>
      </c>
      <c r="E242" s="51" t="n">
        <v>83.3</v>
      </c>
      <c r="F242" s="51" t="n">
        <v>1.3</v>
      </c>
      <c r="G242" s="51" t="n">
        <v>15.4</v>
      </c>
      <c r="H242" s="51" t="n">
        <v>52.2</v>
      </c>
      <c r="I242" s="51" t="n">
        <v>41.7</v>
      </c>
      <c r="J242" s="51" t="n">
        <v>6</v>
      </c>
      <c r="K242" s="51" t="n">
        <v>4</v>
      </c>
      <c r="L242" s="51" t="n">
        <v>5</v>
      </c>
      <c r="M242" s="51" t="n">
        <v>0</v>
      </c>
      <c r="N242" s="51" t="n">
        <v>1</v>
      </c>
      <c r="O242" s="51" t="n">
        <v>4</v>
      </c>
      <c r="P242" s="51" t="n">
        <v>60</v>
      </c>
      <c r="Q242" s="51" t="n">
        <v>3.3</v>
      </c>
      <c r="R242" s="51" t="n">
        <v>1200</v>
      </c>
      <c r="S242" s="51" t="n">
        <v>0</v>
      </c>
      <c r="T242" s="51" t="n">
        <v>5</v>
      </c>
      <c r="U242" s="51" t="n">
        <v>0</v>
      </c>
      <c r="V242" s="51" t="n">
        <v>0</v>
      </c>
      <c r="W242" s="51" t="n">
        <v>0</v>
      </c>
      <c r="X242" s="51" t="n">
        <v>0.3868</v>
      </c>
    </row>
    <row r="243">
      <c r="A243" s="51" t="inlineStr">
        <is>
          <t>Pinecone</t>
        </is>
      </c>
      <c r="B243" s="51" t="n">
        <v>32.91</v>
      </c>
      <c r="C243" s="51" t="n">
        <v>22.92</v>
      </c>
      <c r="D243" s="51" t="n">
        <v>30</v>
      </c>
      <c r="E243" s="51" t="n">
        <v>80.34999999999999</v>
      </c>
      <c r="F243" s="51" t="n">
        <v>1.41</v>
      </c>
      <c r="G243" s="51" t="n">
        <v>10.27</v>
      </c>
      <c r="H243" s="51" t="n">
        <v>48.62</v>
      </c>
      <c r="I243" s="51" t="n">
        <v>38.45</v>
      </c>
      <c r="J243" s="51" t="n">
        <v>5.31</v>
      </c>
      <c r="K243" s="51" t="n">
        <v>6</v>
      </c>
      <c r="L243" s="51" t="n">
        <v>7</v>
      </c>
      <c r="M243" s="51" t="n">
        <v>1</v>
      </c>
      <c r="N243" s="51" t="n">
        <v>1</v>
      </c>
      <c r="O243" s="51" t="n">
        <v>4</v>
      </c>
      <c r="P243" s="51" t="n">
        <v>120</v>
      </c>
      <c r="Q243" s="51" t="n">
        <v>2.6971766070595</v>
      </c>
      <c r="R243" s="51" t="n">
        <v>500</v>
      </c>
      <c r="S243" s="51" t="n">
        <v>1</v>
      </c>
      <c r="T243" s="51" t="n">
        <v>0</v>
      </c>
      <c r="U243" s="51" t="n">
        <v>120</v>
      </c>
      <c r="V243" s="51" t="n">
        <v>5</v>
      </c>
      <c r="W243" s="51" t="n">
        <v>500</v>
      </c>
      <c r="X243" s="51" t="n">
        <v>0.421</v>
      </c>
    </row>
    <row r="244">
      <c r="A244" s="51" t="inlineStr">
        <is>
          <t>Pinecone</t>
        </is>
      </c>
      <c r="B244" s="51" t="n">
        <v>32.91</v>
      </c>
      <c r="C244" s="51" t="n">
        <v>22.92</v>
      </c>
      <c r="D244" s="51" t="n">
        <v>30</v>
      </c>
      <c r="E244" s="51" t="n">
        <v>80.34999999999999</v>
      </c>
      <c r="F244" s="51" t="n">
        <v>1.41</v>
      </c>
      <c r="G244" s="51" t="n">
        <v>10.27</v>
      </c>
      <c r="H244" s="51" t="n">
        <v>48.62</v>
      </c>
      <c r="I244" s="51" t="n">
        <v>38.45</v>
      </c>
      <c r="J244" s="51" t="n">
        <v>5.31</v>
      </c>
      <c r="K244" s="51" t="n">
        <v>6</v>
      </c>
      <c r="L244" s="51" t="n">
        <v>7</v>
      </c>
      <c r="M244" s="51" t="n">
        <v>1</v>
      </c>
      <c r="N244" s="51" t="n">
        <v>1</v>
      </c>
      <c r="O244" s="51" t="n">
        <v>4</v>
      </c>
      <c r="P244" s="51" t="n">
        <v>120</v>
      </c>
      <c r="Q244" s="51" t="n">
        <v>2.90568316444304</v>
      </c>
      <c r="R244" s="51" t="n">
        <v>500</v>
      </c>
      <c r="S244" s="51" t="n">
        <v>1</v>
      </c>
      <c r="T244" s="51" t="n">
        <v>0</v>
      </c>
      <c r="U244" s="51" t="n">
        <v>120</v>
      </c>
      <c r="V244" s="51" t="n">
        <v>5</v>
      </c>
      <c r="W244" s="51" t="n">
        <v>800</v>
      </c>
      <c r="X244" s="51" t="n">
        <v>0.417</v>
      </c>
    </row>
    <row r="245">
      <c r="A245" s="51" t="inlineStr">
        <is>
          <t>Pinecone</t>
        </is>
      </c>
      <c r="B245" s="51" t="n">
        <v>32.91</v>
      </c>
      <c r="C245" s="51" t="n">
        <v>22.92</v>
      </c>
      <c r="D245" s="51" t="n">
        <v>30</v>
      </c>
      <c r="E245" s="51" t="n">
        <v>80.34999999999999</v>
      </c>
      <c r="F245" s="51" t="n">
        <v>1.41</v>
      </c>
      <c r="G245" s="51" t="n">
        <v>10.27</v>
      </c>
      <c r="H245" s="51" t="n">
        <v>48.62</v>
      </c>
      <c r="I245" s="51" t="n">
        <v>38.45</v>
      </c>
      <c r="J245" s="51" t="n">
        <v>5.31</v>
      </c>
      <c r="K245" s="51" t="n">
        <v>6</v>
      </c>
      <c r="L245" s="51" t="n">
        <v>7</v>
      </c>
      <c r="M245" s="51" t="n">
        <v>1</v>
      </c>
      <c r="N245" s="51" t="n">
        <v>1</v>
      </c>
      <c r="O245" s="51" t="n">
        <v>4</v>
      </c>
      <c r="P245" s="51" t="n">
        <v>120</v>
      </c>
      <c r="Q245" s="51" t="n">
        <v>4.20111170034919</v>
      </c>
      <c r="R245" s="51" t="n">
        <v>500</v>
      </c>
      <c r="S245" s="51" t="n">
        <v>1</v>
      </c>
      <c r="T245" s="51" t="n">
        <v>0</v>
      </c>
      <c r="U245" s="51" t="n">
        <v>120</v>
      </c>
      <c r="V245" s="51" t="n">
        <v>5</v>
      </c>
      <c r="W245" s="51" t="n">
        <v>850</v>
      </c>
      <c r="X245" s="51" t="n">
        <v>0.413</v>
      </c>
    </row>
    <row r="246">
      <c r="A246" s="51" t="inlineStr">
        <is>
          <t>Pinecone</t>
        </is>
      </c>
      <c r="B246" s="51" t="n">
        <v>32.91</v>
      </c>
      <c r="C246" s="51" t="n">
        <v>22.92</v>
      </c>
      <c r="D246" s="51" t="n">
        <v>30</v>
      </c>
      <c r="E246" s="51" t="n">
        <v>80.34999999999999</v>
      </c>
      <c r="F246" s="51" t="n">
        <v>1.41</v>
      </c>
      <c r="G246" s="51" t="n">
        <v>10.27</v>
      </c>
      <c r="H246" s="51" t="n">
        <v>48.62</v>
      </c>
      <c r="I246" s="51" t="n">
        <v>38.45</v>
      </c>
      <c r="J246" s="51" t="n">
        <v>5.31</v>
      </c>
      <c r="K246" s="51" t="n">
        <v>6</v>
      </c>
      <c r="L246" s="51" t="n">
        <v>7</v>
      </c>
      <c r="M246" s="51" t="n">
        <v>1</v>
      </c>
      <c r="N246" s="51" t="n">
        <v>1</v>
      </c>
      <c r="O246" s="51" t="n">
        <v>4</v>
      </c>
      <c r="P246" s="51" t="n">
        <v>120</v>
      </c>
      <c r="Q246" s="51" t="n">
        <v>4.19822276839146</v>
      </c>
      <c r="R246" s="51" t="n">
        <v>500</v>
      </c>
      <c r="S246" s="51" t="n">
        <v>1</v>
      </c>
      <c r="T246" s="51" t="n">
        <v>0</v>
      </c>
      <c r="U246" s="51" t="n">
        <v>120</v>
      </c>
      <c r="V246" s="51" t="n">
        <v>5</v>
      </c>
      <c r="W246" s="51" t="n">
        <v>900</v>
      </c>
      <c r="X246" s="51" t="n">
        <v>0.407</v>
      </c>
    </row>
    <row r="247">
      <c r="A247" s="51" t="inlineStr">
        <is>
          <t>Pinecone</t>
        </is>
      </c>
      <c r="B247" s="51" t="n">
        <v>32.91</v>
      </c>
      <c r="C247" s="51" t="n">
        <v>22.92</v>
      </c>
      <c r="D247" s="51" t="n">
        <v>30</v>
      </c>
      <c r="E247" s="51" t="n">
        <v>80.34999999999999</v>
      </c>
      <c r="F247" s="51" t="n">
        <v>1.41</v>
      </c>
      <c r="G247" s="51" t="n">
        <v>10.27</v>
      </c>
      <c r="H247" s="51" t="n">
        <v>48.62</v>
      </c>
      <c r="I247" s="51" t="n">
        <v>38.45</v>
      </c>
      <c r="J247" s="51" t="n">
        <v>5.31</v>
      </c>
      <c r="K247" s="51" t="n">
        <v>6</v>
      </c>
      <c r="L247" s="51" t="n">
        <v>7</v>
      </c>
      <c r="M247" s="51" t="n">
        <v>1</v>
      </c>
      <c r="N247" s="51" t="n">
        <v>1</v>
      </c>
      <c r="O247" s="51" t="n">
        <v>4</v>
      </c>
      <c r="P247" s="51" t="n">
        <v>120</v>
      </c>
      <c r="Q247" s="51" t="n">
        <v>3.91317003990306</v>
      </c>
      <c r="R247" s="51" t="n">
        <v>500</v>
      </c>
      <c r="S247" s="51" t="n">
        <v>1</v>
      </c>
      <c r="T247" s="51" t="n">
        <v>0</v>
      </c>
      <c r="U247" s="51" t="n">
        <v>120</v>
      </c>
      <c r="V247" s="51" t="n">
        <v>5</v>
      </c>
      <c r="W247" s="51" t="n">
        <v>1000</v>
      </c>
      <c r="X247" s="51" t="n">
        <v>0.402</v>
      </c>
    </row>
    <row r="248">
      <c r="A248" s="51" t="inlineStr">
        <is>
          <t>Pinecone</t>
        </is>
      </c>
      <c r="B248" s="51" t="n">
        <v>32.91</v>
      </c>
      <c r="C248" s="51" t="n">
        <v>22.92</v>
      </c>
      <c r="D248" s="51" t="n">
        <v>30</v>
      </c>
      <c r="E248" s="51" t="n">
        <v>80.34999999999999</v>
      </c>
      <c r="F248" s="51" t="n">
        <v>1.41</v>
      </c>
      <c r="G248" s="51" t="n">
        <v>10.27</v>
      </c>
      <c r="H248" s="51" t="n">
        <v>48.62</v>
      </c>
      <c r="I248" s="51" t="n">
        <v>38.45</v>
      </c>
      <c r="J248" s="51" t="n">
        <v>5.31</v>
      </c>
      <c r="K248" s="51" t="n">
        <v>6</v>
      </c>
      <c r="L248" s="51" t="n">
        <v>7</v>
      </c>
      <c r="M248" s="51" t="n">
        <v>1</v>
      </c>
      <c r="N248" s="51" t="n">
        <v>1</v>
      </c>
      <c r="O248" s="51" t="n">
        <v>4</v>
      </c>
      <c r="P248" s="51" t="n">
        <v>120</v>
      </c>
      <c r="Q248" s="51" t="n">
        <v>4.01895635969833</v>
      </c>
      <c r="R248" s="51" t="n">
        <v>500</v>
      </c>
      <c r="S248" s="51" t="n">
        <v>1</v>
      </c>
      <c r="T248" s="51" t="n">
        <v>0</v>
      </c>
      <c r="U248" s="51" t="n">
        <v>120</v>
      </c>
      <c r="V248" s="51" t="n">
        <v>5</v>
      </c>
      <c r="W248" s="51" t="n">
        <v>1200</v>
      </c>
      <c r="X248" s="51" t="n">
        <v>0.391</v>
      </c>
    </row>
    <row r="249">
      <c r="A249" s="51" t="inlineStr">
        <is>
          <t>Pinecone</t>
        </is>
      </c>
      <c r="B249" s="51" t="n">
        <v>32.91</v>
      </c>
      <c r="C249" s="51" t="n">
        <v>22.92</v>
      </c>
      <c r="D249" s="51" t="n">
        <v>30</v>
      </c>
      <c r="E249" s="51" t="n">
        <v>80.34999999999999</v>
      </c>
      <c r="F249" s="51" t="n">
        <v>1.41</v>
      </c>
      <c r="G249" s="51" t="n">
        <v>10.27</v>
      </c>
      <c r="H249" s="51" t="n">
        <v>48.62</v>
      </c>
      <c r="I249" s="51" t="n">
        <v>38.45</v>
      </c>
      <c r="J249" s="51" t="n">
        <v>5.31</v>
      </c>
      <c r="K249" s="51" t="n">
        <v>6</v>
      </c>
      <c r="L249" s="51" t="n">
        <v>7</v>
      </c>
      <c r="M249" s="51" t="n">
        <v>1</v>
      </c>
      <c r="N249" s="51" t="n">
        <v>1</v>
      </c>
      <c r="O249" s="51" t="n">
        <v>4</v>
      </c>
      <c r="P249" s="51" t="n">
        <v>120</v>
      </c>
      <c r="Q249" s="51" t="n">
        <v>4.66290240035684</v>
      </c>
      <c r="R249" s="51" t="n">
        <v>500</v>
      </c>
      <c r="S249" s="51" t="n">
        <v>1</v>
      </c>
      <c r="T249" s="51" t="n">
        <v>0</v>
      </c>
      <c r="U249" s="51" t="n">
        <v>120</v>
      </c>
      <c r="V249" s="51" t="n">
        <v>5</v>
      </c>
      <c r="W249" s="51" t="n">
        <v>1400</v>
      </c>
      <c r="X249" s="51" t="n">
        <v>0.381</v>
      </c>
    </row>
    <row r="250">
      <c r="A250" s="51" t="inlineStr">
        <is>
          <t>Pinecone</t>
        </is>
      </c>
      <c r="B250" s="51" t="n">
        <v>32.91</v>
      </c>
      <c r="C250" s="51" t="n">
        <v>22.92</v>
      </c>
      <c r="D250" s="51" t="n">
        <v>30</v>
      </c>
      <c r="E250" s="51" t="n">
        <v>80.34999999999999</v>
      </c>
      <c r="F250" s="51" t="n">
        <v>1.41</v>
      </c>
      <c r="G250" s="51" t="n">
        <v>10.27</v>
      </c>
      <c r="H250" s="51" t="n">
        <v>48.62</v>
      </c>
      <c r="I250" s="51" t="n">
        <v>38.45</v>
      </c>
      <c r="J250" s="51" t="n">
        <v>5.31</v>
      </c>
      <c r="K250" s="51" t="n">
        <v>6</v>
      </c>
      <c r="L250" s="51" t="n">
        <v>7</v>
      </c>
      <c r="M250" s="51" t="n">
        <v>1</v>
      </c>
      <c r="N250" s="51" t="n">
        <v>1</v>
      </c>
      <c r="O250" s="51" t="n">
        <v>4</v>
      </c>
      <c r="P250" s="51" t="n">
        <v>120</v>
      </c>
      <c r="Q250" s="51" t="n">
        <v>4.00000085493361</v>
      </c>
      <c r="R250" s="51" t="n">
        <v>500</v>
      </c>
      <c r="S250" s="51" t="n">
        <v>1</v>
      </c>
      <c r="T250" s="51" t="n">
        <v>0</v>
      </c>
      <c r="U250" s="51" t="n">
        <v>120</v>
      </c>
      <c r="V250" s="51" t="n">
        <v>5</v>
      </c>
      <c r="W250" s="51" t="n">
        <v>1600</v>
      </c>
      <c r="X250" s="51" t="n">
        <v>0.375</v>
      </c>
    </row>
    <row r="251">
      <c r="A251" s="51" t="inlineStr">
        <is>
          <t>Pistachio shell</t>
        </is>
      </c>
      <c r="B251" s="51" t="n">
        <v>74.56</v>
      </c>
      <c r="C251" s="51" t="n">
        <v>10.33</v>
      </c>
      <c r="D251" s="51" t="n">
        <v>27.02</v>
      </c>
      <c r="E251" s="51" t="n">
        <v>89.31</v>
      </c>
      <c r="F251" s="51" t="n">
        <v>0.33</v>
      </c>
      <c r="G251" s="51" t="n">
        <v>5.46</v>
      </c>
      <c r="H251" s="51" t="n">
        <v>44.58</v>
      </c>
      <c r="I251" s="51" t="n">
        <v>43.75</v>
      </c>
      <c r="J251" s="51" t="n">
        <v>5.68</v>
      </c>
      <c r="K251" s="51" t="n">
        <v>4</v>
      </c>
      <c r="L251" s="51" t="n">
        <v>5</v>
      </c>
      <c r="M251" s="51" t="n">
        <v>0</v>
      </c>
      <c r="N251" s="51" t="n">
        <v>1</v>
      </c>
      <c r="O251" s="51" t="n">
        <v>4</v>
      </c>
      <c r="P251" s="51" t="n">
        <v>120</v>
      </c>
      <c r="Q251" s="51" t="n">
        <v>5</v>
      </c>
      <c r="R251" s="51" t="n">
        <v>1500</v>
      </c>
      <c r="S251" s="51" t="n">
        <v>0</v>
      </c>
      <c r="T251" s="51" t="n">
        <v>5</v>
      </c>
      <c r="U251" s="51" t="n">
        <v>0</v>
      </c>
      <c r="V251" s="51" t="n">
        <v>0</v>
      </c>
      <c r="W251" s="51" t="n">
        <v>0</v>
      </c>
      <c r="X251" s="51" t="n">
        <v>0.387</v>
      </c>
    </row>
    <row r="252">
      <c r="A252" s="51" t="inlineStr">
        <is>
          <t>Pistachio shell</t>
        </is>
      </c>
      <c r="B252" s="51" t="n">
        <v>74.56</v>
      </c>
      <c r="C252" s="51" t="n">
        <v>10.33</v>
      </c>
      <c r="D252" s="51" t="n">
        <v>27.02</v>
      </c>
      <c r="E252" s="51" t="n">
        <v>89.31</v>
      </c>
      <c r="F252" s="51" t="n">
        <v>0.33</v>
      </c>
      <c r="G252" s="51" t="n">
        <v>5.46</v>
      </c>
      <c r="H252" s="51" t="n">
        <v>44.58</v>
      </c>
      <c r="I252" s="51" t="n">
        <v>43.75</v>
      </c>
      <c r="J252" s="51" t="n">
        <v>5.68</v>
      </c>
      <c r="K252" s="51" t="n">
        <v>4</v>
      </c>
      <c r="L252" s="51" t="n">
        <v>5</v>
      </c>
      <c r="M252" s="51" t="n">
        <v>0</v>
      </c>
      <c r="N252" s="51" t="n">
        <v>1</v>
      </c>
      <c r="O252" s="51" t="n">
        <v>4</v>
      </c>
      <c r="P252" s="51" t="n">
        <v>120</v>
      </c>
      <c r="Q252" s="51" t="n">
        <v>5</v>
      </c>
      <c r="R252" s="51" t="n">
        <v>1300</v>
      </c>
      <c r="S252" s="51" t="n">
        <v>0</v>
      </c>
      <c r="T252" s="51" t="n">
        <v>5</v>
      </c>
      <c r="U252" s="51" t="n">
        <v>0</v>
      </c>
      <c r="V252" s="51" t="n">
        <v>0</v>
      </c>
      <c r="W252" s="51" t="n">
        <v>0</v>
      </c>
      <c r="X252" s="51" t="n">
        <v>0.401</v>
      </c>
    </row>
    <row r="253">
      <c r="A253" s="51" t="inlineStr">
        <is>
          <t>Pistachio shell</t>
        </is>
      </c>
      <c r="B253" s="51" t="n">
        <v>74.56</v>
      </c>
      <c r="C253" s="51" t="n">
        <v>10.33</v>
      </c>
      <c r="D253" s="51" t="n">
        <v>27.02</v>
      </c>
      <c r="E253" s="51" t="n">
        <v>89.31</v>
      </c>
      <c r="F253" s="51" t="n">
        <v>0.33</v>
      </c>
      <c r="G253" s="51" t="n">
        <v>5.46</v>
      </c>
      <c r="H253" s="51" t="n">
        <v>44.58</v>
      </c>
      <c r="I253" s="51" t="n">
        <v>43.75</v>
      </c>
      <c r="J253" s="51" t="n">
        <v>5.68</v>
      </c>
      <c r="K253" s="51" t="n">
        <v>4</v>
      </c>
      <c r="L253" s="51" t="n">
        <v>5</v>
      </c>
      <c r="M253" s="51" t="n">
        <v>0</v>
      </c>
      <c r="N253" s="51" t="n">
        <v>1</v>
      </c>
      <c r="O253" s="51" t="n">
        <v>4</v>
      </c>
      <c r="P253" s="51" t="n">
        <v>120</v>
      </c>
      <c r="Q253" s="51" t="n">
        <v>5</v>
      </c>
      <c r="R253" s="51" t="n">
        <v>1000</v>
      </c>
      <c r="S253" s="51" t="n">
        <v>0</v>
      </c>
      <c r="T253" s="51" t="n">
        <v>5</v>
      </c>
      <c r="U253" s="51" t="n">
        <v>0</v>
      </c>
      <c r="V253" s="51" t="n">
        <v>0</v>
      </c>
      <c r="W253" s="51" t="n">
        <v>0</v>
      </c>
      <c r="X253" s="51" t="n">
        <v>0.409</v>
      </c>
    </row>
    <row r="254">
      <c r="A254" s="51" t="inlineStr">
        <is>
          <t>Pistachio shell</t>
        </is>
      </c>
      <c r="B254" s="51" t="n">
        <v>74.56</v>
      </c>
      <c r="C254" s="51" t="n">
        <v>10.33</v>
      </c>
      <c r="D254" s="51" t="n">
        <v>27.02</v>
      </c>
      <c r="E254" s="51" t="n">
        <v>89.31</v>
      </c>
      <c r="F254" s="51" t="n">
        <v>0.33</v>
      </c>
      <c r="G254" s="51" t="n">
        <v>5.46</v>
      </c>
      <c r="H254" s="51" t="n">
        <v>44.58</v>
      </c>
      <c r="I254" s="51" t="n">
        <v>43.75</v>
      </c>
      <c r="J254" s="51" t="n">
        <v>5.68</v>
      </c>
      <c r="K254" s="51" t="n">
        <v>4</v>
      </c>
      <c r="L254" s="51" t="n">
        <v>5</v>
      </c>
      <c r="M254" s="51" t="n">
        <v>0</v>
      </c>
      <c r="N254" s="51" t="n">
        <v>1</v>
      </c>
      <c r="O254" s="51" t="n">
        <v>4</v>
      </c>
      <c r="P254" s="51" t="n">
        <v>120</v>
      </c>
      <c r="Q254" s="51" t="n">
        <v>5</v>
      </c>
      <c r="R254" s="51" t="n">
        <v>700</v>
      </c>
      <c r="S254" s="51" t="n">
        <v>0</v>
      </c>
      <c r="T254" s="51" t="n">
        <v>5</v>
      </c>
      <c r="U254" s="51" t="n">
        <v>0</v>
      </c>
      <c r="V254" s="51" t="n">
        <v>0</v>
      </c>
      <c r="W254" s="51" t="n">
        <v>0</v>
      </c>
      <c r="X254" s="51" t="n">
        <v>0.414</v>
      </c>
    </row>
    <row r="255">
      <c r="A255" s="51" t="inlineStr">
        <is>
          <t>Pistachio shells</t>
        </is>
      </c>
      <c r="B255" s="51" t="n">
        <v>74.56</v>
      </c>
      <c r="C255" s="51" t="n">
        <v>10.33</v>
      </c>
      <c r="D255" s="51" t="n">
        <v>27.02</v>
      </c>
      <c r="E255" s="51" t="n">
        <v>89.31</v>
      </c>
      <c r="F255" s="51" t="n">
        <v>0.33</v>
      </c>
      <c r="G255" s="51" t="n">
        <v>5.46</v>
      </c>
      <c r="H255" s="51" t="n">
        <v>44.58</v>
      </c>
      <c r="I255" s="51" t="n">
        <v>43.75</v>
      </c>
      <c r="J255" s="51" t="n">
        <v>5.68</v>
      </c>
      <c r="K255" s="51" t="n">
        <v>5</v>
      </c>
      <c r="L255" s="51" t="n">
        <v>5</v>
      </c>
      <c r="M255" s="51" t="n">
        <v>1</v>
      </c>
      <c r="N255" s="51" t="n">
        <v>0</v>
      </c>
      <c r="O255" s="51" t="n">
        <v>3</v>
      </c>
      <c r="P255" s="51" t="n">
        <v>360</v>
      </c>
      <c r="Q255" s="51" t="n">
        <v>3.87995269427798</v>
      </c>
      <c r="R255" s="51" t="n">
        <v>165</v>
      </c>
      <c r="S255" s="51" t="n">
        <v>1</v>
      </c>
      <c r="T255" s="51" t="n">
        <v>5</v>
      </c>
      <c r="U255" s="51" t="n">
        <v>120</v>
      </c>
      <c r="V255" s="51" t="n">
        <v>10</v>
      </c>
      <c r="W255" s="51" t="n">
        <v>1100</v>
      </c>
      <c r="X255" s="51" t="n">
        <v>0.36</v>
      </c>
    </row>
    <row r="256">
      <c r="A256" s="51" t="inlineStr">
        <is>
          <t>Pistachio shells</t>
        </is>
      </c>
      <c r="B256" s="51" t="n">
        <v>74.56</v>
      </c>
      <c r="C256" s="51" t="n">
        <v>10.33</v>
      </c>
      <c r="D256" s="51" t="n">
        <v>27.02</v>
      </c>
      <c r="E256" s="51" t="n">
        <v>89.31</v>
      </c>
      <c r="F256" s="51" t="n">
        <v>0.33</v>
      </c>
      <c r="G256" s="51" t="n">
        <v>5.46</v>
      </c>
      <c r="H256" s="51" t="n">
        <v>44.58</v>
      </c>
      <c r="I256" s="51" t="n">
        <v>43.75</v>
      </c>
      <c r="J256" s="51" t="n">
        <v>5.68</v>
      </c>
      <c r="K256" s="51" t="n">
        <v>5</v>
      </c>
      <c r="L256" s="51" t="n">
        <v>5</v>
      </c>
      <c r="M256" s="51" t="n">
        <v>1</v>
      </c>
      <c r="N256" s="51" t="n">
        <v>0</v>
      </c>
      <c r="O256" s="51" t="n">
        <v>3</v>
      </c>
      <c r="P256" s="51" t="n">
        <v>360</v>
      </c>
      <c r="Q256" s="51" t="n">
        <v>4.50695726239638</v>
      </c>
      <c r="R256" s="51" t="n">
        <v>165</v>
      </c>
      <c r="S256" s="51" t="n">
        <v>1</v>
      </c>
      <c r="T256" s="51" t="n">
        <v>5</v>
      </c>
      <c r="U256" s="51" t="n">
        <v>120</v>
      </c>
      <c r="V256" s="51" t="n">
        <v>10</v>
      </c>
      <c r="W256" s="51" t="n">
        <v>1000</v>
      </c>
      <c r="X256" s="51" t="n">
        <v>0.363</v>
      </c>
    </row>
    <row r="257">
      <c r="A257" s="51" t="inlineStr">
        <is>
          <t>Pistachio shells</t>
        </is>
      </c>
      <c r="B257" s="51" t="n">
        <v>74.56</v>
      </c>
      <c r="C257" s="51" t="n">
        <v>10.33</v>
      </c>
      <c r="D257" s="51" t="n">
        <v>27.02</v>
      </c>
      <c r="E257" s="51" t="n">
        <v>89.31</v>
      </c>
      <c r="F257" s="51" t="n">
        <v>0.33</v>
      </c>
      <c r="G257" s="51" t="n">
        <v>5.46</v>
      </c>
      <c r="H257" s="51" t="n">
        <v>44.58</v>
      </c>
      <c r="I257" s="51" t="n">
        <v>43.75</v>
      </c>
      <c r="J257" s="51" t="n">
        <v>5.68</v>
      </c>
      <c r="K257" s="51" t="n">
        <v>5</v>
      </c>
      <c r="L257" s="51" t="n">
        <v>5</v>
      </c>
      <c r="M257" s="51" t="n">
        <v>1</v>
      </c>
      <c r="N257" s="51" t="n">
        <v>0</v>
      </c>
      <c r="O257" s="51" t="n">
        <v>3</v>
      </c>
      <c r="P257" s="51" t="n">
        <v>360</v>
      </c>
      <c r="Q257" s="51" t="n">
        <v>4.51402646641681</v>
      </c>
      <c r="R257" s="51" t="n">
        <v>165</v>
      </c>
      <c r="S257" s="51" t="n">
        <v>1</v>
      </c>
      <c r="T257" s="51" t="n">
        <v>5</v>
      </c>
      <c r="U257" s="51" t="n">
        <v>120</v>
      </c>
      <c r="V257" s="51" t="n">
        <v>10</v>
      </c>
      <c r="W257" s="51" t="n">
        <v>900</v>
      </c>
      <c r="X257" s="51" t="n">
        <v>0.373</v>
      </c>
    </row>
    <row r="258">
      <c r="A258" s="51" t="inlineStr">
        <is>
          <t>Pistachio shells</t>
        </is>
      </c>
      <c r="B258" s="51" t="n">
        <v>74.56</v>
      </c>
      <c r="C258" s="51" t="n">
        <v>10.33</v>
      </c>
      <c r="D258" s="51" t="n">
        <v>27.02</v>
      </c>
      <c r="E258" s="51" t="n">
        <v>89.31</v>
      </c>
      <c r="F258" s="51" t="n">
        <v>0.33</v>
      </c>
      <c r="G258" s="51" t="n">
        <v>5.46</v>
      </c>
      <c r="H258" s="51" t="n">
        <v>44.58</v>
      </c>
      <c r="I258" s="51" t="n">
        <v>43.75</v>
      </c>
      <c r="J258" s="51" t="n">
        <v>5.68</v>
      </c>
      <c r="K258" s="51" t="n">
        <v>5</v>
      </c>
      <c r="L258" s="51" t="n">
        <v>5</v>
      </c>
      <c r="M258" s="51" t="n">
        <v>1</v>
      </c>
      <c r="N258" s="51" t="n">
        <v>0</v>
      </c>
      <c r="O258" s="51" t="n">
        <v>3</v>
      </c>
      <c r="P258" s="51" t="n">
        <v>360</v>
      </c>
      <c r="Q258" s="51" t="n">
        <v>4.80626988272355</v>
      </c>
      <c r="R258" s="51" t="n">
        <v>165</v>
      </c>
      <c r="S258" s="51" t="n">
        <v>1</v>
      </c>
      <c r="T258" s="51" t="n">
        <v>5</v>
      </c>
      <c r="U258" s="51" t="n">
        <v>120</v>
      </c>
      <c r="V258" s="51" t="n">
        <v>10</v>
      </c>
      <c r="W258" s="51" t="n">
        <v>800</v>
      </c>
      <c r="X258" s="51" t="n">
        <v>0.379</v>
      </c>
    </row>
    <row r="259">
      <c r="A259" s="51" t="inlineStr">
        <is>
          <t>Platanus</t>
        </is>
      </c>
      <c r="B259" s="51" t="n">
        <v>33.79</v>
      </c>
      <c r="C259" s="51" t="n">
        <v>19.91</v>
      </c>
      <c r="D259" s="51" t="n">
        <v>25.89</v>
      </c>
      <c r="E259" s="51" t="n">
        <v>74.09999999999999</v>
      </c>
      <c r="F259" s="51" t="n">
        <v>3.61</v>
      </c>
      <c r="G259" s="51" t="n">
        <v>22.29</v>
      </c>
      <c r="H259" s="51" t="n">
        <v>47.8</v>
      </c>
      <c r="I259" s="51" t="n">
        <v>40.33</v>
      </c>
      <c r="J259" s="51" t="n">
        <v>6.62</v>
      </c>
      <c r="K259" s="51" t="n">
        <v>4</v>
      </c>
      <c r="L259" s="51" t="n">
        <v>5</v>
      </c>
      <c r="M259" s="51" t="n">
        <v>1</v>
      </c>
      <c r="N259" s="51" t="n">
        <v>1</v>
      </c>
      <c r="O259" s="51" t="n">
        <v>4</v>
      </c>
      <c r="P259" s="51" t="n">
        <v>60</v>
      </c>
      <c r="Q259" s="51" t="n">
        <v>1</v>
      </c>
      <c r="R259" s="51" t="n">
        <v>550</v>
      </c>
      <c r="S259" s="51" t="n">
        <v>1</v>
      </c>
      <c r="T259" s="51" t="n">
        <v>5</v>
      </c>
      <c r="U259" s="51" t="n">
        <v>120</v>
      </c>
      <c r="V259" s="51" t="n">
        <v>10</v>
      </c>
      <c r="W259" s="51" t="n">
        <v>700</v>
      </c>
      <c r="X259" s="51" t="n">
        <v>0.378</v>
      </c>
    </row>
    <row r="260">
      <c r="A260" s="51" t="inlineStr">
        <is>
          <t>Platanus</t>
        </is>
      </c>
      <c r="B260" s="51" t="n">
        <v>33.79</v>
      </c>
      <c r="C260" s="51" t="n">
        <v>19.91</v>
      </c>
      <c r="D260" s="51" t="n">
        <v>25.89</v>
      </c>
      <c r="E260" s="51" t="n">
        <v>74.09999999999999</v>
      </c>
      <c r="F260" s="51" t="n">
        <v>3.61</v>
      </c>
      <c r="G260" s="51" t="n">
        <v>22.29</v>
      </c>
      <c r="H260" s="51" t="n">
        <v>47.8</v>
      </c>
      <c r="I260" s="51" t="n">
        <v>40.33</v>
      </c>
      <c r="J260" s="51" t="n">
        <v>6.62</v>
      </c>
      <c r="K260" s="51" t="n">
        <v>0</v>
      </c>
      <c r="L260" s="51" t="n">
        <v>5</v>
      </c>
      <c r="M260" s="51" t="n">
        <v>1</v>
      </c>
      <c r="N260" s="51" t="n">
        <v>1</v>
      </c>
      <c r="O260" s="51" t="n">
        <v>4</v>
      </c>
      <c r="P260" s="51" t="n">
        <v>60</v>
      </c>
      <c r="Q260" s="51" t="n">
        <v>1</v>
      </c>
      <c r="R260" s="51" t="n">
        <v>550</v>
      </c>
      <c r="S260" s="51" t="n">
        <v>1</v>
      </c>
      <c r="T260" s="51" t="n">
        <v>5</v>
      </c>
      <c r="U260" s="51" t="n">
        <v>120</v>
      </c>
      <c r="V260" s="51" t="n">
        <v>10</v>
      </c>
      <c r="W260" s="51" t="n">
        <v>700</v>
      </c>
      <c r="X260" s="51" t="n">
        <v>0.394</v>
      </c>
    </row>
    <row r="261">
      <c r="A261" s="51" t="inlineStr">
        <is>
          <t>Platanus bark</t>
        </is>
      </c>
      <c r="B261" s="51" t="n">
        <v>33.79</v>
      </c>
      <c r="C261" s="51" t="n">
        <v>19.91</v>
      </c>
      <c r="D261" s="51" t="n">
        <v>25.89</v>
      </c>
      <c r="E261" s="51" t="n">
        <v>74.09999999999999</v>
      </c>
      <c r="F261" s="51" t="n">
        <v>3.61</v>
      </c>
      <c r="G261" s="51" t="n">
        <v>22.29</v>
      </c>
      <c r="H261" s="51" t="n">
        <v>47.8</v>
      </c>
      <c r="I261" s="51" t="n">
        <v>40.33</v>
      </c>
      <c r="J261" s="51" t="n">
        <v>6.62</v>
      </c>
      <c r="K261" s="51" t="n">
        <v>6</v>
      </c>
      <c r="L261" s="51" t="n">
        <v>5</v>
      </c>
      <c r="M261" s="51" t="n">
        <v>0</v>
      </c>
      <c r="N261" s="51" t="n">
        <v>1</v>
      </c>
      <c r="O261" s="51" t="n">
        <v>5</v>
      </c>
      <c r="P261" s="51" t="n">
        <v>92.4882896826001</v>
      </c>
      <c r="Q261" s="51" t="n">
        <v>4.35990730888643</v>
      </c>
      <c r="R261" s="51" t="n">
        <v>700</v>
      </c>
      <c r="S261" s="51" t="n">
        <v>0</v>
      </c>
      <c r="T261" s="51" t="n">
        <v>5</v>
      </c>
      <c r="U261" s="51" t="n">
        <v>0</v>
      </c>
      <c r="V261" s="51" t="n">
        <v>0</v>
      </c>
      <c r="W261" s="51" t="n">
        <v>0</v>
      </c>
      <c r="X261" s="51" t="n">
        <v>0.394</v>
      </c>
    </row>
    <row r="262">
      <c r="A262" s="51" t="inlineStr">
        <is>
          <t>Potato peel</t>
        </is>
      </c>
      <c r="B262" s="51" t="n">
        <v>55.25</v>
      </c>
      <c r="C262" s="51" t="n">
        <v>11.71</v>
      </c>
      <c r="D262" s="51" t="n">
        <v>14.24</v>
      </c>
      <c r="E262" s="51" t="n">
        <v>66.54000000000001</v>
      </c>
      <c r="F262" s="51" t="n">
        <v>8.6</v>
      </c>
      <c r="G262" s="51" t="n">
        <v>16.55</v>
      </c>
      <c r="H262" s="51" t="n">
        <v>43.85</v>
      </c>
      <c r="I262" s="51" t="n">
        <v>46.83</v>
      </c>
      <c r="J262" s="51" t="n">
        <v>5.8</v>
      </c>
      <c r="K262" s="51" t="n">
        <v>4</v>
      </c>
      <c r="L262" s="51" t="n">
        <v>5</v>
      </c>
      <c r="M262" s="51" t="n">
        <v>0</v>
      </c>
      <c r="N262" s="51" t="n">
        <v>1</v>
      </c>
      <c r="O262" s="51" t="n">
        <v>4</v>
      </c>
      <c r="P262" s="51" t="n">
        <v>60</v>
      </c>
      <c r="Q262" s="51" t="n">
        <v>5</v>
      </c>
      <c r="R262" s="51" t="n">
        <v>1300</v>
      </c>
      <c r="S262" s="51" t="n">
        <v>0</v>
      </c>
      <c r="T262" s="51" t="n">
        <v>5</v>
      </c>
      <c r="U262" s="51" t="n">
        <v>0</v>
      </c>
      <c r="V262" s="51" t="n">
        <v>0</v>
      </c>
      <c r="W262" s="51" t="n">
        <v>0</v>
      </c>
      <c r="X262" s="51" t="n">
        <v>0.38</v>
      </c>
    </row>
    <row r="263">
      <c r="A263" s="51" t="inlineStr">
        <is>
          <t>Potato peel</t>
        </is>
      </c>
      <c r="B263" s="51" t="n">
        <v>55.25</v>
      </c>
      <c r="C263" s="51" t="n">
        <v>11.71</v>
      </c>
      <c r="D263" s="51" t="n">
        <v>14.24</v>
      </c>
      <c r="E263" s="51" t="n">
        <v>66.54000000000001</v>
      </c>
      <c r="F263" s="51" t="n">
        <v>8.6</v>
      </c>
      <c r="G263" s="51" t="n">
        <v>16.55</v>
      </c>
      <c r="H263" s="51" t="n">
        <v>43.85</v>
      </c>
      <c r="I263" s="51" t="n">
        <v>46.83</v>
      </c>
      <c r="J263" s="51" t="n">
        <v>5.8</v>
      </c>
      <c r="K263" s="51" t="n">
        <v>1</v>
      </c>
      <c r="L263" s="51" t="n">
        <v>5</v>
      </c>
      <c r="M263" s="51" t="n">
        <v>0</v>
      </c>
      <c r="N263" s="51" t="n">
        <v>1</v>
      </c>
      <c r="O263" s="51" t="n">
        <v>4</v>
      </c>
      <c r="P263" s="51" t="n">
        <v>60</v>
      </c>
      <c r="Q263" s="51" t="n">
        <v>5</v>
      </c>
      <c r="R263" s="51" t="n">
        <v>1300</v>
      </c>
      <c r="S263" s="51" t="n">
        <v>0</v>
      </c>
      <c r="T263" s="51" t="n">
        <v>5</v>
      </c>
      <c r="U263" s="51" t="n">
        <v>0</v>
      </c>
      <c r="V263" s="51" t="n">
        <v>0</v>
      </c>
      <c r="W263" s="51" t="n">
        <v>0</v>
      </c>
      <c r="X263" s="51" t="n">
        <v>0.387</v>
      </c>
    </row>
    <row r="264">
      <c r="A264" s="51" t="inlineStr">
        <is>
          <t>Rambutan peel</t>
        </is>
      </c>
      <c r="B264" s="51" t="n">
        <v>24.28</v>
      </c>
      <c r="C264" s="51" t="n">
        <v>11.62</v>
      </c>
      <c r="D264" s="51" t="n">
        <v>35.34</v>
      </c>
      <c r="E264" s="51" t="n">
        <v>86.65195631383919</v>
      </c>
      <c r="F264" s="51" t="n">
        <v>2.83612932177522</v>
      </c>
      <c r="G264" s="51" t="n">
        <v>9.65628404749407</v>
      </c>
      <c r="H264" s="51" t="n">
        <v>46.8442033481472</v>
      </c>
      <c r="I264" s="51" t="n">
        <v>42.0073524936207</v>
      </c>
      <c r="J264" s="51" t="n">
        <v>6.21904169592821</v>
      </c>
      <c r="K264" s="51" t="n">
        <v>6</v>
      </c>
      <c r="L264" s="51" t="n">
        <v>6</v>
      </c>
      <c r="M264" s="51" t="n">
        <v>1</v>
      </c>
      <c r="N264" s="51" t="n">
        <v>0</v>
      </c>
      <c r="O264" s="51" t="n">
        <v>1</v>
      </c>
      <c r="P264" s="51" t="n">
        <v>1200</v>
      </c>
      <c r="Q264" s="51" t="n">
        <v>9.28914977077066</v>
      </c>
      <c r="R264" s="51" t="n">
        <v>200</v>
      </c>
      <c r="S264" s="51" t="n">
        <v>1</v>
      </c>
      <c r="T264" s="51" t="n">
        <v>5</v>
      </c>
      <c r="U264" s="51" t="n">
        <v>120</v>
      </c>
      <c r="V264" s="51" t="n">
        <v>5</v>
      </c>
      <c r="W264" s="51" t="n">
        <v>1200</v>
      </c>
      <c r="X264" s="51" t="n">
        <v>0.381</v>
      </c>
    </row>
    <row r="265">
      <c r="A265" s="51" t="inlineStr">
        <is>
          <t>Rambutan peel</t>
        </is>
      </c>
      <c r="B265" s="51" t="n">
        <v>24.28</v>
      </c>
      <c r="C265" s="51" t="n">
        <v>11.62</v>
      </c>
      <c r="D265" s="51" t="n">
        <v>35.34</v>
      </c>
      <c r="E265" s="51" t="n">
        <v>86.65195631383919</v>
      </c>
      <c r="F265" s="51" t="n">
        <v>2.83612932177522</v>
      </c>
      <c r="G265" s="51" t="n">
        <v>9.65628404749407</v>
      </c>
      <c r="H265" s="51" t="n">
        <v>46.8442033481472</v>
      </c>
      <c r="I265" s="51" t="n">
        <v>42.0073524936207</v>
      </c>
      <c r="J265" s="51" t="n">
        <v>6.21904169592821</v>
      </c>
      <c r="K265" s="51" t="n">
        <v>6</v>
      </c>
      <c r="L265" s="51" t="n">
        <v>6</v>
      </c>
      <c r="M265" s="51" t="n">
        <v>1</v>
      </c>
      <c r="N265" s="51" t="n">
        <v>0</v>
      </c>
      <c r="O265" s="51" t="n">
        <v>1</v>
      </c>
      <c r="P265" s="51" t="n">
        <v>1200</v>
      </c>
      <c r="Q265" s="51" t="n">
        <v>8.530005542436809</v>
      </c>
      <c r="R265" s="51" t="n">
        <v>200</v>
      </c>
      <c r="S265" s="51" t="n">
        <v>1</v>
      </c>
      <c r="T265" s="51" t="n">
        <v>5</v>
      </c>
      <c r="U265" s="51" t="n">
        <v>120</v>
      </c>
      <c r="V265" s="51" t="n">
        <v>5</v>
      </c>
      <c r="W265" s="51" t="n">
        <v>1000</v>
      </c>
      <c r="X265" s="51" t="n">
        <v>0.383</v>
      </c>
    </row>
    <row r="266">
      <c r="A266" s="51" t="inlineStr">
        <is>
          <t>Rambutan peel</t>
        </is>
      </c>
      <c r="B266" s="51" t="n">
        <v>24.28</v>
      </c>
      <c r="C266" s="51" t="n">
        <v>11.62</v>
      </c>
      <c r="D266" s="51" t="n">
        <v>35.34</v>
      </c>
      <c r="E266" s="51" t="n">
        <v>86.65195631383919</v>
      </c>
      <c r="F266" s="51" t="n">
        <v>2.83612932177522</v>
      </c>
      <c r="G266" s="51" t="n">
        <v>9.65628404749407</v>
      </c>
      <c r="H266" s="51" t="n">
        <v>46.8442033481472</v>
      </c>
      <c r="I266" s="51" t="n">
        <v>42.0073524936207</v>
      </c>
      <c r="J266" s="51" t="n">
        <v>6.21904169592821</v>
      </c>
      <c r="K266" s="51" t="n">
        <v>6</v>
      </c>
      <c r="L266" s="51" t="n">
        <v>6</v>
      </c>
      <c r="M266" s="51" t="n">
        <v>1</v>
      </c>
      <c r="N266" s="51" t="n">
        <v>0</v>
      </c>
      <c r="O266" s="51" t="n">
        <v>1</v>
      </c>
      <c r="P266" s="51" t="n">
        <v>1200</v>
      </c>
      <c r="Q266" s="51" t="n">
        <v>7.50825928014986</v>
      </c>
      <c r="R266" s="51" t="n">
        <v>200</v>
      </c>
      <c r="S266" s="51" t="n">
        <v>1</v>
      </c>
      <c r="T266" s="51" t="n">
        <v>5</v>
      </c>
      <c r="U266" s="51" t="n">
        <v>120</v>
      </c>
      <c r="V266" s="51" t="n">
        <v>5</v>
      </c>
      <c r="W266" s="51" t="n">
        <v>800</v>
      </c>
      <c r="X266" s="51" t="n">
        <v>0.387</v>
      </c>
    </row>
    <row r="267">
      <c r="A267" s="51" t="inlineStr">
        <is>
          <t>Reed straw</t>
        </is>
      </c>
      <c r="B267" s="51" t="n">
        <v>56</v>
      </c>
      <c r="C267" s="51" t="n">
        <v>14.5</v>
      </c>
      <c r="D267" s="51" t="n">
        <v>20.5</v>
      </c>
      <c r="E267" s="51" t="n">
        <v>79.73</v>
      </c>
      <c r="F267" s="51" t="n">
        <v>2</v>
      </c>
      <c r="G267" s="51" t="n">
        <v>14.47</v>
      </c>
      <c r="H267" s="51" t="n">
        <v>45.16</v>
      </c>
      <c r="I267" s="51" t="n">
        <v>48.78</v>
      </c>
      <c r="J267" s="51" t="n">
        <v>5.58</v>
      </c>
      <c r="K267" s="51" t="n">
        <v>2</v>
      </c>
      <c r="L267" s="51" t="n">
        <v>5</v>
      </c>
      <c r="M267" s="51" t="n">
        <v>1</v>
      </c>
      <c r="N267" s="51" t="n">
        <v>1</v>
      </c>
      <c r="O267" s="51" t="n">
        <v>4</v>
      </c>
      <c r="P267" s="51" t="n">
        <v>180</v>
      </c>
      <c r="Q267" s="51" t="n">
        <v>10</v>
      </c>
      <c r="R267" s="51" t="n">
        <v>400</v>
      </c>
      <c r="S267" s="51" t="n">
        <v>1</v>
      </c>
      <c r="T267" s="51" t="n">
        <v>5</v>
      </c>
      <c r="U267" s="51" t="n">
        <v>120</v>
      </c>
      <c r="V267" s="51" t="n">
        <v>5</v>
      </c>
      <c r="W267" s="51" t="n">
        <v>1400</v>
      </c>
      <c r="X267" s="51" t="n">
        <v>0.369</v>
      </c>
    </row>
    <row r="268">
      <c r="A268" s="51" t="inlineStr">
        <is>
          <t>Reed straw</t>
        </is>
      </c>
      <c r="B268" s="51" t="n">
        <v>56</v>
      </c>
      <c r="C268" s="51" t="n">
        <v>14.5</v>
      </c>
      <c r="D268" s="51" t="n">
        <v>20.5</v>
      </c>
      <c r="E268" s="51" t="n">
        <v>79.73</v>
      </c>
      <c r="F268" s="51" t="n">
        <v>2</v>
      </c>
      <c r="G268" s="51" t="n">
        <v>14.47</v>
      </c>
      <c r="H268" s="51" t="n">
        <v>45.16</v>
      </c>
      <c r="I268" s="51" t="n">
        <v>48.78</v>
      </c>
      <c r="J268" s="51" t="n">
        <v>5.58</v>
      </c>
      <c r="K268" s="51" t="n">
        <v>2</v>
      </c>
      <c r="L268" s="51" t="n">
        <v>5</v>
      </c>
      <c r="M268" s="51" t="n">
        <v>1</v>
      </c>
      <c r="N268" s="51" t="n">
        <v>1</v>
      </c>
      <c r="O268" s="51" t="n">
        <v>4</v>
      </c>
      <c r="P268" s="51" t="n">
        <v>180</v>
      </c>
      <c r="Q268" s="51" t="n">
        <v>10</v>
      </c>
      <c r="R268" s="51" t="n">
        <v>400</v>
      </c>
      <c r="S268" s="51" t="n">
        <v>1</v>
      </c>
      <c r="T268" s="51" t="n">
        <v>5</v>
      </c>
      <c r="U268" s="51" t="n">
        <v>120</v>
      </c>
      <c r="V268" s="51" t="n">
        <v>5</v>
      </c>
      <c r="W268" s="51" t="n">
        <v>1400</v>
      </c>
      <c r="X268" s="51" t="n">
        <v>0.37</v>
      </c>
    </row>
    <row r="269">
      <c r="A269" s="51" t="inlineStr">
        <is>
          <t>Reed straw</t>
        </is>
      </c>
      <c r="B269" s="51" t="n">
        <v>56</v>
      </c>
      <c r="C269" s="51" t="n">
        <v>14.5</v>
      </c>
      <c r="D269" s="51" t="n">
        <v>20.5</v>
      </c>
      <c r="E269" s="51" t="n">
        <v>79.73</v>
      </c>
      <c r="F269" s="51" t="n">
        <v>2</v>
      </c>
      <c r="G269" s="51" t="n">
        <v>14.47</v>
      </c>
      <c r="H269" s="51" t="n">
        <v>45.16</v>
      </c>
      <c r="I269" s="51" t="n">
        <v>48.78</v>
      </c>
      <c r="J269" s="51" t="n">
        <v>5.58</v>
      </c>
      <c r="K269" s="51" t="n">
        <v>6</v>
      </c>
      <c r="L269" s="51" t="n">
        <v>5</v>
      </c>
      <c r="M269" s="51" t="n">
        <v>1</v>
      </c>
      <c r="N269" s="51" t="n">
        <v>0</v>
      </c>
      <c r="O269" s="51" t="n">
        <v>4</v>
      </c>
      <c r="P269" s="51" t="n">
        <v>1440</v>
      </c>
      <c r="Q269" s="51" t="n">
        <v>10</v>
      </c>
      <c r="R269" s="51" t="n">
        <v>200</v>
      </c>
      <c r="S269" s="51" t="n">
        <v>1</v>
      </c>
      <c r="T269" s="51" t="n">
        <v>5</v>
      </c>
      <c r="U269" s="51" t="n">
        <v>180</v>
      </c>
      <c r="V269" s="51" t="n">
        <v>5</v>
      </c>
      <c r="W269" s="51" t="n">
        <v>1500</v>
      </c>
      <c r="X269" s="51" t="n">
        <v>0.375</v>
      </c>
    </row>
    <row r="270">
      <c r="A270" s="51" t="inlineStr">
        <is>
          <t>Reed straw</t>
        </is>
      </c>
      <c r="B270" s="51" t="n">
        <v>56</v>
      </c>
      <c r="C270" s="51" t="n">
        <v>14.5</v>
      </c>
      <c r="D270" s="51" t="n">
        <v>20.5</v>
      </c>
      <c r="E270" s="51" t="n">
        <v>79.73</v>
      </c>
      <c r="F270" s="51" t="n">
        <v>2</v>
      </c>
      <c r="G270" s="51" t="n">
        <v>14.47</v>
      </c>
      <c r="H270" s="51" t="n">
        <v>45.16</v>
      </c>
      <c r="I270" s="51" t="n">
        <v>48.78</v>
      </c>
      <c r="J270" s="51" t="n">
        <v>5.58</v>
      </c>
      <c r="K270" s="51" t="n">
        <v>2</v>
      </c>
      <c r="L270" s="51" t="n">
        <v>5</v>
      </c>
      <c r="M270" s="51" t="n">
        <v>1</v>
      </c>
      <c r="N270" s="51" t="n">
        <v>1</v>
      </c>
      <c r="O270" s="51" t="n">
        <v>4</v>
      </c>
      <c r="P270" s="51" t="n">
        <v>180</v>
      </c>
      <c r="Q270" s="51" t="n">
        <v>10</v>
      </c>
      <c r="R270" s="51" t="n">
        <v>400</v>
      </c>
      <c r="S270" s="51" t="n">
        <v>1</v>
      </c>
      <c r="T270" s="51" t="n">
        <v>5</v>
      </c>
      <c r="U270" s="51" t="n">
        <v>120</v>
      </c>
      <c r="V270" s="51" t="n">
        <v>5</v>
      </c>
      <c r="W270" s="51" t="n">
        <v>1400</v>
      </c>
      <c r="X270" s="51" t="n">
        <v>0.375</v>
      </c>
    </row>
    <row r="271">
      <c r="A271" s="51" t="inlineStr">
        <is>
          <t>Reed straw</t>
        </is>
      </c>
      <c r="B271" s="51" t="n">
        <v>56</v>
      </c>
      <c r="C271" s="51" t="n">
        <v>14.5</v>
      </c>
      <c r="D271" s="51" t="n">
        <v>20.5</v>
      </c>
      <c r="E271" s="51" t="n">
        <v>79.73</v>
      </c>
      <c r="F271" s="51" t="n">
        <v>2</v>
      </c>
      <c r="G271" s="51" t="n">
        <v>14.47</v>
      </c>
      <c r="H271" s="51" t="n">
        <v>45.16</v>
      </c>
      <c r="I271" s="51" t="n">
        <v>48.78</v>
      </c>
      <c r="J271" s="51" t="n">
        <v>5.58</v>
      </c>
      <c r="K271" s="51" t="n">
        <v>2</v>
      </c>
      <c r="L271" s="51" t="n">
        <v>5</v>
      </c>
      <c r="M271" s="51" t="n">
        <v>1</v>
      </c>
      <c r="N271" s="51" t="n">
        <v>1</v>
      </c>
      <c r="O271" s="51" t="n">
        <v>4</v>
      </c>
      <c r="P271" s="51" t="n">
        <v>180</v>
      </c>
      <c r="Q271" s="51" t="n">
        <v>10</v>
      </c>
      <c r="R271" s="51" t="n">
        <v>400</v>
      </c>
      <c r="S271" s="51" t="n">
        <v>1</v>
      </c>
      <c r="T271" s="51" t="n">
        <v>5</v>
      </c>
      <c r="U271" s="51" t="n">
        <v>120</v>
      </c>
      <c r="V271" s="51" t="n">
        <v>5</v>
      </c>
      <c r="W271" s="51" t="n">
        <v>1400</v>
      </c>
      <c r="X271" s="51" t="n">
        <v>0.379</v>
      </c>
    </row>
    <row r="272">
      <c r="A272" s="51" t="inlineStr">
        <is>
          <t>Reed straw</t>
        </is>
      </c>
      <c r="B272" s="51" t="n">
        <v>56</v>
      </c>
      <c r="C272" s="51" t="n">
        <v>14.5</v>
      </c>
      <c r="D272" s="51" t="n">
        <v>20.5</v>
      </c>
      <c r="E272" s="51" t="n">
        <v>79.73</v>
      </c>
      <c r="F272" s="51" t="n">
        <v>2</v>
      </c>
      <c r="G272" s="51" t="n">
        <v>14.47</v>
      </c>
      <c r="H272" s="51" t="n">
        <v>45.16</v>
      </c>
      <c r="I272" s="51" t="n">
        <v>48.78</v>
      </c>
      <c r="J272" s="51" t="n">
        <v>5.58</v>
      </c>
      <c r="K272" s="51" t="n">
        <v>6</v>
      </c>
      <c r="L272" s="51" t="n">
        <v>5</v>
      </c>
      <c r="M272" s="51" t="n">
        <v>1</v>
      </c>
      <c r="N272" s="51" t="n">
        <v>0</v>
      </c>
      <c r="O272" s="51" t="n">
        <v>4</v>
      </c>
      <c r="P272" s="51" t="n">
        <v>1440</v>
      </c>
      <c r="Q272" s="51" t="n">
        <v>10</v>
      </c>
      <c r="R272" s="51" t="n">
        <v>200</v>
      </c>
      <c r="S272" s="51" t="n">
        <v>1</v>
      </c>
      <c r="T272" s="51" t="n">
        <v>5</v>
      </c>
      <c r="U272" s="51" t="n">
        <v>180</v>
      </c>
      <c r="V272" s="51" t="n">
        <v>5</v>
      </c>
      <c r="W272" s="51" t="n">
        <v>1300</v>
      </c>
      <c r="X272" s="51" t="n">
        <v>0.391</v>
      </c>
    </row>
    <row r="273">
      <c r="A273" s="51" t="inlineStr">
        <is>
          <t>Reed straw</t>
        </is>
      </c>
      <c r="B273" s="51" t="n">
        <v>56</v>
      </c>
      <c r="C273" s="51" t="n">
        <v>14.5</v>
      </c>
      <c r="D273" s="51" t="n">
        <v>20.5</v>
      </c>
      <c r="E273" s="51" t="n">
        <v>79.73</v>
      </c>
      <c r="F273" s="51" t="n">
        <v>2</v>
      </c>
      <c r="G273" s="51" t="n">
        <v>14.47</v>
      </c>
      <c r="H273" s="51" t="n">
        <v>45.16</v>
      </c>
      <c r="I273" s="51" t="n">
        <v>48.78</v>
      </c>
      <c r="J273" s="51" t="n">
        <v>5.58</v>
      </c>
      <c r="K273" s="51" t="n">
        <v>6</v>
      </c>
      <c r="L273" s="51" t="n">
        <v>5</v>
      </c>
      <c r="M273" s="51" t="n">
        <v>1</v>
      </c>
      <c r="N273" s="51" t="n">
        <v>0</v>
      </c>
      <c r="O273" s="51" t="n">
        <v>4</v>
      </c>
      <c r="P273" s="51" t="n">
        <v>1440</v>
      </c>
      <c r="Q273" s="51" t="n">
        <v>10</v>
      </c>
      <c r="R273" s="51" t="n">
        <v>200</v>
      </c>
      <c r="S273" s="51" t="n">
        <v>1</v>
      </c>
      <c r="T273" s="51" t="n">
        <v>5</v>
      </c>
      <c r="U273" s="51" t="n">
        <v>180</v>
      </c>
      <c r="V273" s="51" t="n">
        <v>5</v>
      </c>
      <c r="W273" s="51" t="n">
        <v>1100</v>
      </c>
      <c r="X273" s="51" t="n">
        <v>0.398</v>
      </c>
    </row>
    <row r="274">
      <c r="A274" s="51" t="inlineStr">
        <is>
          <t>Reed straw</t>
        </is>
      </c>
      <c r="B274" s="51" t="n">
        <v>56</v>
      </c>
      <c r="C274" s="51" t="n">
        <v>14.5</v>
      </c>
      <c r="D274" s="51" t="n">
        <v>20.5</v>
      </c>
      <c r="E274" s="51" t="n">
        <v>79.73</v>
      </c>
      <c r="F274" s="51" t="n">
        <v>2</v>
      </c>
      <c r="G274" s="51" t="n">
        <v>14.47</v>
      </c>
      <c r="H274" s="51" t="n">
        <v>45.16</v>
      </c>
      <c r="I274" s="51" t="n">
        <v>48.78</v>
      </c>
      <c r="J274" s="51" t="n">
        <v>5.58</v>
      </c>
      <c r="K274" s="51" t="n">
        <v>6</v>
      </c>
      <c r="L274" s="51" t="n">
        <v>5</v>
      </c>
      <c r="M274" s="51" t="n">
        <v>1</v>
      </c>
      <c r="N274" s="51" t="n">
        <v>0</v>
      </c>
      <c r="O274" s="51" t="n">
        <v>4</v>
      </c>
      <c r="P274" s="51" t="n">
        <v>1440</v>
      </c>
      <c r="Q274" s="51" t="n">
        <v>10</v>
      </c>
      <c r="R274" s="51" t="n">
        <v>200</v>
      </c>
      <c r="S274" s="51" t="n">
        <v>1</v>
      </c>
      <c r="T274" s="51" t="n">
        <v>5</v>
      </c>
      <c r="U274" s="51" t="n">
        <v>180</v>
      </c>
      <c r="V274" s="51" t="n">
        <v>5</v>
      </c>
      <c r="W274" s="51" t="n">
        <v>900</v>
      </c>
      <c r="X274" s="51" t="n">
        <v>0.403</v>
      </c>
    </row>
    <row r="275">
      <c r="A275" s="51" t="inlineStr">
        <is>
          <t>Rice husk</t>
        </is>
      </c>
      <c r="B275" s="51" t="n">
        <v>38.3</v>
      </c>
      <c r="C275" s="51" t="n">
        <v>31.6</v>
      </c>
      <c r="D275" s="51" t="n">
        <v>11.8</v>
      </c>
      <c r="E275" s="51" t="n">
        <v>68.2</v>
      </c>
      <c r="F275" s="51" t="n">
        <v>16.1</v>
      </c>
      <c r="G275" s="51" t="n">
        <v>15.7</v>
      </c>
      <c r="H275" s="51" t="n">
        <v>45.2</v>
      </c>
      <c r="I275" s="51" t="n">
        <v>47.6</v>
      </c>
      <c r="J275" s="51" t="n">
        <v>5.8</v>
      </c>
      <c r="K275" s="51" t="n">
        <v>1</v>
      </c>
      <c r="L275" s="51" t="n">
        <v>5</v>
      </c>
      <c r="M275" s="51" t="n">
        <v>1</v>
      </c>
      <c r="N275" s="51" t="n">
        <v>1</v>
      </c>
      <c r="O275" s="51" t="n">
        <v>4</v>
      </c>
      <c r="P275" s="51" t="n">
        <v>150</v>
      </c>
      <c r="Q275" s="51" t="n">
        <v>3</v>
      </c>
      <c r="R275" s="51" t="n">
        <v>600</v>
      </c>
      <c r="S275" s="51" t="n">
        <v>1</v>
      </c>
      <c r="T275" s="51" t="n">
        <v>1</v>
      </c>
      <c r="U275" s="51" t="n">
        <v>180</v>
      </c>
      <c r="V275" s="51" t="n">
        <v>5</v>
      </c>
      <c r="W275" s="51" t="n">
        <v>1400</v>
      </c>
      <c r="X275" s="51" t="n">
        <v>0.375</v>
      </c>
    </row>
    <row r="276">
      <c r="A276" s="51" t="inlineStr">
        <is>
          <t>Rice husk</t>
        </is>
      </c>
      <c r="B276" s="51" t="n">
        <v>38.3</v>
      </c>
      <c r="C276" s="51" t="n">
        <v>31.6</v>
      </c>
      <c r="D276" s="51" t="n">
        <v>11.8</v>
      </c>
      <c r="E276" s="51" t="n">
        <v>68.2</v>
      </c>
      <c r="F276" s="51" t="n">
        <v>16.1</v>
      </c>
      <c r="G276" s="51" t="n">
        <v>15.7</v>
      </c>
      <c r="H276" s="51" t="n">
        <v>45.2</v>
      </c>
      <c r="I276" s="51" t="n">
        <v>47.6</v>
      </c>
      <c r="J276" s="51" t="n">
        <v>5.8</v>
      </c>
      <c r="K276" s="51" t="n">
        <v>4</v>
      </c>
      <c r="L276" s="51" t="n">
        <v>5</v>
      </c>
      <c r="M276" s="51" t="n">
        <v>1</v>
      </c>
      <c r="N276" s="51" t="n">
        <v>1</v>
      </c>
      <c r="O276" s="51" t="n">
        <v>4</v>
      </c>
      <c r="P276" s="51" t="n">
        <v>240</v>
      </c>
      <c r="Q276" s="51" t="n">
        <v>2.5</v>
      </c>
      <c r="R276" s="51" t="n">
        <v>360</v>
      </c>
      <c r="S276" s="51" t="n">
        <v>1</v>
      </c>
      <c r="T276" s="51" t="n">
        <v>5</v>
      </c>
      <c r="U276" s="51" t="n">
        <v>120</v>
      </c>
      <c r="V276" s="51" t="n">
        <v>0</v>
      </c>
      <c r="W276" s="51" t="n">
        <v>1300</v>
      </c>
      <c r="X276" s="51" t="n">
        <v>0.381</v>
      </c>
    </row>
    <row r="277">
      <c r="A277" s="51" t="inlineStr">
        <is>
          <t>Rice husk</t>
        </is>
      </c>
      <c r="B277" s="51" t="n">
        <v>38.3</v>
      </c>
      <c r="C277" s="51" t="n">
        <v>31.6</v>
      </c>
      <c r="D277" s="51" t="n">
        <v>11.8</v>
      </c>
      <c r="E277" s="51" t="n">
        <v>68.2</v>
      </c>
      <c r="F277" s="51" t="n">
        <v>16.1</v>
      </c>
      <c r="G277" s="51" t="n">
        <v>15.7</v>
      </c>
      <c r="H277" s="51" t="n">
        <v>45.2</v>
      </c>
      <c r="I277" s="51" t="n">
        <v>47.6</v>
      </c>
      <c r="J277" s="51" t="n">
        <v>5.8</v>
      </c>
      <c r="K277" s="51" t="n">
        <v>4</v>
      </c>
      <c r="L277" s="51" t="n">
        <v>1</v>
      </c>
      <c r="M277" s="51" t="n">
        <v>0</v>
      </c>
      <c r="N277" s="51" t="n">
        <v>1</v>
      </c>
      <c r="O277" s="51" t="n">
        <v>4</v>
      </c>
      <c r="P277" s="51" t="n">
        <v>135</v>
      </c>
      <c r="Q277" s="51" t="n">
        <v>3</v>
      </c>
      <c r="R277" s="51" t="n">
        <v>900</v>
      </c>
      <c r="S277" s="51" t="n">
        <v>0</v>
      </c>
      <c r="T277" s="51" t="n">
        <v>5</v>
      </c>
      <c r="U277" s="51" t="n">
        <v>0</v>
      </c>
      <c r="V277" s="51" t="n">
        <v>0</v>
      </c>
      <c r="W277" s="51" t="n">
        <v>0</v>
      </c>
      <c r="X277" s="51" t="n">
        <v>0.382</v>
      </c>
    </row>
    <row r="278">
      <c r="A278" s="51" t="inlineStr">
        <is>
          <t>Rice husk</t>
        </is>
      </c>
      <c r="B278" s="51" t="n">
        <v>38.3</v>
      </c>
      <c r="C278" s="51" t="n">
        <v>31.6</v>
      </c>
      <c r="D278" s="51" t="n">
        <v>11.8</v>
      </c>
      <c r="E278" s="51" t="n">
        <v>68.2</v>
      </c>
      <c r="F278" s="51" t="n">
        <v>16.1</v>
      </c>
      <c r="G278" s="51" t="n">
        <v>15.7</v>
      </c>
      <c r="H278" s="51" t="n">
        <v>45.2</v>
      </c>
      <c r="I278" s="51" t="n">
        <v>47.6</v>
      </c>
      <c r="J278" s="51" t="n">
        <v>5.8</v>
      </c>
      <c r="K278" s="51" t="n">
        <v>1</v>
      </c>
      <c r="L278" s="51" t="n">
        <v>5</v>
      </c>
      <c r="M278" s="51" t="n">
        <v>1</v>
      </c>
      <c r="N278" s="51" t="n">
        <v>1</v>
      </c>
      <c r="O278" s="51" t="n">
        <v>4</v>
      </c>
      <c r="P278" s="51" t="n">
        <v>150</v>
      </c>
      <c r="Q278" s="51" t="n">
        <v>3</v>
      </c>
      <c r="R278" s="51" t="n">
        <v>600</v>
      </c>
      <c r="S278" s="51" t="n">
        <v>1</v>
      </c>
      <c r="T278" s="51" t="n">
        <v>1</v>
      </c>
      <c r="U278" s="51" t="n">
        <v>180</v>
      </c>
      <c r="V278" s="51" t="n">
        <v>5</v>
      </c>
      <c r="W278" s="51" t="n">
        <v>1200</v>
      </c>
      <c r="X278" s="51" t="n">
        <v>0.382</v>
      </c>
    </row>
    <row r="279">
      <c r="A279" s="51" t="inlineStr">
        <is>
          <t>Rice husk</t>
        </is>
      </c>
      <c r="B279" s="51" t="n">
        <v>38.3</v>
      </c>
      <c r="C279" s="51" t="n">
        <v>31.6</v>
      </c>
      <c r="D279" s="51" t="n">
        <v>11.8</v>
      </c>
      <c r="E279" s="51" t="n">
        <v>68.2</v>
      </c>
      <c r="F279" s="51" t="n">
        <v>16.1</v>
      </c>
      <c r="G279" s="51" t="n">
        <v>15.7</v>
      </c>
      <c r="H279" s="51" t="n">
        <v>45.2</v>
      </c>
      <c r="I279" s="51" t="n">
        <v>47.6</v>
      </c>
      <c r="J279" s="51" t="n">
        <v>5.8</v>
      </c>
      <c r="K279" s="51" t="n">
        <v>3</v>
      </c>
      <c r="L279" s="51" t="n">
        <v>5</v>
      </c>
      <c r="M279" s="51" t="n">
        <v>0</v>
      </c>
      <c r="N279" s="51" t="n">
        <v>1</v>
      </c>
      <c r="O279" s="51" t="n">
        <v>4</v>
      </c>
      <c r="P279" s="51" t="n">
        <v>120</v>
      </c>
      <c r="Q279" s="51" t="n">
        <v>5</v>
      </c>
      <c r="R279" s="51" t="n">
        <v>1500</v>
      </c>
      <c r="S279" s="51" t="n">
        <v>0</v>
      </c>
      <c r="T279" s="51" t="n">
        <v>5</v>
      </c>
      <c r="U279" s="51" t="n">
        <v>0</v>
      </c>
      <c r="V279" s="51" t="n">
        <v>0</v>
      </c>
      <c r="W279" s="51" t="n">
        <v>0</v>
      </c>
      <c r="X279" s="51" t="n">
        <v>0.384</v>
      </c>
    </row>
    <row r="280">
      <c r="A280" s="51" t="inlineStr">
        <is>
          <t>Rice husk</t>
        </is>
      </c>
      <c r="B280" s="51" t="n">
        <v>38.3</v>
      </c>
      <c r="C280" s="51" t="n">
        <v>31.6</v>
      </c>
      <c r="D280" s="51" t="n">
        <v>11.8</v>
      </c>
      <c r="E280" s="51" t="n">
        <v>68.2</v>
      </c>
      <c r="F280" s="51" t="n">
        <v>16.1</v>
      </c>
      <c r="G280" s="51" t="n">
        <v>15.7</v>
      </c>
      <c r="H280" s="51" t="n">
        <v>45.2</v>
      </c>
      <c r="I280" s="51" t="n">
        <v>47.6</v>
      </c>
      <c r="J280" s="51" t="n">
        <v>5.8</v>
      </c>
      <c r="K280" s="51" t="n">
        <v>1</v>
      </c>
      <c r="L280" s="51" t="n">
        <v>5</v>
      </c>
      <c r="M280" s="51" t="n">
        <v>0</v>
      </c>
      <c r="N280" s="51" t="n">
        <v>1</v>
      </c>
      <c r="O280" s="51" t="n">
        <v>4</v>
      </c>
      <c r="P280" s="51" t="n">
        <v>120</v>
      </c>
      <c r="Q280" s="51" t="n">
        <v>5</v>
      </c>
      <c r="R280" s="51" t="n">
        <v>1500</v>
      </c>
      <c r="S280" s="51" t="n">
        <v>0</v>
      </c>
      <c r="T280" s="51" t="n">
        <v>5</v>
      </c>
      <c r="U280" s="51" t="n">
        <v>0</v>
      </c>
      <c r="V280" s="51" t="n">
        <v>0</v>
      </c>
      <c r="W280" s="51" t="n">
        <v>0</v>
      </c>
      <c r="X280" s="51" t="n">
        <v>0.384</v>
      </c>
    </row>
    <row r="281">
      <c r="A281" s="51" t="inlineStr">
        <is>
          <t>Rice husk</t>
        </is>
      </c>
      <c r="B281" s="51" t="n">
        <v>38.3</v>
      </c>
      <c r="C281" s="51" t="n">
        <v>31.6</v>
      </c>
      <c r="D281" s="51" t="n">
        <v>11.8</v>
      </c>
      <c r="E281" s="51" t="n">
        <v>68.2</v>
      </c>
      <c r="F281" s="51" t="n">
        <v>16.1</v>
      </c>
      <c r="G281" s="51" t="n">
        <v>15.7</v>
      </c>
      <c r="H281" s="51" t="n">
        <v>45.2</v>
      </c>
      <c r="I281" s="51" t="n">
        <v>47.6</v>
      </c>
      <c r="J281" s="51" t="n">
        <v>5.8</v>
      </c>
      <c r="K281" s="51" t="n">
        <v>4</v>
      </c>
      <c r="L281" s="51" t="n">
        <v>1</v>
      </c>
      <c r="M281" s="51" t="n">
        <v>0</v>
      </c>
      <c r="N281" s="51" t="n">
        <v>1</v>
      </c>
      <c r="O281" s="51" t="n">
        <v>4</v>
      </c>
      <c r="P281" s="51" t="n">
        <v>135</v>
      </c>
      <c r="Q281" s="51" t="n">
        <v>3</v>
      </c>
      <c r="R281" s="51" t="n">
        <v>1300</v>
      </c>
      <c r="S281" s="51" t="n">
        <v>0</v>
      </c>
      <c r="T281" s="51" t="n">
        <v>5</v>
      </c>
      <c r="U281" s="51" t="n">
        <v>0</v>
      </c>
      <c r="V281" s="51" t="n">
        <v>0</v>
      </c>
      <c r="W281" s="51" t="n">
        <v>0</v>
      </c>
      <c r="X281" s="51" t="n">
        <v>0.386</v>
      </c>
    </row>
    <row r="282">
      <c r="A282" s="51" t="inlineStr">
        <is>
          <t>Rice husk</t>
        </is>
      </c>
      <c r="B282" s="51" t="n">
        <v>38.3</v>
      </c>
      <c r="C282" s="51" t="n">
        <v>31.6</v>
      </c>
      <c r="D282" s="51" t="n">
        <v>11.8</v>
      </c>
      <c r="E282" s="51" t="n">
        <v>68.2</v>
      </c>
      <c r="F282" s="51" t="n">
        <v>16.1</v>
      </c>
      <c r="G282" s="51" t="n">
        <v>15.7</v>
      </c>
      <c r="H282" s="51" t="n">
        <v>45.2</v>
      </c>
      <c r="I282" s="51" t="n">
        <v>47.6</v>
      </c>
      <c r="J282" s="51" t="n">
        <v>5.8</v>
      </c>
      <c r="K282" s="51" t="n">
        <v>1</v>
      </c>
      <c r="L282" s="51" t="n">
        <v>5</v>
      </c>
      <c r="M282" s="51" t="n">
        <v>1</v>
      </c>
      <c r="N282" s="51" t="n">
        <v>1</v>
      </c>
      <c r="O282" s="51" t="n">
        <v>4</v>
      </c>
      <c r="P282" s="51" t="n">
        <v>150</v>
      </c>
      <c r="Q282" s="51" t="n">
        <v>3</v>
      </c>
      <c r="R282" s="51" t="n">
        <v>600</v>
      </c>
      <c r="S282" s="51" t="n">
        <v>1</v>
      </c>
      <c r="T282" s="51" t="n">
        <v>1</v>
      </c>
      <c r="U282" s="51" t="n">
        <v>180</v>
      </c>
      <c r="V282" s="51" t="n">
        <v>5</v>
      </c>
      <c r="W282" s="51" t="n">
        <v>1000</v>
      </c>
      <c r="X282" s="51" t="n">
        <v>0.387</v>
      </c>
    </row>
    <row r="283">
      <c r="A283" s="51" t="inlineStr">
        <is>
          <t>Rice husk</t>
        </is>
      </c>
      <c r="B283" s="51" t="n">
        <v>38.3</v>
      </c>
      <c r="C283" s="51" t="n">
        <v>31.6</v>
      </c>
      <c r="D283" s="51" t="n">
        <v>11.8</v>
      </c>
      <c r="E283" s="51" t="n">
        <v>68.2</v>
      </c>
      <c r="F283" s="51" t="n">
        <v>16.1</v>
      </c>
      <c r="G283" s="51" t="n">
        <v>15.7</v>
      </c>
      <c r="H283" s="51" t="n">
        <v>45.2</v>
      </c>
      <c r="I283" s="51" t="n">
        <v>47.6</v>
      </c>
      <c r="J283" s="51" t="n">
        <v>5.8</v>
      </c>
      <c r="K283" s="51" t="n">
        <v>3</v>
      </c>
      <c r="L283" s="51" t="n">
        <v>5</v>
      </c>
      <c r="M283" s="51" t="n">
        <v>0</v>
      </c>
      <c r="N283" s="51" t="n">
        <v>1</v>
      </c>
      <c r="O283" s="51" t="n">
        <v>4</v>
      </c>
      <c r="P283" s="51" t="n">
        <v>120</v>
      </c>
      <c r="Q283" s="51" t="n">
        <v>5</v>
      </c>
      <c r="R283" s="51" t="n">
        <v>1300</v>
      </c>
      <c r="S283" s="51" t="n">
        <v>0</v>
      </c>
      <c r="T283" s="51" t="n">
        <v>5</v>
      </c>
      <c r="U283" s="51" t="n">
        <v>0</v>
      </c>
      <c r="V283" s="51" t="n">
        <v>0</v>
      </c>
      <c r="W283" s="51" t="n">
        <v>0</v>
      </c>
      <c r="X283" s="51" t="n">
        <v>0.395</v>
      </c>
    </row>
    <row r="284">
      <c r="A284" s="51" t="inlineStr">
        <is>
          <t>Rice husk</t>
        </is>
      </c>
      <c r="B284" s="51" t="n">
        <v>38.3</v>
      </c>
      <c r="C284" s="51" t="n">
        <v>31.6</v>
      </c>
      <c r="D284" s="51" t="n">
        <v>11.8</v>
      </c>
      <c r="E284" s="51" t="n">
        <v>68.2</v>
      </c>
      <c r="F284" s="51" t="n">
        <v>16.1</v>
      </c>
      <c r="G284" s="51" t="n">
        <v>15.7</v>
      </c>
      <c r="H284" s="51" t="n">
        <v>45.2</v>
      </c>
      <c r="I284" s="51" t="n">
        <v>47.6</v>
      </c>
      <c r="J284" s="51" t="n">
        <v>5.8</v>
      </c>
      <c r="K284" s="51" t="n">
        <v>1</v>
      </c>
      <c r="L284" s="51" t="n">
        <v>5</v>
      </c>
      <c r="M284" s="51" t="n">
        <v>1</v>
      </c>
      <c r="N284" s="51" t="n">
        <v>1</v>
      </c>
      <c r="O284" s="51" t="n">
        <v>4</v>
      </c>
      <c r="P284" s="51" t="n">
        <v>150</v>
      </c>
      <c r="Q284" s="51" t="n">
        <v>3</v>
      </c>
      <c r="R284" s="51" t="n">
        <v>600</v>
      </c>
      <c r="S284" s="51" t="n">
        <v>1</v>
      </c>
      <c r="T284" s="51" t="n">
        <v>1</v>
      </c>
      <c r="U284" s="51" t="n">
        <v>180</v>
      </c>
      <c r="V284" s="51" t="n">
        <v>5</v>
      </c>
      <c r="W284" s="51" t="n">
        <v>800</v>
      </c>
      <c r="X284" s="51" t="n">
        <v>0.395</v>
      </c>
    </row>
    <row r="285">
      <c r="A285" s="51" t="inlineStr">
        <is>
          <t>Rice husk</t>
        </is>
      </c>
      <c r="B285" s="51" t="n">
        <v>38.3</v>
      </c>
      <c r="C285" s="51" t="n">
        <v>31.6</v>
      </c>
      <c r="D285" s="51" t="n">
        <v>11.8</v>
      </c>
      <c r="E285" s="51" t="n">
        <v>68.2</v>
      </c>
      <c r="F285" s="51" t="n">
        <v>16.1</v>
      </c>
      <c r="G285" s="51" t="n">
        <v>15.7</v>
      </c>
      <c r="H285" s="51" t="n">
        <v>45.2</v>
      </c>
      <c r="I285" s="51" t="n">
        <v>47.6</v>
      </c>
      <c r="J285" s="51" t="n">
        <v>5.8</v>
      </c>
      <c r="K285" s="51" t="n">
        <v>1</v>
      </c>
      <c r="L285" s="51" t="n">
        <v>5</v>
      </c>
      <c r="M285" s="51" t="n">
        <v>0</v>
      </c>
      <c r="N285" s="51" t="n">
        <v>1</v>
      </c>
      <c r="O285" s="51" t="n">
        <v>4</v>
      </c>
      <c r="P285" s="51" t="n">
        <v>120</v>
      </c>
      <c r="Q285" s="51" t="n">
        <v>5</v>
      </c>
      <c r="R285" s="51" t="n">
        <v>1300</v>
      </c>
      <c r="S285" s="51" t="n">
        <v>0</v>
      </c>
      <c r="T285" s="51" t="n">
        <v>5</v>
      </c>
      <c r="U285" s="51" t="n">
        <v>0</v>
      </c>
      <c r="V285" s="51" t="n">
        <v>0</v>
      </c>
      <c r="W285" s="51" t="n">
        <v>0</v>
      </c>
      <c r="X285" s="51" t="n">
        <v>0.395</v>
      </c>
    </row>
    <row r="286">
      <c r="A286" s="51" t="inlineStr">
        <is>
          <t>Rice husk</t>
        </is>
      </c>
      <c r="B286" s="51" t="n">
        <v>38.3</v>
      </c>
      <c r="C286" s="51" t="n">
        <v>31.6</v>
      </c>
      <c r="D286" s="51" t="n">
        <v>11.8</v>
      </c>
      <c r="E286" s="51" t="n">
        <v>68.2</v>
      </c>
      <c r="F286" s="51" t="n">
        <v>16.1</v>
      </c>
      <c r="G286" s="51" t="n">
        <v>15.7</v>
      </c>
      <c r="H286" s="51" t="n">
        <v>45.2</v>
      </c>
      <c r="I286" s="51" t="n">
        <v>47.6</v>
      </c>
      <c r="J286" s="51" t="n">
        <v>5.8</v>
      </c>
      <c r="K286" s="51" t="n">
        <v>4</v>
      </c>
      <c r="L286" s="51" t="n">
        <v>1</v>
      </c>
      <c r="M286" s="51" t="n">
        <v>0</v>
      </c>
      <c r="N286" s="51" t="n">
        <v>1</v>
      </c>
      <c r="O286" s="51" t="n">
        <v>4</v>
      </c>
      <c r="P286" s="51" t="n">
        <v>135</v>
      </c>
      <c r="Q286" s="51" t="n">
        <v>3</v>
      </c>
      <c r="R286" s="51" t="n">
        <v>1600</v>
      </c>
      <c r="S286" s="51" t="n">
        <v>0</v>
      </c>
      <c r="T286" s="51" t="n">
        <v>5</v>
      </c>
      <c r="U286" s="51" t="n">
        <v>0</v>
      </c>
      <c r="V286" s="51" t="n">
        <v>0</v>
      </c>
      <c r="W286" s="51" t="n">
        <v>0</v>
      </c>
      <c r="X286" s="51" t="n">
        <v>0.401</v>
      </c>
    </row>
    <row r="287">
      <c r="A287" s="51" t="inlineStr">
        <is>
          <t>Rice husk</t>
        </is>
      </c>
      <c r="B287" s="51" t="n">
        <v>38.3</v>
      </c>
      <c r="C287" s="51" t="n">
        <v>31.6</v>
      </c>
      <c r="D287" s="51" t="n">
        <v>11.8</v>
      </c>
      <c r="E287" s="51" t="n">
        <v>68.2</v>
      </c>
      <c r="F287" s="51" t="n">
        <v>16.1</v>
      </c>
      <c r="G287" s="51" t="n">
        <v>15.7</v>
      </c>
      <c r="H287" s="51" t="n">
        <v>45.2</v>
      </c>
      <c r="I287" s="51" t="n">
        <v>47.6</v>
      </c>
      <c r="J287" s="51" t="n">
        <v>5.8</v>
      </c>
      <c r="K287" s="51" t="n">
        <v>1</v>
      </c>
      <c r="L287" s="51" t="n">
        <v>5</v>
      </c>
      <c r="M287" s="51" t="n">
        <v>0</v>
      </c>
      <c r="N287" s="51" t="n">
        <v>1</v>
      </c>
      <c r="O287" s="51" t="n">
        <v>4</v>
      </c>
      <c r="P287" s="51" t="n">
        <v>150</v>
      </c>
      <c r="Q287" s="51" t="n">
        <v>3</v>
      </c>
      <c r="R287" s="51" t="n">
        <v>600</v>
      </c>
      <c r="S287" s="51" t="n">
        <v>0</v>
      </c>
      <c r="T287" s="51" t="n">
        <v>5</v>
      </c>
      <c r="U287" s="51" t="n">
        <v>0</v>
      </c>
      <c r="V287" s="51" t="n">
        <v>0</v>
      </c>
      <c r="W287" s="51" t="n">
        <v>0</v>
      </c>
      <c r="X287" s="51" t="n">
        <v>0.402</v>
      </c>
    </row>
    <row r="288">
      <c r="A288" s="51" t="inlineStr">
        <is>
          <t>Rice husk</t>
        </is>
      </c>
      <c r="B288" s="51" t="n">
        <v>38.3</v>
      </c>
      <c r="C288" s="51" t="n">
        <v>31.6</v>
      </c>
      <c r="D288" s="51" t="n">
        <v>11.8</v>
      </c>
      <c r="E288" s="51" t="n">
        <v>68.2</v>
      </c>
      <c r="F288" s="51" t="n">
        <v>16.1</v>
      </c>
      <c r="G288" s="51" t="n">
        <v>15.7</v>
      </c>
      <c r="H288" s="51" t="n">
        <v>45.2</v>
      </c>
      <c r="I288" s="51" t="n">
        <v>47.6</v>
      </c>
      <c r="J288" s="51" t="n">
        <v>5.8</v>
      </c>
      <c r="K288" s="51" t="n">
        <v>3</v>
      </c>
      <c r="L288" s="51" t="n">
        <v>5</v>
      </c>
      <c r="M288" s="51" t="n">
        <v>0</v>
      </c>
      <c r="N288" s="51" t="n">
        <v>1</v>
      </c>
      <c r="O288" s="51" t="n">
        <v>4</v>
      </c>
      <c r="P288" s="51" t="n">
        <v>120</v>
      </c>
      <c r="Q288" s="51" t="n">
        <v>5</v>
      </c>
      <c r="R288" s="51" t="n">
        <v>1100</v>
      </c>
      <c r="S288" s="51" t="n">
        <v>0</v>
      </c>
      <c r="T288" s="51" t="n">
        <v>5</v>
      </c>
      <c r="U288" s="51" t="n">
        <v>0</v>
      </c>
      <c r="V288" s="51" t="n">
        <v>0</v>
      </c>
      <c r="W288" s="51" t="n">
        <v>0</v>
      </c>
      <c r="X288" s="51" t="n">
        <v>0.403</v>
      </c>
    </row>
    <row r="289">
      <c r="A289" s="51" t="inlineStr">
        <is>
          <t>Rice husk</t>
        </is>
      </c>
      <c r="B289" s="51" t="n">
        <v>38.3</v>
      </c>
      <c r="C289" s="51" t="n">
        <v>31.6</v>
      </c>
      <c r="D289" s="51" t="n">
        <v>11.8</v>
      </c>
      <c r="E289" s="51" t="n">
        <v>68.2</v>
      </c>
      <c r="F289" s="51" t="n">
        <v>16.1</v>
      </c>
      <c r="G289" s="51" t="n">
        <v>15.7</v>
      </c>
      <c r="H289" s="51" t="n">
        <v>45.2</v>
      </c>
      <c r="I289" s="51" t="n">
        <v>47.6</v>
      </c>
      <c r="J289" s="51" t="n">
        <v>5.8</v>
      </c>
      <c r="K289" s="51" t="n">
        <v>1</v>
      </c>
      <c r="L289" s="51" t="n">
        <v>5</v>
      </c>
      <c r="M289" s="51" t="n">
        <v>0</v>
      </c>
      <c r="N289" s="51" t="n">
        <v>1</v>
      </c>
      <c r="O289" s="51" t="n">
        <v>4</v>
      </c>
      <c r="P289" s="51" t="n">
        <v>120</v>
      </c>
      <c r="Q289" s="51" t="n">
        <v>5</v>
      </c>
      <c r="R289" s="51" t="n">
        <v>1100</v>
      </c>
      <c r="S289" s="51" t="n">
        <v>0</v>
      </c>
      <c r="T289" s="51" t="n">
        <v>5</v>
      </c>
      <c r="U289" s="51" t="n">
        <v>0</v>
      </c>
      <c r="V289" s="51" t="n">
        <v>0</v>
      </c>
      <c r="W289" s="51" t="n">
        <v>0</v>
      </c>
      <c r="X289" s="51" t="n">
        <v>0.403</v>
      </c>
    </row>
    <row r="290">
      <c r="A290" s="51" t="inlineStr">
        <is>
          <t>Rosewood</t>
        </is>
      </c>
      <c r="B290" s="51" t="n">
        <v>16.13</v>
      </c>
      <c r="C290" s="51" t="n">
        <v>4.33</v>
      </c>
      <c r="D290" s="51" t="n">
        <v>4.51</v>
      </c>
      <c r="E290" s="51" t="n">
        <v>86.6430660451261</v>
      </c>
      <c r="F290" s="51" t="n">
        <v>0.831818393518981</v>
      </c>
      <c r="G290" s="51" t="n">
        <v>6.82101487144317</v>
      </c>
      <c r="H290" s="51" t="n">
        <v>44.1660370522306</v>
      </c>
      <c r="I290" s="51" t="n">
        <v>44.9189241510754</v>
      </c>
      <c r="J290" s="51" t="n">
        <v>5.70829243168208</v>
      </c>
      <c r="K290" s="51" t="n">
        <v>2</v>
      </c>
      <c r="L290" s="51" t="n">
        <v>5</v>
      </c>
      <c r="M290" s="51" t="n">
        <v>1</v>
      </c>
      <c r="N290" s="51" t="n">
        <v>0</v>
      </c>
      <c r="O290" s="51" t="n">
        <v>6</v>
      </c>
      <c r="P290" s="51" t="n">
        <v>480</v>
      </c>
      <c r="Q290" s="51" t="n">
        <v>5</v>
      </c>
      <c r="R290" s="51" t="n">
        <v>150</v>
      </c>
      <c r="S290" s="51" t="n">
        <v>1</v>
      </c>
      <c r="T290" s="51" t="n">
        <v>5</v>
      </c>
      <c r="U290" s="51" t="n">
        <v>120</v>
      </c>
      <c r="V290" s="51" t="n">
        <v>5</v>
      </c>
      <c r="W290" s="51" t="n">
        <v>1000</v>
      </c>
      <c r="X290" s="51" t="n">
        <v>0.369</v>
      </c>
    </row>
    <row r="291">
      <c r="A291" s="51" t="inlineStr">
        <is>
          <t>Shaddock peel</t>
        </is>
      </c>
      <c r="B291" s="51" t="n">
        <v>25</v>
      </c>
      <c r="C291" s="51" t="n">
        <v>12</v>
      </c>
      <c r="D291" s="51" t="n">
        <v>18</v>
      </c>
      <c r="E291" s="51" t="n">
        <v>91.1234636008052</v>
      </c>
      <c r="F291" s="51" t="n">
        <v>3.3762596239109</v>
      </c>
      <c r="G291" s="51" t="n">
        <v>6.54667673662726</v>
      </c>
      <c r="H291" s="51" t="n">
        <v>47.932180099592</v>
      </c>
      <c r="I291" s="51" t="n">
        <v>37.6322970463217</v>
      </c>
      <c r="J291" s="51" t="n">
        <v>6.63185556970333</v>
      </c>
      <c r="K291" s="51" t="n">
        <v>6</v>
      </c>
      <c r="L291" s="51" t="n">
        <v>1</v>
      </c>
      <c r="M291" s="51" t="n">
        <v>0</v>
      </c>
      <c r="N291" s="51" t="n">
        <v>1</v>
      </c>
      <c r="O291" s="51" t="n">
        <v>4</v>
      </c>
      <c r="P291" s="51" t="n">
        <v>120</v>
      </c>
      <c r="Q291" s="51" t="n">
        <v>5</v>
      </c>
      <c r="R291" s="51" t="n">
        <v>1400</v>
      </c>
      <c r="S291" s="51" t="n">
        <v>0</v>
      </c>
      <c r="T291" s="51" t="n">
        <v>5</v>
      </c>
      <c r="U291" s="51" t="n">
        <v>0</v>
      </c>
      <c r="V291" s="51" t="n">
        <v>0</v>
      </c>
      <c r="W291" s="51" t="n">
        <v>0</v>
      </c>
      <c r="X291" s="51" t="n">
        <v>0.376</v>
      </c>
    </row>
    <row r="292">
      <c r="A292" s="51" t="inlineStr">
        <is>
          <t>Shaddock peel</t>
        </is>
      </c>
      <c r="B292" s="51" t="n">
        <v>25</v>
      </c>
      <c r="C292" s="51" t="n">
        <v>12</v>
      </c>
      <c r="D292" s="51" t="n">
        <v>18</v>
      </c>
      <c r="E292" s="51" t="n">
        <v>91.1234636008052</v>
      </c>
      <c r="F292" s="51" t="n">
        <v>3.3762596239109</v>
      </c>
      <c r="G292" s="51" t="n">
        <v>6.54667673662726</v>
      </c>
      <c r="H292" s="51" t="n">
        <v>47.932180099592</v>
      </c>
      <c r="I292" s="51" t="n">
        <v>37.6322970463217</v>
      </c>
      <c r="J292" s="51" t="n">
        <v>6.63185556970333</v>
      </c>
      <c r="K292" s="51" t="n">
        <v>6</v>
      </c>
      <c r="L292" s="51" t="n">
        <v>1</v>
      </c>
      <c r="M292" s="51" t="n">
        <v>0</v>
      </c>
      <c r="N292" s="51" t="n">
        <v>1</v>
      </c>
      <c r="O292" s="51" t="n">
        <v>4</v>
      </c>
      <c r="P292" s="51" t="n">
        <v>120</v>
      </c>
      <c r="Q292" s="51" t="n">
        <v>4.8878056543207</v>
      </c>
      <c r="R292" s="51" t="n">
        <v>1200</v>
      </c>
      <c r="S292" s="51" t="n">
        <v>0</v>
      </c>
      <c r="T292" s="51" t="n">
        <v>5</v>
      </c>
      <c r="U292" s="51" t="n">
        <v>0</v>
      </c>
      <c r="V292" s="51" t="n">
        <v>0</v>
      </c>
      <c r="W292" s="51" t="n">
        <v>0</v>
      </c>
      <c r="X292" s="51" t="n">
        <v>0.38</v>
      </c>
    </row>
    <row r="293">
      <c r="A293" s="51" t="inlineStr">
        <is>
          <t>Shaddock peel</t>
        </is>
      </c>
      <c r="B293" s="51" t="n">
        <v>25</v>
      </c>
      <c r="C293" s="51" t="n">
        <v>12</v>
      </c>
      <c r="D293" s="51" t="n">
        <v>18</v>
      </c>
      <c r="E293" s="51" t="n">
        <v>91.1234636008052</v>
      </c>
      <c r="F293" s="51" t="n">
        <v>3.3762596239109</v>
      </c>
      <c r="G293" s="51" t="n">
        <v>6.54667673662726</v>
      </c>
      <c r="H293" s="51" t="n">
        <v>47.932180099592</v>
      </c>
      <c r="I293" s="51" t="n">
        <v>37.6322970463217</v>
      </c>
      <c r="J293" s="51" t="n">
        <v>6.63185556970333</v>
      </c>
      <c r="K293" s="51" t="n">
        <v>6</v>
      </c>
      <c r="L293" s="51" t="n">
        <v>1</v>
      </c>
      <c r="M293" s="51" t="n">
        <v>0</v>
      </c>
      <c r="N293" s="51" t="n">
        <v>1</v>
      </c>
      <c r="O293" s="51" t="n">
        <v>4</v>
      </c>
      <c r="P293" s="51" t="n">
        <v>120</v>
      </c>
      <c r="Q293" s="51" t="n">
        <v>3.00748068788999</v>
      </c>
      <c r="R293" s="51" t="n">
        <v>1000</v>
      </c>
      <c r="S293" s="51" t="n">
        <v>0</v>
      </c>
      <c r="T293" s="51" t="n">
        <v>5</v>
      </c>
      <c r="U293" s="51" t="n">
        <v>0</v>
      </c>
      <c r="V293" s="51" t="n">
        <v>0</v>
      </c>
      <c r="W293" s="51" t="n">
        <v>0</v>
      </c>
      <c r="X293" s="51" t="n">
        <v>0.382</v>
      </c>
    </row>
    <row r="294">
      <c r="A294" s="51" t="inlineStr">
        <is>
          <t>Shaddock peel</t>
        </is>
      </c>
      <c r="B294" s="51" t="n">
        <v>25</v>
      </c>
      <c r="C294" s="51" t="n">
        <v>12</v>
      </c>
      <c r="D294" s="51" t="n">
        <v>18</v>
      </c>
      <c r="E294" s="51" t="n">
        <v>91.1234636008052</v>
      </c>
      <c r="F294" s="51" t="n">
        <v>3.3762596239109</v>
      </c>
      <c r="G294" s="51" t="n">
        <v>6.54667673662726</v>
      </c>
      <c r="H294" s="51" t="n">
        <v>47.932180099592</v>
      </c>
      <c r="I294" s="51" t="n">
        <v>37.6322970463217</v>
      </c>
      <c r="J294" s="51" t="n">
        <v>6.63185556970333</v>
      </c>
      <c r="K294" s="51" t="n">
        <v>6</v>
      </c>
      <c r="L294" s="51" t="n">
        <v>1</v>
      </c>
      <c r="M294" s="51" t="n">
        <v>0</v>
      </c>
      <c r="N294" s="51" t="n">
        <v>1</v>
      </c>
      <c r="O294" s="51" t="n">
        <v>4</v>
      </c>
      <c r="P294" s="51" t="n">
        <v>120</v>
      </c>
      <c r="Q294" s="51" t="n">
        <v>3.00396423822931</v>
      </c>
      <c r="R294" s="51" t="n">
        <v>800</v>
      </c>
      <c r="S294" s="51" t="n">
        <v>0</v>
      </c>
      <c r="T294" s="51" t="n">
        <v>5</v>
      </c>
      <c r="U294" s="51" t="n">
        <v>0</v>
      </c>
      <c r="V294" s="51" t="n">
        <v>0</v>
      </c>
      <c r="W294" s="51" t="n">
        <v>0</v>
      </c>
      <c r="X294" s="51" t="n">
        <v>0.392</v>
      </c>
    </row>
    <row r="295">
      <c r="A295" s="51" t="inlineStr">
        <is>
          <t>Shaddok peel</t>
        </is>
      </c>
      <c r="B295" s="51" t="n">
        <v>25</v>
      </c>
      <c r="C295" s="51" t="n">
        <v>12</v>
      </c>
      <c r="D295" s="51" t="n">
        <v>18</v>
      </c>
      <c r="E295" s="51" t="n">
        <v>91.1234636008052</v>
      </c>
      <c r="F295" s="51" t="n">
        <v>3.3762596239109</v>
      </c>
      <c r="G295" s="51" t="n">
        <v>6.54667673662726</v>
      </c>
      <c r="H295" s="51" t="n">
        <v>47.932180099592</v>
      </c>
      <c r="I295" s="51" t="n">
        <v>37.6322970463217</v>
      </c>
      <c r="J295" s="51" t="n">
        <v>6.63185556970333</v>
      </c>
      <c r="K295" s="51" t="n">
        <v>4</v>
      </c>
      <c r="L295" s="51" t="n">
        <v>5</v>
      </c>
      <c r="M295" s="51" t="n">
        <v>1</v>
      </c>
      <c r="N295" s="51" t="n">
        <v>0</v>
      </c>
      <c r="O295" s="51" t="n">
        <v>5</v>
      </c>
      <c r="P295" s="51" t="n">
        <v>1440</v>
      </c>
      <c r="Q295" s="51" t="n">
        <v>8.836698222118351</v>
      </c>
      <c r="R295" s="51" t="n">
        <v>180</v>
      </c>
      <c r="S295" s="51" t="n">
        <v>1</v>
      </c>
      <c r="T295" s="51" t="n">
        <v>8</v>
      </c>
      <c r="U295" s="51" t="n">
        <v>148.429336512972</v>
      </c>
      <c r="V295" s="51" t="n">
        <v>5</v>
      </c>
      <c r="W295" s="51" t="n">
        <v>700</v>
      </c>
      <c r="X295" s="51" t="n">
        <v>0.371</v>
      </c>
    </row>
    <row r="296">
      <c r="A296" s="51" t="inlineStr">
        <is>
          <t>Shaddok peel</t>
        </is>
      </c>
      <c r="B296" s="51" t="n">
        <v>25</v>
      </c>
      <c r="C296" s="51" t="n">
        <v>12</v>
      </c>
      <c r="D296" s="51" t="n">
        <v>18</v>
      </c>
      <c r="E296" s="51" t="n">
        <v>91.1234636008052</v>
      </c>
      <c r="F296" s="51" t="n">
        <v>3.3762596239109</v>
      </c>
      <c r="G296" s="51" t="n">
        <v>6.54667673662726</v>
      </c>
      <c r="H296" s="51" t="n">
        <v>47.932180099592</v>
      </c>
      <c r="I296" s="51" t="n">
        <v>37.6322970463217</v>
      </c>
      <c r="J296" s="51" t="n">
        <v>6.63185556970333</v>
      </c>
      <c r="K296" s="51" t="n">
        <v>4</v>
      </c>
      <c r="L296" s="51" t="n">
        <v>5</v>
      </c>
      <c r="M296" s="51" t="n">
        <v>1</v>
      </c>
      <c r="N296" s="51" t="n">
        <v>0</v>
      </c>
      <c r="O296" s="51" t="n">
        <v>5</v>
      </c>
      <c r="P296" s="51" t="n">
        <v>1440</v>
      </c>
      <c r="Q296" s="51" t="n">
        <v>8.577831951263761</v>
      </c>
      <c r="R296" s="51" t="n">
        <v>180</v>
      </c>
      <c r="S296" s="51" t="n">
        <v>1</v>
      </c>
      <c r="T296" s="51" t="n">
        <v>8</v>
      </c>
      <c r="U296" s="51" t="n">
        <v>146.125266728391</v>
      </c>
      <c r="V296" s="51" t="n">
        <v>5</v>
      </c>
      <c r="W296" s="51" t="n">
        <v>600</v>
      </c>
      <c r="X296" s="51" t="n">
        <v>0.376</v>
      </c>
    </row>
    <row r="297">
      <c r="A297" s="51" t="inlineStr">
        <is>
          <t>Snake fruit peal</t>
        </is>
      </c>
      <c r="B297" s="51" t="n">
        <v>33.2218304752774</v>
      </c>
      <c r="C297" s="51" t="n">
        <v>21.853398033426</v>
      </c>
      <c r="D297" s="51" t="n">
        <v>28.5436099393292</v>
      </c>
      <c r="E297" s="51" t="n">
        <v>63.5</v>
      </c>
      <c r="F297" s="51" t="n">
        <v>5.2</v>
      </c>
      <c r="G297" s="51" t="n">
        <v>25.5</v>
      </c>
      <c r="H297" s="51" t="n">
        <v>55.73</v>
      </c>
      <c r="I297" s="51" t="n">
        <v>23.28</v>
      </c>
      <c r="J297" s="51" t="n">
        <v>5.77420218478803</v>
      </c>
      <c r="K297" s="51" t="n">
        <v>6</v>
      </c>
      <c r="L297" s="51" t="n">
        <v>1</v>
      </c>
      <c r="M297" s="51" t="n">
        <v>1</v>
      </c>
      <c r="N297" s="51" t="n">
        <v>1</v>
      </c>
      <c r="O297" s="51" t="n">
        <v>4</v>
      </c>
      <c r="P297" s="51" t="n">
        <v>60</v>
      </c>
      <c r="Q297" s="52" t="inlineStr">
        <is>
          <t>2.76242121690954</t>
        </is>
      </c>
      <c r="R297" s="51" t="n">
        <v>500</v>
      </c>
      <c r="S297" s="51" t="n">
        <v>1</v>
      </c>
      <c r="T297" s="51" t="n">
        <v>8</v>
      </c>
      <c r="U297" s="51" t="n">
        <v>60</v>
      </c>
      <c r="V297" s="51" t="n">
        <v>5</v>
      </c>
      <c r="W297" s="51" t="n">
        <v>800</v>
      </c>
      <c r="X297" s="51" t="n">
        <v>0.385</v>
      </c>
    </row>
    <row r="298">
      <c r="A298" s="51" t="inlineStr">
        <is>
          <t>Snake fruit peal</t>
        </is>
      </c>
      <c r="B298" s="51" t="n">
        <v>33.2213311659527</v>
      </c>
      <c r="C298" s="51" t="n">
        <v>21.8551058982753</v>
      </c>
      <c r="D298" s="51" t="n">
        <v>28.5459419408344</v>
      </c>
      <c r="E298" s="51" t="n">
        <v>63.5</v>
      </c>
      <c r="F298" s="51" t="n">
        <v>5.2</v>
      </c>
      <c r="G298" s="51" t="n">
        <v>25.5</v>
      </c>
      <c r="H298" s="51" t="n">
        <v>55.73</v>
      </c>
      <c r="I298" s="51" t="n">
        <v>23.28</v>
      </c>
      <c r="J298" s="51" t="n">
        <v>5.77345889477054</v>
      </c>
      <c r="K298" s="51" t="n">
        <v>6</v>
      </c>
      <c r="L298" s="51" t="n">
        <v>1</v>
      </c>
      <c r="M298" s="51" t="n">
        <v>1</v>
      </c>
      <c r="N298" s="51" t="n">
        <v>1</v>
      </c>
      <c r="O298" s="51" t="n">
        <v>4</v>
      </c>
      <c r="P298" s="51" t="n">
        <v>60</v>
      </c>
      <c r="Q298" s="51" t="n">
        <v>2.76241916035237</v>
      </c>
      <c r="R298" s="51" t="n">
        <v>500</v>
      </c>
      <c r="S298" s="51" t="n">
        <v>1</v>
      </c>
      <c r="T298" s="51" t="n">
        <v>3</v>
      </c>
      <c r="U298" s="51" t="n">
        <v>60</v>
      </c>
      <c r="V298" s="51" t="n">
        <v>5</v>
      </c>
      <c r="W298" s="51" t="n">
        <v>800</v>
      </c>
      <c r="X298" s="51" t="n">
        <v>0.388</v>
      </c>
    </row>
    <row r="299">
      <c r="A299" s="51" t="inlineStr">
        <is>
          <t>Snake fruit peal</t>
        </is>
      </c>
      <c r="B299" s="51" t="n">
        <v>33.2213311624287</v>
      </c>
      <c r="C299" s="51" t="n">
        <v>21.855105910329</v>
      </c>
      <c r="D299" s="51" t="n">
        <v>28.5459419572931</v>
      </c>
      <c r="E299" s="51" t="n">
        <v>63.5</v>
      </c>
      <c r="F299" s="51" t="n">
        <v>5.2</v>
      </c>
      <c r="G299" s="51" t="n">
        <v>25.5</v>
      </c>
      <c r="H299" s="51" t="n">
        <v>55.73</v>
      </c>
      <c r="I299" s="51" t="n">
        <v>23.28</v>
      </c>
      <c r="J299" s="51" t="n">
        <v>5.77345888952458</v>
      </c>
      <c r="K299" s="51" t="n">
        <v>6</v>
      </c>
      <c r="L299" s="51" t="n">
        <v>1</v>
      </c>
      <c r="M299" s="51" t="n">
        <v>1</v>
      </c>
      <c r="N299" s="51" t="n">
        <v>1</v>
      </c>
      <c r="O299" s="51" t="n">
        <v>4</v>
      </c>
      <c r="P299" s="51" t="n">
        <v>60</v>
      </c>
      <c r="Q299" s="51" t="n">
        <v>2.76241916182452</v>
      </c>
      <c r="R299" s="51" t="n">
        <v>500</v>
      </c>
      <c r="S299" s="51" t="n">
        <v>1</v>
      </c>
      <c r="T299" s="51" t="n">
        <v>3</v>
      </c>
      <c r="U299" s="51" t="n">
        <v>60</v>
      </c>
      <c r="V299" s="51" t="n">
        <v>5</v>
      </c>
      <c r="W299" s="51" t="n">
        <v>800</v>
      </c>
      <c r="X299" s="51" t="n">
        <v>0.395</v>
      </c>
    </row>
    <row r="300">
      <c r="A300" s="51" t="inlineStr">
        <is>
          <t>Sorghum stalk</t>
        </is>
      </c>
      <c r="B300" s="51" t="n">
        <v>36.42</v>
      </c>
      <c r="C300" s="51" t="n">
        <v>30.1</v>
      </c>
      <c r="D300" s="51" t="n">
        <v>19.85</v>
      </c>
      <c r="E300" s="51" t="n">
        <v>71.70999999999999</v>
      </c>
      <c r="F300" s="51" t="n">
        <v>3.94</v>
      </c>
      <c r="G300" s="51" t="n">
        <v>17.95</v>
      </c>
      <c r="H300" s="51" t="n">
        <v>44.03</v>
      </c>
      <c r="I300" s="51" t="n">
        <v>5.68</v>
      </c>
      <c r="J300" s="51" t="n">
        <v>49.93</v>
      </c>
      <c r="K300" s="51" t="n">
        <v>4</v>
      </c>
      <c r="L300" s="51" t="n">
        <v>1</v>
      </c>
      <c r="M300" s="51" t="n">
        <v>0</v>
      </c>
      <c r="N300" s="51" t="n">
        <v>1</v>
      </c>
      <c r="O300" s="51" t="n">
        <v>4</v>
      </c>
      <c r="P300" s="51" t="n">
        <v>120</v>
      </c>
      <c r="Q300" s="51" t="n">
        <v>2</v>
      </c>
      <c r="R300" s="51" t="n">
        <v>1500</v>
      </c>
      <c r="S300" s="51" t="n">
        <v>0</v>
      </c>
      <c r="T300" s="51" t="n">
        <v>5</v>
      </c>
      <c r="U300" s="51" t="n">
        <v>0</v>
      </c>
      <c r="V300" s="51" t="n">
        <v>0</v>
      </c>
      <c r="W300" s="51" t="n">
        <v>0</v>
      </c>
      <c r="X300" s="51" t="n">
        <v>0.372</v>
      </c>
    </row>
    <row r="301">
      <c r="A301" s="51" t="inlineStr">
        <is>
          <t>Sorghum stalk</t>
        </is>
      </c>
      <c r="B301" s="51" t="n">
        <v>36.42</v>
      </c>
      <c r="C301" s="51" t="n">
        <v>30.1</v>
      </c>
      <c r="D301" s="51" t="n">
        <v>19.85</v>
      </c>
      <c r="E301" s="51" t="n">
        <v>71.70999999999999</v>
      </c>
      <c r="F301" s="51" t="n">
        <v>3.94</v>
      </c>
      <c r="G301" s="51" t="n">
        <v>17.95</v>
      </c>
      <c r="H301" s="51" t="n">
        <v>44.03</v>
      </c>
      <c r="I301" s="51" t="n">
        <v>5.68</v>
      </c>
      <c r="J301" s="51" t="n">
        <v>49.93</v>
      </c>
      <c r="K301" s="51" t="n">
        <v>4</v>
      </c>
      <c r="L301" s="51" t="n">
        <v>1</v>
      </c>
      <c r="M301" s="51" t="n">
        <v>0</v>
      </c>
      <c r="N301" s="51" t="n">
        <v>1</v>
      </c>
      <c r="O301" s="51" t="n">
        <v>4</v>
      </c>
      <c r="P301" s="51" t="n">
        <v>120</v>
      </c>
      <c r="Q301" s="51" t="n">
        <v>2</v>
      </c>
      <c r="R301" s="51" t="n">
        <v>1300</v>
      </c>
      <c r="S301" s="51" t="n">
        <v>0</v>
      </c>
      <c r="T301" s="51" t="n">
        <v>5</v>
      </c>
      <c r="U301" s="51" t="n">
        <v>0</v>
      </c>
      <c r="V301" s="51" t="n">
        <v>0</v>
      </c>
      <c r="W301" s="51" t="n">
        <v>0</v>
      </c>
      <c r="X301" s="51" t="n">
        <v>0.381</v>
      </c>
    </row>
    <row r="302">
      <c r="A302" s="51" t="inlineStr">
        <is>
          <t>Sorghum stalk</t>
        </is>
      </c>
      <c r="B302" s="51" t="n">
        <v>36.42</v>
      </c>
      <c r="C302" s="51" t="n">
        <v>30.1</v>
      </c>
      <c r="D302" s="51" t="n">
        <v>19.85</v>
      </c>
      <c r="E302" s="51" t="n">
        <v>71.70999999999999</v>
      </c>
      <c r="F302" s="51" t="n">
        <v>3.94</v>
      </c>
      <c r="G302" s="51" t="n">
        <v>17.95</v>
      </c>
      <c r="H302" s="51" t="n">
        <v>44.03</v>
      </c>
      <c r="I302" s="51" t="n">
        <v>5.68</v>
      </c>
      <c r="J302" s="51" t="n">
        <v>49.93</v>
      </c>
      <c r="K302" s="51" t="n">
        <v>4</v>
      </c>
      <c r="L302" s="51" t="n">
        <v>1</v>
      </c>
      <c r="M302" s="51" t="n">
        <v>0</v>
      </c>
      <c r="N302" s="51" t="n">
        <v>1</v>
      </c>
      <c r="O302" s="51" t="n">
        <v>4</v>
      </c>
      <c r="P302" s="51" t="n">
        <v>120</v>
      </c>
      <c r="Q302" s="51" t="n">
        <v>2</v>
      </c>
      <c r="R302" s="51" t="n">
        <v>1100</v>
      </c>
      <c r="S302" s="51" t="n">
        <v>0</v>
      </c>
      <c r="T302" s="51" t="n">
        <v>5</v>
      </c>
      <c r="U302" s="51" t="n">
        <v>0</v>
      </c>
      <c r="V302" s="51" t="n">
        <v>0</v>
      </c>
      <c r="W302" s="51" t="n">
        <v>0</v>
      </c>
      <c r="X302" s="51" t="n">
        <v>0.395</v>
      </c>
    </row>
    <row r="303">
      <c r="A303" s="51" t="inlineStr">
        <is>
          <t>Spartina alterniflora</t>
        </is>
      </c>
      <c r="B303" s="51" t="n">
        <v>35.9</v>
      </c>
      <c r="C303" s="51" t="n">
        <v>342</v>
      </c>
      <c r="D303" s="51" t="n">
        <v>15.9</v>
      </c>
      <c r="E303" s="51" t="n">
        <v>68.8644370719265</v>
      </c>
      <c r="F303" s="51" t="n">
        <v>11.0173177084386</v>
      </c>
      <c r="G303" s="51" t="n">
        <v>22.6626159388995</v>
      </c>
      <c r="H303" s="51" t="n">
        <v>45.9365700835009</v>
      </c>
      <c r="I303" s="51" t="n">
        <v>44.1985530197491</v>
      </c>
      <c r="J303" s="51" t="n">
        <v>5.37696286794553</v>
      </c>
      <c r="K303" s="51" t="n">
        <v>6</v>
      </c>
      <c r="L303" s="51" t="n">
        <v>2</v>
      </c>
      <c r="M303" s="51" t="n">
        <v>0</v>
      </c>
      <c r="N303" s="51" t="n">
        <v>1</v>
      </c>
      <c r="O303" s="51" t="n">
        <v>4</v>
      </c>
      <c r="P303" s="51" t="n">
        <v>180</v>
      </c>
      <c r="Q303" s="51" t="n">
        <v>4.75570809882702</v>
      </c>
      <c r="R303" s="51" t="n">
        <v>1600</v>
      </c>
      <c r="S303" s="51" t="n">
        <v>0</v>
      </c>
      <c r="T303" s="51" t="n">
        <v>5</v>
      </c>
      <c r="U303" s="51" t="n">
        <v>0</v>
      </c>
      <c r="V303" s="51" t="n">
        <v>0</v>
      </c>
      <c r="W303" s="51" t="n">
        <v>0</v>
      </c>
      <c r="X303" s="51" t="n">
        <v>0.355</v>
      </c>
    </row>
    <row r="304">
      <c r="A304" s="51" t="inlineStr">
        <is>
          <t>Spartina alterniflora</t>
        </is>
      </c>
      <c r="B304" s="51" t="n">
        <v>35.9</v>
      </c>
      <c r="C304" s="51" t="n">
        <v>342</v>
      </c>
      <c r="D304" s="51" t="n">
        <v>15.9</v>
      </c>
      <c r="E304" s="51" t="n">
        <v>68.8644370719265</v>
      </c>
      <c r="F304" s="51" t="n">
        <v>11.0173177084386</v>
      </c>
      <c r="G304" s="51" t="n">
        <v>22.6626159388995</v>
      </c>
      <c r="H304" s="51" t="n">
        <v>45.9365700835009</v>
      </c>
      <c r="I304" s="51" t="n">
        <v>44.1985530197491</v>
      </c>
      <c r="J304" s="51" t="n">
        <v>5.37696286794553</v>
      </c>
      <c r="K304" s="51" t="n">
        <v>6</v>
      </c>
      <c r="L304" s="51" t="n">
        <v>2</v>
      </c>
      <c r="M304" s="51" t="n">
        <v>0</v>
      </c>
      <c r="N304" s="51" t="n">
        <v>1</v>
      </c>
      <c r="O304" s="51" t="n">
        <v>4</v>
      </c>
      <c r="P304" s="51" t="n">
        <v>180</v>
      </c>
      <c r="Q304" s="51" t="n">
        <v>5</v>
      </c>
      <c r="R304" s="51" t="n">
        <v>1400</v>
      </c>
      <c r="S304" s="51" t="n">
        <v>0</v>
      </c>
      <c r="T304" s="51" t="n">
        <v>5</v>
      </c>
      <c r="U304" s="51" t="n">
        <v>0</v>
      </c>
      <c r="V304" s="51" t="n">
        <v>0</v>
      </c>
      <c r="W304" s="51" t="n">
        <v>0</v>
      </c>
      <c r="X304" s="51" t="n">
        <v>0.362</v>
      </c>
    </row>
    <row r="305">
      <c r="A305" s="51" t="inlineStr">
        <is>
          <t>Spartina alterniflora</t>
        </is>
      </c>
      <c r="B305" s="51" t="n">
        <v>35.9</v>
      </c>
      <c r="C305" s="51" t="n">
        <v>342</v>
      </c>
      <c r="D305" s="51" t="n">
        <v>15.9</v>
      </c>
      <c r="E305" s="51" t="n">
        <v>68.8644370719265</v>
      </c>
      <c r="F305" s="51" t="n">
        <v>11.0173177084386</v>
      </c>
      <c r="G305" s="51" t="n">
        <v>22.6626159388995</v>
      </c>
      <c r="H305" s="51" t="n">
        <v>45.9365700835009</v>
      </c>
      <c r="I305" s="51" t="n">
        <v>44.1985530197491</v>
      </c>
      <c r="J305" s="51" t="n">
        <v>5.37696286794553</v>
      </c>
      <c r="K305" s="51" t="n">
        <v>6</v>
      </c>
      <c r="L305" s="51" t="n">
        <v>2</v>
      </c>
      <c r="M305" s="51" t="n">
        <v>0</v>
      </c>
      <c r="N305" s="51" t="n">
        <v>1</v>
      </c>
      <c r="O305" s="51" t="n">
        <v>4</v>
      </c>
      <c r="P305" s="51" t="n">
        <v>180</v>
      </c>
      <c r="Q305" s="51" t="n">
        <v>4.75809841663837</v>
      </c>
      <c r="R305" s="51" t="n">
        <v>1200</v>
      </c>
      <c r="S305" s="51" t="n">
        <v>0</v>
      </c>
      <c r="T305" s="51" t="n">
        <v>5</v>
      </c>
      <c r="U305" s="51" t="n">
        <v>0</v>
      </c>
      <c r="V305" s="51" t="n">
        <v>0</v>
      </c>
      <c r="W305" s="51" t="n">
        <v>0</v>
      </c>
      <c r="X305" s="51" t="n">
        <v>0.367</v>
      </c>
    </row>
    <row r="306">
      <c r="A306" s="51" t="inlineStr">
        <is>
          <t>Spartina alterniflora</t>
        </is>
      </c>
      <c r="B306" s="51" t="n">
        <v>35.9</v>
      </c>
      <c r="C306" s="51" t="n">
        <v>342</v>
      </c>
      <c r="D306" s="51" t="n">
        <v>15.9</v>
      </c>
      <c r="E306" s="51" t="n">
        <v>68.8644370719265</v>
      </c>
      <c r="F306" s="51" t="n">
        <v>11.0173177084386</v>
      </c>
      <c r="G306" s="51" t="n">
        <v>22.6626159388995</v>
      </c>
      <c r="H306" s="51" t="n">
        <v>45.9365700835009</v>
      </c>
      <c r="I306" s="51" t="n">
        <v>44.1985530197491</v>
      </c>
      <c r="J306" s="51" t="n">
        <v>5.37696286794553</v>
      </c>
      <c r="K306" s="51" t="n">
        <v>6</v>
      </c>
      <c r="L306" s="51" t="n">
        <v>2</v>
      </c>
      <c r="M306" s="51" t="n">
        <v>0</v>
      </c>
      <c r="N306" s="51" t="n">
        <v>1</v>
      </c>
      <c r="O306" s="51" t="n">
        <v>4</v>
      </c>
      <c r="P306" s="51" t="n">
        <v>180</v>
      </c>
      <c r="Q306" s="51" t="n">
        <v>4.27940025308691</v>
      </c>
      <c r="R306" s="51" t="n">
        <v>1000</v>
      </c>
      <c r="S306" s="51" t="n">
        <v>0</v>
      </c>
      <c r="T306" s="51" t="n">
        <v>5</v>
      </c>
      <c r="U306" s="51" t="n">
        <v>0</v>
      </c>
      <c r="V306" s="51" t="n">
        <v>0</v>
      </c>
      <c r="W306" s="51" t="n">
        <v>0</v>
      </c>
      <c r="X306" s="51" t="n">
        <v>0.372</v>
      </c>
    </row>
    <row r="307">
      <c r="A307" s="51" t="inlineStr">
        <is>
          <t>Straw</t>
        </is>
      </c>
      <c r="B307" s="51" t="n">
        <v>36.5</v>
      </c>
      <c r="C307" s="51" t="n">
        <v>26</v>
      </c>
      <c r="D307" s="51" t="n">
        <v>18.5</v>
      </c>
      <c r="E307" s="51" t="n">
        <v>83.5</v>
      </c>
      <c r="F307" s="51" t="n">
        <v>4.2</v>
      </c>
      <c r="G307" s="51" t="n">
        <v>12.5</v>
      </c>
      <c r="H307" s="51" t="n">
        <v>43.1</v>
      </c>
      <c r="I307" s="51" t="n">
        <v>51.4</v>
      </c>
      <c r="J307" s="51" t="n">
        <v>5.51</v>
      </c>
      <c r="K307" s="51" t="n">
        <v>4</v>
      </c>
      <c r="L307" s="51" t="n">
        <v>5</v>
      </c>
      <c r="M307" s="51" t="n">
        <v>1</v>
      </c>
      <c r="N307" s="51" t="n">
        <v>1</v>
      </c>
      <c r="O307" s="51" t="n">
        <v>4</v>
      </c>
      <c r="P307" s="51" t="n">
        <v>240</v>
      </c>
      <c r="Q307" s="51" t="n">
        <v>2.5</v>
      </c>
      <c r="R307" s="51" t="n">
        <v>360</v>
      </c>
      <c r="S307" s="51" t="n">
        <v>1</v>
      </c>
      <c r="T307" s="51" t="n">
        <v>5</v>
      </c>
      <c r="U307" s="51" t="n">
        <v>120</v>
      </c>
      <c r="V307" s="51" t="n">
        <v>3.48683161544472</v>
      </c>
      <c r="W307" s="51" t="n">
        <v>1300</v>
      </c>
      <c r="X307" s="51" t="n">
        <v>0.387</v>
      </c>
    </row>
    <row r="308">
      <c r="A308" s="51" t="inlineStr">
        <is>
          <t>Sugar cane basggase</t>
        </is>
      </c>
      <c r="B308" s="51" t="n">
        <v>36.5</v>
      </c>
      <c r="C308" s="51" t="n">
        <v>26</v>
      </c>
      <c r="D308" s="51" t="n">
        <v>18.5</v>
      </c>
      <c r="E308" s="51" t="n">
        <v>83.5</v>
      </c>
      <c r="F308" s="51" t="n">
        <v>4.2</v>
      </c>
      <c r="G308" s="51" t="n">
        <v>12.5</v>
      </c>
      <c r="H308" s="51" t="n">
        <v>43.1</v>
      </c>
      <c r="I308" s="51" t="n">
        <v>51.4</v>
      </c>
      <c r="J308" s="51" t="n">
        <v>5.51</v>
      </c>
      <c r="K308" s="51" t="n">
        <v>6</v>
      </c>
      <c r="L308" s="51" t="n">
        <v>4</v>
      </c>
      <c r="M308" s="51" t="n">
        <v>1</v>
      </c>
      <c r="N308" s="51" t="n">
        <v>1</v>
      </c>
      <c r="O308" s="51" t="n">
        <v>4</v>
      </c>
      <c r="P308" s="51" t="n">
        <v>276.422251196182</v>
      </c>
      <c r="Q308" s="51" t="n">
        <v>5</v>
      </c>
      <c r="R308" s="51" t="n">
        <v>1100</v>
      </c>
      <c r="S308" s="51" t="n">
        <v>1</v>
      </c>
      <c r="T308" s="51" t="n">
        <v>6</v>
      </c>
      <c r="U308" s="51" t="n">
        <v>5</v>
      </c>
      <c r="V308" s="51" t="n">
        <v>5</v>
      </c>
      <c r="W308" s="51" t="n">
        <v>300</v>
      </c>
      <c r="X308" s="51" t="n">
        <v>0.4</v>
      </c>
    </row>
    <row r="309">
      <c r="A309" s="51" t="inlineStr">
        <is>
          <t>Sugarcane</t>
        </is>
      </c>
      <c r="B309" s="51" t="n">
        <v>42.4</v>
      </c>
      <c r="C309" s="51" t="n">
        <v>25.2</v>
      </c>
      <c r="D309" s="51" t="n">
        <v>19.7</v>
      </c>
      <c r="E309" s="51" t="n">
        <v>84.79000000000001</v>
      </c>
      <c r="F309" s="51" t="n">
        <v>2.91</v>
      </c>
      <c r="G309" s="51" t="n">
        <v>11.82</v>
      </c>
      <c r="H309" s="51" t="n">
        <v>49.2</v>
      </c>
      <c r="I309" s="51" t="n">
        <v>43</v>
      </c>
      <c r="J309" s="51" t="n">
        <v>4.69</v>
      </c>
      <c r="K309" s="51" t="n">
        <v>6</v>
      </c>
      <c r="L309" s="51" t="n">
        <v>7</v>
      </c>
      <c r="M309" s="51" t="n">
        <v>0</v>
      </c>
      <c r="N309" s="51" t="n">
        <v>1</v>
      </c>
      <c r="O309" s="51" t="n">
        <v>4</v>
      </c>
      <c r="P309" s="51" t="n">
        <v>120</v>
      </c>
      <c r="Q309" s="51" t="n">
        <v>3</v>
      </c>
      <c r="R309" s="51" t="n">
        <v>1300</v>
      </c>
      <c r="S309" s="51" t="n">
        <v>0</v>
      </c>
      <c r="T309" s="51" t="n">
        <v>5</v>
      </c>
      <c r="U309" s="51" t="n">
        <v>0</v>
      </c>
      <c r="V309" s="51" t="n">
        <v>0</v>
      </c>
      <c r="W309" s="51" t="n">
        <v>0</v>
      </c>
      <c r="X309" s="51" t="n">
        <v>0.372</v>
      </c>
    </row>
    <row r="310">
      <c r="A310" s="51" t="inlineStr">
        <is>
          <t>Sugarcane</t>
        </is>
      </c>
      <c r="B310" s="51" t="n">
        <v>42.4</v>
      </c>
      <c r="C310" s="51" t="n">
        <v>25.2</v>
      </c>
      <c r="D310" s="51" t="n">
        <v>19.7</v>
      </c>
      <c r="E310" s="51" t="n">
        <v>84.79000000000001</v>
      </c>
      <c r="F310" s="51" t="n">
        <v>2.91</v>
      </c>
      <c r="G310" s="51" t="n">
        <v>11.82</v>
      </c>
      <c r="H310" s="51" t="n">
        <v>49.2</v>
      </c>
      <c r="I310" s="51" t="n">
        <v>43</v>
      </c>
      <c r="J310" s="51" t="n">
        <v>4.69</v>
      </c>
      <c r="K310" s="51" t="n">
        <v>6</v>
      </c>
      <c r="L310" s="51" t="n">
        <v>7</v>
      </c>
      <c r="M310" s="51" t="n">
        <v>1</v>
      </c>
      <c r="N310" s="51" t="n">
        <v>1</v>
      </c>
      <c r="O310" s="51" t="n">
        <v>4</v>
      </c>
      <c r="P310" s="51" t="n">
        <v>120</v>
      </c>
      <c r="Q310" s="51" t="n">
        <v>3</v>
      </c>
      <c r="R310" s="51" t="n">
        <v>1200</v>
      </c>
      <c r="S310" s="51" t="n">
        <v>1</v>
      </c>
      <c r="T310" s="51" t="n">
        <v>2</v>
      </c>
      <c r="U310" s="51" t="n">
        <v>0</v>
      </c>
      <c r="V310" s="51" t="n">
        <v>0</v>
      </c>
      <c r="W310" s="51" t="n">
        <v>0</v>
      </c>
      <c r="X310" s="51" t="n">
        <v>0.379</v>
      </c>
    </row>
    <row r="311">
      <c r="A311" s="51" t="inlineStr">
        <is>
          <t>Sugarcane</t>
        </is>
      </c>
      <c r="B311" s="51" t="n">
        <v>42.4</v>
      </c>
      <c r="C311" s="51" t="n">
        <v>25.2</v>
      </c>
      <c r="D311" s="51" t="n">
        <v>19.7</v>
      </c>
      <c r="E311" s="51" t="n">
        <v>84.79000000000001</v>
      </c>
      <c r="F311" s="51" t="n">
        <v>2.91</v>
      </c>
      <c r="G311" s="51" t="n">
        <v>11.82</v>
      </c>
      <c r="H311" s="51" t="n">
        <v>49.2</v>
      </c>
      <c r="I311" s="51" t="n">
        <v>43</v>
      </c>
      <c r="J311" s="51" t="n">
        <v>4.69</v>
      </c>
      <c r="K311" s="51" t="n">
        <v>6</v>
      </c>
      <c r="L311" s="51" t="n">
        <v>7</v>
      </c>
      <c r="M311" s="51" t="n">
        <v>0</v>
      </c>
      <c r="N311" s="51" t="n">
        <v>1</v>
      </c>
      <c r="O311" s="51" t="n">
        <v>4</v>
      </c>
      <c r="P311" s="51" t="n">
        <v>120</v>
      </c>
      <c r="Q311" s="51" t="n">
        <v>3</v>
      </c>
      <c r="R311" s="51" t="n">
        <v>1200</v>
      </c>
      <c r="S311" s="51" t="n">
        <v>0</v>
      </c>
      <c r="T311" s="51" t="n">
        <v>5</v>
      </c>
      <c r="U311" s="51" t="n">
        <v>0</v>
      </c>
      <c r="V311" s="51" t="n">
        <v>0</v>
      </c>
      <c r="W311" s="51" t="n">
        <v>0</v>
      </c>
      <c r="X311" s="51" t="n">
        <v>0.385</v>
      </c>
    </row>
    <row r="312">
      <c r="A312" s="51" t="inlineStr">
        <is>
          <t>Sugarcane</t>
        </is>
      </c>
      <c r="B312" s="51" t="n">
        <v>42.4</v>
      </c>
      <c r="C312" s="51" t="n">
        <v>25.2</v>
      </c>
      <c r="D312" s="51" t="n">
        <v>19.7</v>
      </c>
      <c r="E312" s="51" t="n">
        <v>84.79000000000001</v>
      </c>
      <c r="F312" s="51" t="n">
        <v>2.91</v>
      </c>
      <c r="G312" s="51" t="n">
        <v>11.82</v>
      </c>
      <c r="H312" s="51" t="n">
        <v>49.2</v>
      </c>
      <c r="I312" s="51" t="n">
        <v>43</v>
      </c>
      <c r="J312" s="51" t="n">
        <v>4.69</v>
      </c>
      <c r="K312" s="51" t="n">
        <v>6</v>
      </c>
      <c r="L312" s="51" t="n">
        <v>7</v>
      </c>
      <c r="M312" s="51" t="n">
        <v>0</v>
      </c>
      <c r="N312" s="51" t="n">
        <v>1</v>
      </c>
      <c r="O312" s="51" t="n">
        <v>4</v>
      </c>
      <c r="P312" s="51" t="n">
        <v>120</v>
      </c>
      <c r="Q312" s="51" t="n">
        <v>3</v>
      </c>
      <c r="R312" s="51" t="n">
        <v>1100</v>
      </c>
      <c r="S312" s="51" t="n">
        <v>0</v>
      </c>
      <c r="T312" s="51" t="n">
        <v>5</v>
      </c>
      <c r="U312" s="51" t="n">
        <v>0</v>
      </c>
      <c r="V312" s="51" t="n">
        <v>0</v>
      </c>
      <c r="W312" s="51" t="n">
        <v>0</v>
      </c>
      <c r="X312" s="51" t="n">
        <v>0.39</v>
      </c>
    </row>
    <row r="313">
      <c r="A313" s="51" t="inlineStr">
        <is>
          <t>Sugarcane</t>
        </is>
      </c>
      <c r="B313" s="51" t="n">
        <v>42.4</v>
      </c>
      <c r="C313" s="51" t="n">
        <v>25.2</v>
      </c>
      <c r="D313" s="51" t="n">
        <v>19.7</v>
      </c>
      <c r="E313" s="51" t="n">
        <v>84.79000000000001</v>
      </c>
      <c r="F313" s="51" t="n">
        <v>2.91</v>
      </c>
      <c r="G313" s="51" t="n">
        <v>11.82</v>
      </c>
      <c r="H313" s="51" t="n">
        <v>49.2</v>
      </c>
      <c r="I313" s="51" t="n">
        <v>43</v>
      </c>
      <c r="J313" s="51" t="n">
        <v>4.69</v>
      </c>
      <c r="K313" s="51" t="n">
        <v>6</v>
      </c>
      <c r="L313" s="51" t="n">
        <v>7</v>
      </c>
      <c r="M313" s="51" t="n">
        <v>0</v>
      </c>
      <c r="N313" s="51" t="n">
        <v>1</v>
      </c>
      <c r="O313" s="51" t="n">
        <v>4</v>
      </c>
      <c r="P313" s="51" t="n">
        <v>120</v>
      </c>
      <c r="Q313" s="51" t="n">
        <v>3</v>
      </c>
      <c r="R313" s="51" t="n">
        <v>1000</v>
      </c>
      <c r="S313" s="51" t="n">
        <v>0</v>
      </c>
      <c r="T313" s="51" t="n">
        <v>5</v>
      </c>
      <c r="U313" s="51" t="n">
        <v>0</v>
      </c>
      <c r="V313" s="51" t="n">
        <v>0</v>
      </c>
      <c r="W313" s="51" t="n">
        <v>0</v>
      </c>
      <c r="X313" s="51" t="n">
        <v>0.394</v>
      </c>
    </row>
    <row r="314">
      <c r="A314" s="51" t="inlineStr">
        <is>
          <t>Sugarcane</t>
        </is>
      </c>
      <c r="B314" s="51" t="n">
        <v>42.4</v>
      </c>
      <c r="C314" s="51" t="n">
        <v>25.2</v>
      </c>
      <c r="D314" s="51" t="n">
        <v>19.7</v>
      </c>
      <c r="E314" s="51" t="n">
        <v>84.79000000000001</v>
      </c>
      <c r="F314" s="51" t="n">
        <v>2.91</v>
      </c>
      <c r="G314" s="51" t="n">
        <v>11.82</v>
      </c>
      <c r="H314" s="51" t="n">
        <v>49.2</v>
      </c>
      <c r="I314" s="51" t="n">
        <v>43</v>
      </c>
      <c r="J314" s="51" t="n">
        <v>4.69</v>
      </c>
      <c r="K314" s="51" t="n">
        <v>6</v>
      </c>
      <c r="L314" s="51" t="n">
        <v>7</v>
      </c>
      <c r="M314" s="51" t="n">
        <v>0</v>
      </c>
      <c r="N314" s="51" t="n">
        <v>1</v>
      </c>
      <c r="O314" s="51" t="n">
        <v>4</v>
      </c>
      <c r="P314" s="51" t="n">
        <v>120</v>
      </c>
      <c r="Q314" s="51" t="n">
        <v>3</v>
      </c>
      <c r="R314" s="51" t="n">
        <v>900</v>
      </c>
      <c r="S314" s="51" t="n">
        <v>0</v>
      </c>
      <c r="T314" s="51" t="n">
        <v>5</v>
      </c>
      <c r="U314" s="51" t="n">
        <v>0</v>
      </c>
      <c r="V314" s="51" t="n">
        <v>0</v>
      </c>
      <c r="W314" s="51" t="n">
        <v>0</v>
      </c>
      <c r="X314" s="51" t="n">
        <v>0.396</v>
      </c>
    </row>
    <row r="315">
      <c r="A315" s="51" t="inlineStr">
        <is>
          <t>Sugarcane</t>
        </is>
      </c>
      <c r="B315" s="51" t="n">
        <v>42.4</v>
      </c>
      <c r="C315" s="51" t="n">
        <v>25.2</v>
      </c>
      <c r="D315" s="51" t="n">
        <v>19.7</v>
      </c>
      <c r="E315" s="51" t="n">
        <v>84.79000000000001</v>
      </c>
      <c r="F315" s="51" t="n">
        <v>2.91</v>
      </c>
      <c r="G315" s="51" t="n">
        <v>11.82</v>
      </c>
      <c r="H315" s="51" t="n">
        <v>49.2</v>
      </c>
      <c r="I315" s="51" t="n">
        <v>43</v>
      </c>
      <c r="J315" s="51" t="n">
        <v>4.69</v>
      </c>
      <c r="K315" s="51" t="n">
        <v>6</v>
      </c>
      <c r="L315" s="51" t="n">
        <v>7</v>
      </c>
      <c r="M315" s="51" t="n">
        <v>0</v>
      </c>
      <c r="N315" s="51" t="n">
        <v>1</v>
      </c>
      <c r="O315" s="51" t="n">
        <v>4</v>
      </c>
      <c r="P315" s="51" t="n">
        <v>120</v>
      </c>
      <c r="Q315" s="51" t="n">
        <v>3</v>
      </c>
      <c r="R315" s="51" t="n">
        <v>800</v>
      </c>
      <c r="S315" s="51" t="n">
        <v>0</v>
      </c>
      <c r="T315" s="51" t="n">
        <v>5</v>
      </c>
      <c r="U315" s="51" t="n">
        <v>0</v>
      </c>
      <c r="V315" s="51" t="n">
        <v>0</v>
      </c>
      <c r="W315" s="51" t="n">
        <v>0</v>
      </c>
      <c r="X315" s="51" t="n">
        <v>0.398</v>
      </c>
    </row>
    <row r="316">
      <c r="A316" s="51" t="inlineStr">
        <is>
          <t>Sugarcane bagasse</t>
        </is>
      </c>
      <c r="B316" s="51" t="n">
        <v>36.5</v>
      </c>
      <c r="C316" s="51" t="n">
        <v>26</v>
      </c>
      <c r="D316" s="51" t="n">
        <v>18.5</v>
      </c>
      <c r="E316" s="51" t="n">
        <v>83.5</v>
      </c>
      <c r="F316" s="51" t="n">
        <v>4.2</v>
      </c>
      <c r="G316" s="51" t="n">
        <v>12.5</v>
      </c>
      <c r="H316" s="51" t="n">
        <v>43.1</v>
      </c>
      <c r="I316" s="51" t="n">
        <v>51.4</v>
      </c>
      <c r="J316" s="51" t="n">
        <v>5.51</v>
      </c>
      <c r="K316" s="51" t="n">
        <v>4</v>
      </c>
      <c r="L316" s="51" t="n">
        <v>5</v>
      </c>
      <c r="M316" s="51" t="n">
        <v>0</v>
      </c>
      <c r="N316" s="51" t="n">
        <v>1</v>
      </c>
      <c r="O316" s="51" t="n">
        <v>4</v>
      </c>
      <c r="P316" s="51" t="n">
        <v>480</v>
      </c>
      <c r="Q316" s="51" t="n">
        <v>5</v>
      </c>
      <c r="R316" s="51" t="n">
        <v>1050</v>
      </c>
      <c r="S316" s="51" t="n">
        <v>0</v>
      </c>
      <c r="T316" s="51" t="n">
        <v>5</v>
      </c>
      <c r="U316" s="51" t="n">
        <v>0</v>
      </c>
      <c r="V316" s="51" t="n">
        <v>0</v>
      </c>
      <c r="W316" s="51" t="n">
        <v>0</v>
      </c>
      <c r="X316" s="51" t="n">
        <v>0.371</v>
      </c>
    </row>
    <row r="317">
      <c r="A317" s="51" t="inlineStr">
        <is>
          <t>Sugarcane bagasse</t>
        </is>
      </c>
      <c r="B317" s="51" t="n">
        <v>36.5</v>
      </c>
      <c r="C317" s="51" t="n">
        <v>26</v>
      </c>
      <c r="D317" s="51" t="n">
        <v>18.5</v>
      </c>
      <c r="E317" s="51" t="n">
        <v>83.5</v>
      </c>
      <c r="F317" s="51" t="n">
        <v>4.2</v>
      </c>
      <c r="G317" s="51" t="n">
        <v>12.5</v>
      </c>
      <c r="H317" s="51" t="n">
        <v>43.1</v>
      </c>
      <c r="I317" s="51" t="n">
        <v>51.4</v>
      </c>
      <c r="J317" s="51" t="n">
        <v>5.51</v>
      </c>
      <c r="K317" s="51" t="n">
        <v>4</v>
      </c>
      <c r="L317" s="51" t="n">
        <v>5</v>
      </c>
      <c r="M317" s="51" t="n">
        <v>0</v>
      </c>
      <c r="N317" s="51" t="n">
        <v>1</v>
      </c>
      <c r="O317" s="51" t="n">
        <v>4</v>
      </c>
      <c r="P317" s="51" t="n">
        <v>480</v>
      </c>
      <c r="Q317" s="51" t="n">
        <v>5</v>
      </c>
      <c r="R317" s="51" t="n">
        <v>750</v>
      </c>
      <c r="S317" s="51" t="n">
        <v>0</v>
      </c>
      <c r="T317" s="51" t="n">
        <v>5</v>
      </c>
      <c r="U317" s="51" t="n">
        <v>0</v>
      </c>
      <c r="V317" s="51" t="n">
        <v>0</v>
      </c>
      <c r="W317" s="51" t="n">
        <v>0</v>
      </c>
      <c r="X317" s="51" t="n">
        <v>0.381</v>
      </c>
    </row>
    <row r="318">
      <c r="A318" s="51" t="inlineStr">
        <is>
          <t>Sugarcane bagasse</t>
        </is>
      </c>
      <c r="B318" s="51" t="n">
        <v>36.5</v>
      </c>
      <c r="C318" s="51" t="n">
        <v>26</v>
      </c>
      <c r="D318" s="51" t="n">
        <v>18.5</v>
      </c>
      <c r="E318" s="51" t="n">
        <v>83.5</v>
      </c>
      <c r="F318" s="51" t="n">
        <v>4.2</v>
      </c>
      <c r="G318" s="51" t="n">
        <v>12.5</v>
      </c>
      <c r="H318" s="51" t="n">
        <v>43.1</v>
      </c>
      <c r="I318" s="51" t="n">
        <v>51.4</v>
      </c>
      <c r="J318" s="51" t="n">
        <v>5.51</v>
      </c>
      <c r="K318" s="51" t="n">
        <v>6</v>
      </c>
      <c r="L318" s="51" t="n">
        <v>5</v>
      </c>
      <c r="M318" s="51" t="n">
        <v>0</v>
      </c>
      <c r="N318" s="51" t="n">
        <v>1</v>
      </c>
      <c r="O318" s="51" t="n">
        <v>4</v>
      </c>
      <c r="P318" s="51" t="n">
        <v>480</v>
      </c>
      <c r="Q318" s="51" t="n">
        <v>5</v>
      </c>
      <c r="R318" s="51" t="n">
        <v>1050</v>
      </c>
      <c r="S318" s="51" t="n">
        <v>0</v>
      </c>
      <c r="T318" s="51" t="n">
        <v>5</v>
      </c>
      <c r="U318" s="51" t="n">
        <v>0</v>
      </c>
      <c r="V318" s="51" t="n">
        <v>0</v>
      </c>
      <c r="W318" s="51" t="n">
        <v>0</v>
      </c>
      <c r="X318" s="51" t="n">
        <v>0.382</v>
      </c>
    </row>
    <row r="319">
      <c r="A319" s="51" t="inlineStr">
        <is>
          <t>Sugarcane bagasse</t>
        </is>
      </c>
      <c r="B319" s="51" t="n">
        <v>36.5</v>
      </c>
      <c r="C319" s="51" t="n">
        <v>26</v>
      </c>
      <c r="D319" s="51" t="n">
        <v>18.5</v>
      </c>
      <c r="E319" s="51" t="n">
        <v>83.5</v>
      </c>
      <c r="F319" s="51" t="n">
        <v>4.2</v>
      </c>
      <c r="G319" s="51" t="n">
        <v>12.5</v>
      </c>
      <c r="H319" s="51" t="n">
        <v>43.1</v>
      </c>
      <c r="I319" s="51" t="n">
        <v>51.4</v>
      </c>
      <c r="J319" s="51" t="n">
        <v>5.51</v>
      </c>
      <c r="K319" s="51" t="n">
        <v>6</v>
      </c>
      <c r="L319" s="51" t="n">
        <v>5</v>
      </c>
      <c r="M319" s="51" t="n">
        <v>0</v>
      </c>
      <c r="N319" s="51" t="n">
        <v>1</v>
      </c>
      <c r="O319" s="51" t="n">
        <v>4</v>
      </c>
      <c r="P319" s="51" t="n">
        <v>480</v>
      </c>
      <c r="Q319" s="51" t="n">
        <v>5</v>
      </c>
      <c r="R319" s="51" t="n">
        <v>950</v>
      </c>
      <c r="S319" s="51" t="n">
        <v>0</v>
      </c>
      <c r="T319" s="51" t="n">
        <v>5</v>
      </c>
      <c r="U319" s="51" t="n">
        <v>0</v>
      </c>
      <c r="V319" s="51" t="n">
        <v>0</v>
      </c>
      <c r="W319" s="51" t="n">
        <v>0</v>
      </c>
      <c r="X319" s="51" t="n">
        <v>0.386</v>
      </c>
    </row>
    <row r="320">
      <c r="A320" s="51" t="inlineStr">
        <is>
          <t>Sugarcane bagasse</t>
        </is>
      </c>
      <c r="B320" s="51" t="n">
        <v>36.5</v>
      </c>
      <c r="C320" s="51" t="n">
        <v>26</v>
      </c>
      <c r="D320" s="51" t="n">
        <v>18.5</v>
      </c>
      <c r="E320" s="51" t="n">
        <v>83.5</v>
      </c>
      <c r="F320" s="51" t="n">
        <v>4.2</v>
      </c>
      <c r="G320" s="51" t="n">
        <v>12.5</v>
      </c>
      <c r="H320" s="51" t="n">
        <v>43.1</v>
      </c>
      <c r="I320" s="51" t="n">
        <v>51.4</v>
      </c>
      <c r="J320" s="51" t="n">
        <v>5.51</v>
      </c>
      <c r="K320" s="51" t="n">
        <v>6</v>
      </c>
      <c r="L320" s="51" t="n">
        <v>5</v>
      </c>
      <c r="M320" s="51" t="n">
        <v>0</v>
      </c>
      <c r="N320" s="51" t="n">
        <v>1</v>
      </c>
      <c r="O320" s="51" t="n">
        <v>4</v>
      </c>
      <c r="P320" s="51" t="n">
        <v>480</v>
      </c>
      <c r="Q320" s="51" t="n">
        <v>5</v>
      </c>
      <c r="R320" s="51" t="n">
        <v>850</v>
      </c>
      <c r="S320" s="51" t="n">
        <v>0</v>
      </c>
      <c r="T320" s="51" t="n">
        <v>5</v>
      </c>
      <c r="U320" s="51" t="n">
        <v>0</v>
      </c>
      <c r="V320" s="51" t="n">
        <v>0</v>
      </c>
      <c r="W320" s="51" t="n">
        <v>0</v>
      </c>
      <c r="X320" s="51" t="n">
        <v>0.389</v>
      </c>
    </row>
    <row r="321">
      <c r="A321" s="51" t="inlineStr">
        <is>
          <t>Sugarcane bagasse</t>
        </is>
      </c>
      <c r="B321" s="51" t="n">
        <v>36.5</v>
      </c>
      <c r="C321" s="51" t="n">
        <v>26</v>
      </c>
      <c r="D321" s="51" t="n">
        <v>18.5</v>
      </c>
      <c r="E321" s="51" t="n">
        <v>83.5</v>
      </c>
      <c r="F321" s="51" t="n">
        <v>4.2</v>
      </c>
      <c r="G321" s="51" t="n">
        <v>12.5</v>
      </c>
      <c r="H321" s="51" t="n">
        <v>43.1</v>
      </c>
      <c r="I321" s="51" t="n">
        <v>51.4</v>
      </c>
      <c r="J321" s="51" t="n">
        <v>5.51</v>
      </c>
      <c r="K321" s="51" t="n">
        <v>6</v>
      </c>
      <c r="L321" s="51" t="n">
        <v>5</v>
      </c>
      <c r="M321" s="51" t="n">
        <v>0</v>
      </c>
      <c r="N321" s="51" t="n">
        <v>1</v>
      </c>
      <c r="O321" s="51" t="n">
        <v>4</v>
      </c>
      <c r="P321" s="51" t="n">
        <v>480</v>
      </c>
      <c r="Q321" s="51" t="n">
        <v>5</v>
      </c>
      <c r="R321" s="51" t="n">
        <v>750</v>
      </c>
      <c r="S321" s="51" t="n">
        <v>0</v>
      </c>
      <c r="T321" s="51" t="n">
        <v>5</v>
      </c>
      <c r="U321" s="51" t="n">
        <v>0</v>
      </c>
      <c r="V321" s="51" t="n">
        <v>0</v>
      </c>
      <c r="W321" s="51" t="n">
        <v>0</v>
      </c>
      <c r="X321" s="51" t="n">
        <v>0.391</v>
      </c>
    </row>
    <row r="322">
      <c r="A322" s="51" t="inlineStr">
        <is>
          <t>Switchgrass</t>
        </is>
      </c>
      <c r="B322" s="51" t="n">
        <v>34.44</v>
      </c>
      <c r="C322" s="51" t="n">
        <v>28.84</v>
      </c>
      <c r="D322" s="51" t="n">
        <v>8.84</v>
      </c>
      <c r="E322" s="51" t="n">
        <v>79.76000000000001</v>
      </c>
      <c r="F322" s="51" t="n">
        <v>2.02</v>
      </c>
      <c r="G322" s="51" t="n">
        <v>18.22</v>
      </c>
      <c r="H322" s="51" t="n">
        <v>48.02</v>
      </c>
      <c r="I322" s="51" t="n">
        <v>44.19</v>
      </c>
      <c r="J322" s="51" t="n">
        <v>6.71</v>
      </c>
      <c r="K322" s="51" t="n">
        <v>4</v>
      </c>
      <c r="L322" s="51" t="n">
        <v>5</v>
      </c>
      <c r="M322" s="51" t="n">
        <v>1</v>
      </c>
      <c r="N322" s="51" t="n">
        <v>0</v>
      </c>
      <c r="O322" s="51" t="n">
        <v>4</v>
      </c>
      <c r="P322" s="51" t="n">
        <v>120</v>
      </c>
      <c r="Q322" s="51" t="n">
        <v>8.81070622596363</v>
      </c>
      <c r="R322" s="51" t="n">
        <v>160</v>
      </c>
      <c r="S322" s="51" t="n">
        <v>1</v>
      </c>
      <c r="T322" s="51" t="n">
        <v>5</v>
      </c>
      <c r="U322" s="51" t="n">
        <v>120</v>
      </c>
      <c r="V322" s="51" t="n">
        <v>0</v>
      </c>
      <c r="W322" s="51" t="n">
        <v>1600</v>
      </c>
      <c r="X322" s="51" t="n">
        <v>0.345</v>
      </c>
    </row>
    <row r="323">
      <c r="A323" s="51" t="inlineStr">
        <is>
          <t>Switchgrass</t>
        </is>
      </c>
      <c r="B323" s="51" t="n">
        <v>34.44</v>
      </c>
      <c r="C323" s="51" t="n">
        <v>28.84</v>
      </c>
      <c r="D323" s="51" t="n">
        <v>8.84</v>
      </c>
      <c r="E323" s="51" t="n">
        <v>79.76000000000001</v>
      </c>
      <c r="F323" s="51" t="n">
        <v>2.02</v>
      </c>
      <c r="G323" s="51" t="n">
        <v>18.22</v>
      </c>
      <c r="H323" s="51" t="n">
        <v>48.02</v>
      </c>
      <c r="I323" s="51" t="n">
        <v>44.19</v>
      </c>
      <c r="J323" s="51" t="n">
        <v>6.71</v>
      </c>
      <c r="K323" s="51" t="n">
        <v>4</v>
      </c>
      <c r="L323" s="51" t="n">
        <v>5</v>
      </c>
      <c r="M323" s="51" t="n">
        <v>1</v>
      </c>
      <c r="N323" s="51" t="n">
        <v>0</v>
      </c>
      <c r="O323" s="51" t="n">
        <v>4</v>
      </c>
      <c r="P323" s="51" t="n">
        <v>120</v>
      </c>
      <c r="Q323" s="51" t="n">
        <v>8.800967194493991</v>
      </c>
      <c r="R323" s="51" t="n">
        <v>190</v>
      </c>
      <c r="S323" s="51" t="n">
        <v>1</v>
      </c>
      <c r="T323" s="51" t="n">
        <v>5</v>
      </c>
      <c r="U323" s="51" t="n">
        <v>120</v>
      </c>
      <c r="V323" s="51" t="n">
        <v>0</v>
      </c>
      <c r="W323" s="51" t="n">
        <v>1600</v>
      </c>
      <c r="X323" s="51" t="n">
        <v>0.346</v>
      </c>
    </row>
    <row r="324">
      <c r="A324" s="51" t="inlineStr">
        <is>
          <t>Switchgrass</t>
        </is>
      </c>
      <c r="B324" s="51" t="n">
        <v>34.44</v>
      </c>
      <c r="C324" s="51" t="n">
        <v>28.84</v>
      </c>
      <c r="D324" s="51" t="n">
        <v>8.84</v>
      </c>
      <c r="E324" s="51" t="n">
        <v>79.76000000000001</v>
      </c>
      <c r="F324" s="51" t="n">
        <v>2.02</v>
      </c>
      <c r="G324" s="51" t="n">
        <v>18.22</v>
      </c>
      <c r="H324" s="51" t="n">
        <v>48.02</v>
      </c>
      <c r="I324" s="51" t="n">
        <v>44.19</v>
      </c>
      <c r="J324" s="51" t="n">
        <v>6.71</v>
      </c>
      <c r="K324" s="51" t="n">
        <v>4</v>
      </c>
      <c r="L324" s="51" t="n">
        <v>5</v>
      </c>
      <c r="M324" s="51" t="n">
        <v>1</v>
      </c>
      <c r="N324" s="51" t="n">
        <v>0</v>
      </c>
      <c r="O324" s="51" t="n">
        <v>4</v>
      </c>
      <c r="P324" s="51" t="n">
        <v>120</v>
      </c>
      <c r="Q324" s="51" t="n">
        <v>8.789432563128971</v>
      </c>
      <c r="R324" s="51" t="n">
        <v>220</v>
      </c>
      <c r="S324" s="51" t="n">
        <v>1</v>
      </c>
      <c r="T324" s="51" t="n">
        <v>5</v>
      </c>
      <c r="U324" s="51" t="n">
        <v>120</v>
      </c>
      <c r="V324" s="51" t="n">
        <v>0</v>
      </c>
      <c r="W324" s="51" t="n">
        <v>1600</v>
      </c>
      <c r="X324" s="51" t="n">
        <v>0.346</v>
      </c>
    </row>
    <row r="325">
      <c r="A325" s="51" t="inlineStr">
        <is>
          <t>Switchgrass</t>
        </is>
      </c>
      <c r="B325" s="51" t="n">
        <v>34.44</v>
      </c>
      <c r="C325" s="51" t="n">
        <v>28.84</v>
      </c>
      <c r="D325" s="51" t="n">
        <v>8.84</v>
      </c>
      <c r="E325" s="51" t="n">
        <v>79.76000000000001</v>
      </c>
      <c r="F325" s="51" t="n">
        <v>2.02</v>
      </c>
      <c r="G325" s="51" t="n">
        <v>18.22</v>
      </c>
      <c r="H325" s="51" t="n">
        <v>48.02</v>
      </c>
      <c r="I325" s="51" t="n">
        <v>44.19</v>
      </c>
      <c r="J325" s="51" t="n">
        <v>6.71</v>
      </c>
      <c r="K325" s="51" t="n">
        <v>4</v>
      </c>
      <c r="L325" s="51" t="n">
        <v>5</v>
      </c>
      <c r="M325" s="51" t="n">
        <v>0</v>
      </c>
      <c r="N325" s="51" t="n">
        <v>1</v>
      </c>
      <c r="O325" s="51" t="n">
        <v>4</v>
      </c>
      <c r="P325" s="51" t="n">
        <v>120</v>
      </c>
      <c r="Q325" s="51" t="n">
        <v>4.02956718345869</v>
      </c>
      <c r="R325" s="51" t="n">
        <v>1600</v>
      </c>
      <c r="S325" s="51" t="n">
        <v>0</v>
      </c>
      <c r="T325" s="51" t="n">
        <v>5</v>
      </c>
      <c r="U325" s="51" t="n">
        <v>0</v>
      </c>
      <c r="V325" s="51" t="n">
        <v>0</v>
      </c>
      <c r="W325" s="51" t="n">
        <v>0</v>
      </c>
      <c r="X325" s="51" t="n">
        <v>0.348</v>
      </c>
    </row>
    <row r="326">
      <c r="A326" s="51" t="inlineStr">
        <is>
          <t>Swtich grass</t>
        </is>
      </c>
      <c r="B326" s="51" t="n">
        <v>34.44</v>
      </c>
      <c r="C326" s="51" t="n">
        <v>28.84</v>
      </c>
      <c r="D326" s="51" t="n">
        <v>8.84</v>
      </c>
      <c r="E326" s="51" t="n">
        <v>79.76000000000001</v>
      </c>
      <c r="F326" s="51" t="n">
        <v>2.02</v>
      </c>
      <c r="G326" s="51" t="n">
        <v>18.22</v>
      </c>
      <c r="H326" s="51" t="n">
        <v>48.02</v>
      </c>
      <c r="I326" s="51" t="n">
        <v>44.19</v>
      </c>
      <c r="J326" s="51" t="n">
        <v>6.71</v>
      </c>
      <c r="K326" s="51" t="n">
        <v>4</v>
      </c>
      <c r="L326" s="51" t="n">
        <v>5</v>
      </c>
      <c r="M326" s="51" t="n">
        <v>0</v>
      </c>
      <c r="N326" s="51" t="n">
        <v>1</v>
      </c>
      <c r="O326" s="51" t="n">
        <v>4</v>
      </c>
      <c r="P326" s="51" t="n">
        <v>120</v>
      </c>
      <c r="Q326" s="51" t="n">
        <v>4.02956723555073</v>
      </c>
      <c r="R326" s="51" t="n">
        <v>1600</v>
      </c>
      <c r="S326" s="51" t="n">
        <v>0</v>
      </c>
      <c r="T326" s="51" t="n">
        <v>5</v>
      </c>
      <c r="U326" s="51" t="n">
        <v>0</v>
      </c>
      <c r="V326" s="51" t="n">
        <v>0</v>
      </c>
      <c r="W326" s="51" t="n">
        <v>0</v>
      </c>
      <c r="X326" s="51" t="n">
        <v>0.345</v>
      </c>
    </row>
    <row r="327">
      <c r="A327" s="51" t="inlineStr">
        <is>
          <t>Swtich grass</t>
        </is>
      </c>
      <c r="B327" s="51" t="n">
        <v>34.44</v>
      </c>
      <c r="C327" s="51" t="n">
        <v>28.84</v>
      </c>
      <c r="D327" s="51" t="n">
        <v>8.84</v>
      </c>
      <c r="E327" s="51" t="n">
        <v>79.76000000000001</v>
      </c>
      <c r="F327" s="51" t="n">
        <v>2.02</v>
      </c>
      <c r="G327" s="51" t="n">
        <v>18.22</v>
      </c>
      <c r="H327" s="51" t="n">
        <v>48.02</v>
      </c>
      <c r="I327" s="51" t="n">
        <v>44.19</v>
      </c>
      <c r="J327" s="51" t="n">
        <v>6.71</v>
      </c>
      <c r="K327" s="51" t="n">
        <v>4</v>
      </c>
      <c r="L327" s="51" t="n">
        <v>5</v>
      </c>
      <c r="M327" s="51" t="n">
        <v>1</v>
      </c>
      <c r="N327" s="51" t="n">
        <v>0</v>
      </c>
      <c r="O327" s="51" t="n">
        <v>4</v>
      </c>
      <c r="P327" s="51" t="n">
        <v>720</v>
      </c>
      <c r="Q327" s="51" t="n">
        <v>4.83004309394165</v>
      </c>
      <c r="R327" s="51" t="n">
        <v>160</v>
      </c>
      <c r="S327" s="51" t="n">
        <v>1</v>
      </c>
      <c r="T327" s="51" t="n">
        <v>5</v>
      </c>
      <c r="U327" s="51" t="n">
        <v>120</v>
      </c>
      <c r="V327" s="51" t="n">
        <v>0</v>
      </c>
      <c r="W327" s="51" t="n">
        <v>1600</v>
      </c>
      <c r="X327" s="51" t="n">
        <v>0.346</v>
      </c>
    </row>
    <row r="328">
      <c r="A328" s="51" t="inlineStr">
        <is>
          <t>Tamarind fruits</t>
        </is>
      </c>
      <c r="B328" s="51" t="n">
        <v>20</v>
      </c>
      <c r="C328" s="51" t="n">
        <v>14</v>
      </c>
      <c r="D328" s="51" t="n">
        <v>12</v>
      </c>
      <c r="E328" s="51" t="n">
        <v>68</v>
      </c>
      <c r="F328" s="51" t="n">
        <v>1.79</v>
      </c>
      <c r="G328" s="51" t="n">
        <v>26.08</v>
      </c>
      <c r="H328" s="51" t="n">
        <v>46.62</v>
      </c>
      <c r="I328" s="51" t="n">
        <v>42.88</v>
      </c>
      <c r="J328" s="51" t="n">
        <v>5.67</v>
      </c>
      <c r="K328" s="51" t="n">
        <v>6</v>
      </c>
      <c r="L328" s="51" t="n">
        <v>5</v>
      </c>
      <c r="M328" s="51" t="n">
        <v>0</v>
      </c>
      <c r="N328" s="51" t="n">
        <v>1</v>
      </c>
      <c r="O328" s="51" t="n">
        <v>4</v>
      </c>
      <c r="P328" s="51" t="n">
        <v>115.153340061384</v>
      </c>
      <c r="Q328" s="51" t="n">
        <v>5</v>
      </c>
      <c r="R328" s="51" t="n">
        <v>800</v>
      </c>
      <c r="S328" s="51" t="n">
        <v>0</v>
      </c>
      <c r="T328" s="51" t="n">
        <v>5</v>
      </c>
      <c r="U328" s="51" t="n">
        <v>0</v>
      </c>
      <c r="V328" s="51" t="n">
        <v>0</v>
      </c>
      <c r="W328" s="51" t="n">
        <v>0</v>
      </c>
      <c r="X328" s="51" t="n">
        <v>0.4205</v>
      </c>
    </row>
    <row r="329">
      <c r="A329" s="51" t="inlineStr">
        <is>
          <t>Tamarind fruits</t>
        </is>
      </c>
      <c r="B329" s="51" t="n">
        <v>20</v>
      </c>
      <c r="C329" s="51" t="n">
        <v>14</v>
      </c>
      <c r="D329" s="51" t="n">
        <v>12</v>
      </c>
      <c r="E329" s="51" t="n">
        <v>68</v>
      </c>
      <c r="F329" s="51" t="n">
        <v>1.79</v>
      </c>
      <c r="G329" s="51" t="n">
        <v>26.08</v>
      </c>
      <c r="H329" s="51" t="n">
        <v>46.62</v>
      </c>
      <c r="I329" s="51" t="n">
        <v>42.88</v>
      </c>
      <c r="J329" s="51" t="n">
        <v>5.67</v>
      </c>
      <c r="K329" s="51" t="n">
        <v>6</v>
      </c>
      <c r="L329" s="51" t="n">
        <v>5</v>
      </c>
      <c r="M329" s="51" t="n">
        <v>0</v>
      </c>
      <c r="N329" s="51" t="n">
        <v>1</v>
      </c>
      <c r="O329" s="51" t="n">
        <v>4</v>
      </c>
      <c r="P329" s="51" t="n">
        <v>120</v>
      </c>
      <c r="Q329" s="51" t="n">
        <v>5</v>
      </c>
      <c r="R329" s="51" t="n">
        <v>1000</v>
      </c>
      <c r="S329" s="51" t="n">
        <v>0</v>
      </c>
      <c r="T329" s="51" t="n">
        <v>5</v>
      </c>
      <c r="U329" s="51" t="n">
        <v>0</v>
      </c>
      <c r="V329" s="51" t="n">
        <v>0</v>
      </c>
      <c r="W329" s="51" t="n">
        <v>0</v>
      </c>
      <c r="X329" s="51" t="n">
        <v>0.4163</v>
      </c>
    </row>
    <row r="330">
      <c r="A330" s="51" t="inlineStr">
        <is>
          <t>Tamarind fruits</t>
        </is>
      </c>
      <c r="B330" s="51" t="n">
        <v>20</v>
      </c>
      <c r="C330" s="51" t="n">
        <v>14</v>
      </c>
      <c r="D330" s="51" t="n">
        <v>12</v>
      </c>
      <c r="E330" s="51" t="n">
        <v>68</v>
      </c>
      <c r="F330" s="51" t="n">
        <v>1.79</v>
      </c>
      <c r="G330" s="51" t="n">
        <v>26.08</v>
      </c>
      <c r="H330" s="51" t="n">
        <v>46.62</v>
      </c>
      <c r="I330" s="51" t="n">
        <v>42.88</v>
      </c>
      <c r="J330" s="51" t="n">
        <v>5.67</v>
      </c>
      <c r="K330" s="51" t="n">
        <v>6</v>
      </c>
      <c r="L330" s="51" t="n">
        <v>5</v>
      </c>
      <c r="M330" s="51" t="n">
        <v>0</v>
      </c>
      <c r="N330" s="51" t="n">
        <v>1</v>
      </c>
      <c r="O330" s="51" t="n">
        <v>4</v>
      </c>
      <c r="P330" s="51" t="n">
        <v>145.111614066966</v>
      </c>
      <c r="Q330" s="51" t="n">
        <v>5</v>
      </c>
      <c r="R330" s="51" t="n">
        <v>1100</v>
      </c>
      <c r="S330" s="51" t="n">
        <v>0</v>
      </c>
      <c r="T330" s="51" t="n">
        <v>5</v>
      </c>
      <c r="U330" s="51" t="n">
        <v>0</v>
      </c>
      <c r="V330" s="51" t="n">
        <v>0</v>
      </c>
      <c r="W330" s="51" t="n">
        <v>0</v>
      </c>
      <c r="X330" s="51" t="n">
        <v>0.3954</v>
      </c>
    </row>
    <row r="331">
      <c r="A331" s="51" t="inlineStr">
        <is>
          <t>Tamarind fruits</t>
        </is>
      </c>
      <c r="B331" s="51" t="n">
        <v>20</v>
      </c>
      <c r="C331" s="51" t="n">
        <v>14</v>
      </c>
      <c r="D331" s="51" t="n">
        <v>12</v>
      </c>
      <c r="E331" s="51" t="n">
        <v>68</v>
      </c>
      <c r="F331" s="51" t="n">
        <v>1.79</v>
      </c>
      <c r="G331" s="51" t="n">
        <v>26.08</v>
      </c>
      <c r="H331" s="51" t="n">
        <v>46.62</v>
      </c>
      <c r="I331" s="51" t="n">
        <v>42.88</v>
      </c>
      <c r="J331" s="51" t="n">
        <v>5.67</v>
      </c>
      <c r="K331" s="51" t="n">
        <v>6</v>
      </c>
      <c r="L331" s="51" t="n">
        <v>1</v>
      </c>
      <c r="M331" s="51" t="n">
        <v>0</v>
      </c>
      <c r="N331" s="51" t="n">
        <v>1</v>
      </c>
      <c r="O331" s="51" t="n">
        <v>4</v>
      </c>
      <c r="P331" s="51" t="n">
        <v>114.115658494715</v>
      </c>
      <c r="Q331" s="51" t="n">
        <v>5</v>
      </c>
      <c r="R331" s="51" t="n">
        <v>1200</v>
      </c>
      <c r="S331" s="51" t="n">
        <v>0</v>
      </c>
      <c r="T331" s="51" t="n">
        <v>5</v>
      </c>
      <c r="U331" s="51" t="n">
        <v>0</v>
      </c>
      <c r="V331" s="51" t="n">
        <v>0</v>
      </c>
      <c r="W331" s="51" t="n">
        <v>0</v>
      </c>
      <c r="X331" s="51" t="n">
        <v>0.3812</v>
      </c>
    </row>
    <row r="332">
      <c r="A332" s="51" t="inlineStr">
        <is>
          <t>Tamarind fruits</t>
        </is>
      </c>
      <c r="B332" s="51" t="n">
        <v>20</v>
      </c>
      <c r="C332" s="51" t="n">
        <v>14</v>
      </c>
      <c r="D332" s="51" t="n">
        <v>12</v>
      </c>
      <c r="E332" s="51" t="n">
        <v>68</v>
      </c>
      <c r="F332" s="51" t="n">
        <v>1.79</v>
      </c>
      <c r="G332" s="51" t="n">
        <v>26.08</v>
      </c>
      <c r="H332" s="51" t="n">
        <v>46.62</v>
      </c>
      <c r="I332" s="51" t="n">
        <v>42.88</v>
      </c>
      <c r="J332" s="51" t="n">
        <v>5.67</v>
      </c>
      <c r="K332" s="51" t="n">
        <v>6</v>
      </c>
      <c r="L332" s="51" t="n">
        <v>5</v>
      </c>
      <c r="M332" s="51" t="n">
        <v>0</v>
      </c>
      <c r="N332" s="51" t="n">
        <v>1</v>
      </c>
      <c r="O332" s="51" t="n">
        <v>4</v>
      </c>
      <c r="P332" s="51" t="n">
        <v>113.596110773381</v>
      </c>
      <c r="Q332" s="51" t="n">
        <v>5</v>
      </c>
      <c r="R332" s="51" t="n">
        <v>1200</v>
      </c>
      <c r="S332" s="51" t="n">
        <v>0</v>
      </c>
      <c r="T332" s="51" t="n">
        <v>5</v>
      </c>
      <c r="U332" s="51" t="n">
        <v>0</v>
      </c>
      <c r="V332" s="51" t="n">
        <v>0</v>
      </c>
      <c r="W332" s="51" t="n">
        <v>0</v>
      </c>
      <c r="X332" s="51" t="n">
        <v>0.4028</v>
      </c>
    </row>
    <row r="333">
      <c r="A333" s="51" t="inlineStr">
        <is>
          <t>Tamarind fruits</t>
        </is>
      </c>
      <c r="B333" s="51" t="n">
        <v>20</v>
      </c>
      <c r="C333" s="51" t="n">
        <v>14</v>
      </c>
      <c r="D333" s="51" t="n">
        <v>12</v>
      </c>
      <c r="E333" s="51" t="n">
        <v>68</v>
      </c>
      <c r="F333" s="51" t="n">
        <v>1.79</v>
      </c>
      <c r="G333" s="51" t="n">
        <v>26.08</v>
      </c>
      <c r="H333" s="51" t="n">
        <v>46.62</v>
      </c>
      <c r="I333" s="51" t="n">
        <v>42.88</v>
      </c>
      <c r="J333" s="51" t="n">
        <v>5.67</v>
      </c>
      <c r="K333" s="51" t="n">
        <v>6</v>
      </c>
      <c r="L333" s="51" t="n">
        <v>5</v>
      </c>
      <c r="M333" s="51" t="n">
        <v>0</v>
      </c>
      <c r="N333" s="51" t="n">
        <v>1</v>
      </c>
      <c r="O333" s="51" t="n">
        <v>4</v>
      </c>
      <c r="P333" s="51" t="n">
        <v>113.535596005612</v>
      </c>
      <c r="Q333" s="51" t="n">
        <v>5</v>
      </c>
      <c r="R333" s="51" t="n">
        <v>1300</v>
      </c>
      <c r="S333" s="51" t="n">
        <v>0</v>
      </c>
      <c r="T333" s="51" t="n">
        <v>5</v>
      </c>
      <c r="U333" s="51" t="n">
        <v>0</v>
      </c>
      <c r="V333" s="51" t="n">
        <v>0</v>
      </c>
      <c r="W333" s="51" t="n">
        <v>0</v>
      </c>
      <c r="X333" s="51" t="n">
        <v>0.3829</v>
      </c>
    </row>
    <row r="334">
      <c r="A334" s="51" t="inlineStr">
        <is>
          <t>Tea</t>
        </is>
      </c>
      <c r="B334" s="51" t="n">
        <v>31.58</v>
      </c>
      <c r="C334" s="51" t="n">
        <v>21.02</v>
      </c>
      <c r="D334" s="51" t="n">
        <v>27.53</v>
      </c>
      <c r="E334" s="51" t="n">
        <v>84.8</v>
      </c>
      <c r="F334" s="51" t="n">
        <v>1.3</v>
      </c>
      <c r="G334" s="51" t="n">
        <v>13.9</v>
      </c>
      <c r="H334" s="51" t="n">
        <v>53.01</v>
      </c>
      <c r="I334" s="51" t="n">
        <v>36.89</v>
      </c>
      <c r="J334" s="51" t="n">
        <v>5.9</v>
      </c>
      <c r="K334" s="51" t="n">
        <v>1</v>
      </c>
      <c r="L334" s="51" t="n">
        <v>5</v>
      </c>
      <c r="M334" s="51" t="n">
        <v>0</v>
      </c>
      <c r="N334" s="51" t="n">
        <v>1</v>
      </c>
      <c r="O334" s="51" t="n">
        <v>4</v>
      </c>
      <c r="P334" s="51" t="n">
        <v>120</v>
      </c>
      <c r="Q334" s="51" t="n">
        <v>5</v>
      </c>
      <c r="R334" s="51" t="n">
        <v>1600</v>
      </c>
      <c r="S334" s="51" t="n">
        <v>0</v>
      </c>
      <c r="T334" s="51" t="n">
        <v>5</v>
      </c>
      <c r="U334" s="51" t="n">
        <v>0</v>
      </c>
      <c r="V334" s="51" t="n">
        <v>0</v>
      </c>
      <c r="W334" s="51" t="n">
        <v>0</v>
      </c>
      <c r="X334" s="51" t="n">
        <v>0.366</v>
      </c>
    </row>
    <row r="335">
      <c r="A335" s="51" t="inlineStr">
        <is>
          <t>Tea</t>
        </is>
      </c>
      <c r="B335" s="51" t="n">
        <v>31.58</v>
      </c>
      <c r="C335" s="51" t="n">
        <v>21.02</v>
      </c>
      <c r="D335" s="51" t="n">
        <v>27.53</v>
      </c>
      <c r="E335" s="51" t="n">
        <v>84.8</v>
      </c>
      <c r="F335" s="51" t="n">
        <v>1.3</v>
      </c>
      <c r="G335" s="51" t="n">
        <v>13.9</v>
      </c>
      <c r="H335" s="51" t="n">
        <v>53.01</v>
      </c>
      <c r="I335" s="51" t="n">
        <v>36.89</v>
      </c>
      <c r="J335" s="51" t="n">
        <v>5.9</v>
      </c>
      <c r="K335" s="51" t="n">
        <v>1</v>
      </c>
      <c r="L335" s="51" t="n">
        <v>5</v>
      </c>
      <c r="M335" s="51" t="n">
        <v>0</v>
      </c>
      <c r="N335" s="51" t="n">
        <v>1</v>
      </c>
      <c r="O335" s="51" t="n">
        <v>4</v>
      </c>
      <c r="P335" s="51" t="n">
        <v>120</v>
      </c>
      <c r="Q335" s="51" t="n">
        <v>5</v>
      </c>
      <c r="R335" s="51" t="n">
        <v>1400</v>
      </c>
      <c r="S335" s="51" t="n">
        <v>0</v>
      </c>
      <c r="T335" s="51" t="n">
        <v>5</v>
      </c>
      <c r="U335" s="51" t="n">
        <v>0</v>
      </c>
      <c r="V335" s="51" t="n">
        <v>0</v>
      </c>
      <c r="W335" s="51" t="n">
        <v>0</v>
      </c>
      <c r="X335" s="51" t="n">
        <v>0.373</v>
      </c>
    </row>
    <row r="336">
      <c r="A336" s="51" t="inlineStr">
        <is>
          <t>Tea</t>
        </is>
      </c>
      <c r="B336" s="51" t="n">
        <v>31.58</v>
      </c>
      <c r="C336" s="51" t="n">
        <v>21.02</v>
      </c>
      <c r="D336" s="51" t="n">
        <v>27.53</v>
      </c>
      <c r="E336" s="51" t="n">
        <v>84.8</v>
      </c>
      <c r="F336" s="51" t="n">
        <v>1.3</v>
      </c>
      <c r="G336" s="51" t="n">
        <v>13.9</v>
      </c>
      <c r="H336" s="51" t="n">
        <v>53.01</v>
      </c>
      <c r="I336" s="51" t="n">
        <v>36.89</v>
      </c>
      <c r="J336" s="51" t="n">
        <v>5.9</v>
      </c>
      <c r="K336" s="51" t="n">
        <v>1</v>
      </c>
      <c r="L336" s="51" t="n">
        <v>5</v>
      </c>
      <c r="M336" s="51" t="n">
        <v>0</v>
      </c>
      <c r="N336" s="51" t="n">
        <v>1</v>
      </c>
      <c r="O336" s="51" t="n">
        <v>4</v>
      </c>
      <c r="P336" s="51" t="n">
        <v>120</v>
      </c>
      <c r="Q336" s="51" t="n">
        <v>5</v>
      </c>
      <c r="R336" s="51" t="n">
        <v>1200</v>
      </c>
      <c r="S336" s="51" t="n">
        <v>0</v>
      </c>
      <c r="T336" s="51" t="n">
        <v>5</v>
      </c>
      <c r="U336" s="51" t="n">
        <v>0</v>
      </c>
      <c r="V336" s="51" t="n">
        <v>0</v>
      </c>
      <c r="W336" s="51" t="n">
        <v>0</v>
      </c>
      <c r="X336" s="51" t="n">
        <v>0.375</v>
      </c>
    </row>
    <row r="337">
      <c r="A337" s="51" t="inlineStr">
        <is>
          <t>Tea</t>
        </is>
      </c>
      <c r="B337" s="51" t="n">
        <v>31.58</v>
      </c>
      <c r="C337" s="51" t="n">
        <v>21.02</v>
      </c>
      <c r="D337" s="51" t="n">
        <v>27.53</v>
      </c>
      <c r="E337" s="51" t="n">
        <v>84.8</v>
      </c>
      <c r="F337" s="51" t="n">
        <v>1.3</v>
      </c>
      <c r="G337" s="51" t="n">
        <v>13.9</v>
      </c>
      <c r="H337" s="51" t="n">
        <v>53.01</v>
      </c>
      <c r="I337" s="51" t="n">
        <v>36.89</v>
      </c>
      <c r="J337" s="51" t="n">
        <v>5.9</v>
      </c>
      <c r="K337" s="51" t="n">
        <v>1</v>
      </c>
      <c r="L337" s="51" t="n">
        <v>5</v>
      </c>
      <c r="M337" s="51" t="n">
        <v>0</v>
      </c>
      <c r="N337" s="51" t="n">
        <v>1</v>
      </c>
      <c r="O337" s="51" t="n">
        <v>4</v>
      </c>
      <c r="P337" s="51" t="n">
        <v>120</v>
      </c>
      <c r="Q337" s="51" t="n">
        <v>5</v>
      </c>
      <c r="R337" s="51" t="n">
        <v>1000</v>
      </c>
      <c r="S337" s="51" t="n">
        <v>0</v>
      </c>
      <c r="T337" s="51" t="n">
        <v>5</v>
      </c>
      <c r="U337" s="51" t="n">
        <v>0</v>
      </c>
      <c r="V337" s="51" t="n">
        <v>0</v>
      </c>
      <c r="W337" s="51" t="n">
        <v>0</v>
      </c>
      <c r="X337" s="51" t="n">
        <v>0.379</v>
      </c>
    </row>
    <row r="338">
      <c r="A338" s="51" t="inlineStr">
        <is>
          <t>Typha</t>
        </is>
      </c>
      <c r="B338" s="51" t="n">
        <v>34.5</v>
      </c>
      <c r="C338" s="51" t="n">
        <v>28</v>
      </c>
      <c r="D338" s="51" t="n">
        <v>8</v>
      </c>
      <c r="E338" s="51" t="n">
        <v>80.05</v>
      </c>
      <c r="F338" s="51" t="n">
        <v>3.81</v>
      </c>
      <c r="G338" s="51" t="n">
        <v>2.18</v>
      </c>
      <c r="H338" s="51" t="n">
        <v>52.89</v>
      </c>
      <c r="I338" s="51" t="n">
        <v>40.04</v>
      </c>
      <c r="J338" s="51" t="n">
        <v>5.84</v>
      </c>
      <c r="K338" s="51" t="n">
        <v>6</v>
      </c>
      <c r="L338" s="51" t="n">
        <v>1</v>
      </c>
      <c r="M338" s="51" t="n">
        <v>0</v>
      </c>
      <c r="N338" s="51" t="n">
        <v>1</v>
      </c>
      <c r="O338" s="51" t="n">
        <v>2</v>
      </c>
      <c r="P338" s="51" t="n">
        <v>120</v>
      </c>
      <c r="Q338" s="51" t="n">
        <v>2</v>
      </c>
      <c r="R338" s="51" t="n">
        <v>500</v>
      </c>
      <c r="S338" s="51" t="n">
        <v>0</v>
      </c>
      <c r="T338" s="51" t="n">
        <v>5</v>
      </c>
      <c r="U338" s="51" t="n">
        <v>0</v>
      </c>
      <c r="V338" s="51" t="n">
        <v>0</v>
      </c>
      <c r="W338" s="51" t="n">
        <v>0</v>
      </c>
      <c r="X338" s="51" t="n">
        <v>0.361</v>
      </c>
    </row>
    <row r="339">
      <c r="A339" s="51" t="inlineStr">
        <is>
          <t>Vine Shoots</t>
        </is>
      </c>
      <c r="B339" s="51" t="n">
        <v>31.9</v>
      </c>
      <c r="C339" s="51" t="n">
        <v>23.2</v>
      </c>
      <c r="D339" s="51" t="n">
        <v>38.5</v>
      </c>
      <c r="E339" s="51" t="n">
        <v>71.40000000000001</v>
      </c>
      <c r="F339" s="51" t="n">
        <v>3.7</v>
      </c>
      <c r="G339" s="51" t="n">
        <v>14.6</v>
      </c>
      <c r="H339" s="51" t="n">
        <v>41.8</v>
      </c>
      <c r="I339" s="51" t="n">
        <v>51.6</v>
      </c>
      <c r="J339" s="51" t="n">
        <v>5.87</v>
      </c>
      <c r="K339" s="51" t="n">
        <v>4</v>
      </c>
      <c r="L339" s="51" t="n">
        <v>1</v>
      </c>
      <c r="M339" s="51" t="n">
        <v>1</v>
      </c>
      <c r="N339" s="51" t="n">
        <v>0</v>
      </c>
      <c r="O339" s="51" t="n">
        <v>4</v>
      </c>
      <c r="P339" s="51" t="n">
        <v>720</v>
      </c>
      <c r="Q339" s="51" t="n">
        <v>5</v>
      </c>
      <c r="R339" s="51" t="n">
        <v>180</v>
      </c>
      <c r="S339" s="51" t="n">
        <v>1</v>
      </c>
      <c r="T339" s="51" t="n">
        <v>5</v>
      </c>
      <c r="U339" s="51" t="n">
        <v>120</v>
      </c>
      <c r="V339" s="51" t="n">
        <v>5</v>
      </c>
      <c r="W339" s="51" t="n">
        <v>1200</v>
      </c>
      <c r="X339" s="51" t="n">
        <v>0.379</v>
      </c>
    </row>
    <row r="340">
      <c r="A340" s="51" t="inlineStr">
        <is>
          <t>Vine Shoots</t>
        </is>
      </c>
      <c r="B340" s="51" t="n">
        <v>31.9</v>
      </c>
      <c r="C340" s="51" t="n">
        <v>23.2</v>
      </c>
      <c r="D340" s="51" t="n">
        <v>38.5</v>
      </c>
      <c r="E340" s="51" t="n">
        <v>71.40000000000001</v>
      </c>
      <c r="F340" s="51" t="n">
        <v>3.7</v>
      </c>
      <c r="G340" s="51" t="n">
        <v>14.6</v>
      </c>
      <c r="H340" s="51" t="n">
        <v>41.8</v>
      </c>
      <c r="I340" s="51" t="n">
        <v>51.6</v>
      </c>
      <c r="J340" s="51" t="n">
        <v>5.87</v>
      </c>
      <c r="K340" s="51" t="n">
        <v>4</v>
      </c>
      <c r="L340" s="51" t="n">
        <v>1</v>
      </c>
      <c r="M340" s="51" t="n">
        <v>1</v>
      </c>
      <c r="N340" s="51" t="n">
        <v>0</v>
      </c>
      <c r="O340" s="51" t="n">
        <v>4</v>
      </c>
      <c r="P340" s="51" t="n">
        <v>720</v>
      </c>
      <c r="Q340" s="51" t="n">
        <v>5</v>
      </c>
      <c r="R340" s="51" t="n">
        <v>180</v>
      </c>
      <c r="S340" s="51" t="n">
        <v>1</v>
      </c>
      <c r="T340" s="51" t="n">
        <v>5</v>
      </c>
      <c r="U340" s="51" t="n">
        <v>120</v>
      </c>
      <c r="V340" s="51" t="n">
        <v>5</v>
      </c>
      <c r="W340" s="51" t="n">
        <v>1000</v>
      </c>
      <c r="X340" s="51" t="n">
        <v>0.381</v>
      </c>
    </row>
    <row r="341">
      <c r="A341" s="51" t="inlineStr">
        <is>
          <t>Vine Shoots</t>
        </is>
      </c>
      <c r="B341" s="51" t="n">
        <v>31.9</v>
      </c>
      <c r="C341" s="51" t="n">
        <v>23.2</v>
      </c>
      <c r="D341" s="51" t="n">
        <v>38.5</v>
      </c>
      <c r="E341" s="51" t="n">
        <v>71.40000000000001</v>
      </c>
      <c r="F341" s="51" t="n">
        <v>3.7</v>
      </c>
      <c r="G341" s="51" t="n">
        <v>14.6</v>
      </c>
      <c r="H341" s="51" t="n">
        <v>41.8</v>
      </c>
      <c r="I341" s="51" t="n">
        <v>51.6</v>
      </c>
      <c r="J341" s="51" t="n">
        <v>5.87</v>
      </c>
      <c r="K341" s="51" t="n">
        <v>4</v>
      </c>
      <c r="L341" s="51" t="n">
        <v>1</v>
      </c>
      <c r="M341" s="51" t="n">
        <v>1</v>
      </c>
      <c r="N341" s="51" t="n">
        <v>0</v>
      </c>
      <c r="O341" s="51" t="n">
        <v>4</v>
      </c>
      <c r="P341" s="51" t="n">
        <v>720</v>
      </c>
      <c r="Q341" s="51" t="n">
        <v>5</v>
      </c>
      <c r="R341" s="51" t="n">
        <v>180</v>
      </c>
      <c r="S341" s="51" t="n">
        <v>1</v>
      </c>
      <c r="T341" s="51" t="n">
        <v>5</v>
      </c>
      <c r="U341" s="51" t="n">
        <v>120</v>
      </c>
      <c r="V341" s="51" t="n">
        <v>5</v>
      </c>
      <c r="W341" s="51" t="n">
        <v>1000</v>
      </c>
      <c r="X341" s="51" t="n">
        <v>0.381</v>
      </c>
    </row>
    <row r="342">
      <c r="A342" s="51" t="inlineStr">
        <is>
          <t>Vine Shoots</t>
        </is>
      </c>
      <c r="B342" s="51" t="n">
        <v>31.9</v>
      </c>
      <c r="C342" s="51" t="n">
        <v>23.2</v>
      </c>
      <c r="D342" s="51" t="n">
        <v>38.5</v>
      </c>
      <c r="E342" s="51" t="n">
        <v>71.40000000000001</v>
      </c>
      <c r="F342" s="51" t="n">
        <v>3.7</v>
      </c>
      <c r="G342" s="51" t="n">
        <v>14.6</v>
      </c>
      <c r="H342" s="51" t="n">
        <v>41.8</v>
      </c>
      <c r="I342" s="51" t="n">
        <v>51.6</v>
      </c>
      <c r="J342" s="51" t="n">
        <v>5.87</v>
      </c>
      <c r="K342" s="51" t="n">
        <v>4</v>
      </c>
      <c r="L342" s="51" t="n">
        <v>1</v>
      </c>
      <c r="M342" s="51" t="n">
        <v>1</v>
      </c>
      <c r="N342" s="51" t="n">
        <v>0</v>
      </c>
      <c r="O342" s="51" t="n">
        <v>4</v>
      </c>
      <c r="P342" s="51" t="n">
        <v>720</v>
      </c>
      <c r="Q342" s="51" t="n">
        <v>5</v>
      </c>
      <c r="R342" s="51" t="n">
        <v>180</v>
      </c>
      <c r="S342" s="51" t="n">
        <v>1</v>
      </c>
      <c r="T342" s="51" t="n">
        <v>5</v>
      </c>
      <c r="U342" s="51" t="n">
        <v>120</v>
      </c>
      <c r="V342" s="51" t="n">
        <v>5</v>
      </c>
      <c r="W342" s="51" t="n">
        <v>800</v>
      </c>
      <c r="X342" s="51" t="n">
        <v>0.385</v>
      </c>
    </row>
    <row r="343">
      <c r="A343" s="51" t="inlineStr">
        <is>
          <t>Walnut shell</t>
        </is>
      </c>
      <c r="B343" s="51" t="n">
        <v>42.36</v>
      </c>
      <c r="C343" s="51" t="n">
        <v>10.26</v>
      </c>
      <c r="D343" s="51" t="n">
        <v>27.19</v>
      </c>
      <c r="E343" s="51" t="n">
        <v>71.52</v>
      </c>
      <c r="F343" s="51" t="n">
        <v>1.65</v>
      </c>
      <c r="G343" s="51" t="n">
        <v>19.33</v>
      </c>
      <c r="H343" s="51" t="n">
        <v>46.65</v>
      </c>
      <c r="I343" s="51" t="n">
        <v>47.54</v>
      </c>
      <c r="J343" s="51" t="n">
        <v>5.8</v>
      </c>
      <c r="K343" s="51" t="n">
        <v>6</v>
      </c>
      <c r="L343" s="51" t="n">
        <v>6</v>
      </c>
      <c r="M343" s="51" t="n">
        <v>0</v>
      </c>
      <c r="N343" s="51" t="n">
        <v>1</v>
      </c>
      <c r="O343" s="51" t="n">
        <v>4</v>
      </c>
      <c r="P343" s="51" t="n">
        <v>360</v>
      </c>
      <c r="Q343" s="51" t="n">
        <v>5</v>
      </c>
      <c r="R343" s="51" t="n">
        <v>1000</v>
      </c>
      <c r="S343" s="51" t="n">
        <v>0</v>
      </c>
      <c r="T343" s="51" t="n">
        <v>5</v>
      </c>
      <c r="U343" s="51" t="n">
        <v>0</v>
      </c>
      <c r="V343" s="51" t="n">
        <v>0</v>
      </c>
      <c r="W343" s="51" t="n">
        <v>0</v>
      </c>
      <c r="X343" s="51" t="n">
        <v>0.37</v>
      </c>
    </row>
    <row r="344">
      <c r="A344" s="51" t="inlineStr">
        <is>
          <t>Walnut shell</t>
        </is>
      </c>
      <c r="B344" s="51" t="n">
        <v>42.36</v>
      </c>
      <c r="C344" s="51" t="n">
        <v>10.26</v>
      </c>
      <c r="D344" s="51" t="n">
        <v>27.19</v>
      </c>
      <c r="E344" s="51" t="n">
        <v>71.52</v>
      </c>
      <c r="F344" s="51" t="n">
        <v>1.65</v>
      </c>
      <c r="G344" s="51" t="n">
        <v>19.33</v>
      </c>
      <c r="H344" s="51" t="n">
        <v>46.65</v>
      </c>
      <c r="I344" s="51" t="n">
        <v>47.54</v>
      </c>
      <c r="J344" s="51" t="n">
        <v>5.8</v>
      </c>
      <c r="K344" s="51" t="n">
        <v>5</v>
      </c>
      <c r="L344" s="51" t="n">
        <v>5</v>
      </c>
      <c r="M344" s="51" t="n">
        <v>0</v>
      </c>
      <c r="N344" s="51" t="n">
        <v>1</v>
      </c>
      <c r="O344" s="51" t="n">
        <v>4</v>
      </c>
      <c r="P344" s="51" t="n">
        <v>120</v>
      </c>
      <c r="Q344" s="51" t="n">
        <v>5</v>
      </c>
      <c r="R344" s="51" t="n">
        <v>1300</v>
      </c>
      <c r="S344" s="51" t="n">
        <v>0</v>
      </c>
      <c r="T344" s="51" t="n">
        <v>5</v>
      </c>
      <c r="U344" s="51" t="n">
        <v>0</v>
      </c>
      <c r="V344" s="51" t="n">
        <v>0</v>
      </c>
      <c r="W344" s="51" t="n">
        <v>0</v>
      </c>
      <c r="X344" s="51" t="n">
        <v>0.375</v>
      </c>
    </row>
    <row r="345">
      <c r="A345" s="51" t="inlineStr">
        <is>
          <t>Walnut shell</t>
        </is>
      </c>
      <c r="B345" s="51" t="n">
        <v>42.36</v>
      </c>
      <c r="C345" s="51" t="n">
        <v>10.26</v>
      </c>
      <c r="D345" s="51" t="n">
        <v>27.19</v>
      </c>
      <c r="E345" s="51" t="n">
        <v>71.52</v>
      </c>
      <c r="F345" s="51" t="n">
        <v>1.65</v>
      </c>
      <c r="G345" s="51" t="n">
        <v>19.33</v>
      </c>
      <c r="H345" s="51" t="n">
        <v>46.65</v>
      </c>
      <c r="I345" s="51" t="n">
        <v>47.54</v>
      </c>
      <c r="J345" s="51" t="n">
        <v>5.8</v>
      </c>
      <c r="K345" s="51" t="n">
        <v>4</v>
      </c>
      <c r="L345" s="51" t="n">
        <v>3</v>
      </c>
      <c r="M345" s="51" t="n">
        <v>0</v>
      </c>
      <c r="N345" s="51" t="n">
        <v>1</v>
      </c>
      <c r="O345" s="51" t="n">
        <v>4</v>
      </c>
      <c r="P345" s="51" t="n">
        <v>60</v>
      </c>
      <c r="Q345" s="51" t="n">
        <v>5</v>
      </c>
      <c r="R345" s="51" t="n">
        <v>1300</v>
      </c>
      <c r="S345" s="51" t="n">
        <v>0</v>
      </c>
      <c r="T345" s="51" t="n">
        <v>5</v>
      </c>
      <c r="U345" s="51" t="n">
        <v>0</v>
      </c>
      <c r="V345" s="51" t="n">
        <v>0</v>
      </c>
      <c r="W345" s="51" t="n">
        <v>0</v>
      </c>
      <c r="X345" s="51" t="n">
        <v>0.375</v>
      </c>
    </row>
    <row r="346">
      <c r="A346" s="51" t="inlineStr">
        <is>
          <t>Walnut shell</t>
        </is>
      </c>
      <c r="B346" s="51" t="n">
        <v>42.36</v>
      </c>
      <c r="C346" s="51" t="n">
        <v>10.26</v>
      </c>
      <c r="D346" s="51" t="n">
        <v>27.19</v>
      </c>
      <c r="E346" s="51" t="n">
        <v>71.52</v>
      </c>
      <c r="F346" s="51" t="n">
        <v>1.65</v>
      </c>
      <c r="G346" s="51" t="n">
        <v>19.33</v>
      </c>
      <c r="H346" s="51" t="n">
        <v>46.65</v>
      </c>
      <c r="I346" s="51" t="n">
        <v>47.54</v>
      </c>
      <c r="J346" s="51" t="n">
        <v>5.8</v>
      </c>
      <c r="K346" s="51" t="n">
        <v>4</v>
      </c>
      <c r="L346" s="51" t="n">
        <v>2</v>
      </c>
      <c r="M346" s="51" t="n">
        <v>0</v>
      </c>
      <c r="N346" s="51" t="n">
        <v>1</v>
      </c>
      <c r="O346" s="51" t="n">
        <v>4</v>
      </c>
      <c r="P346" s="51" t="n">
        <v>300</v>
      </c>
      <c r="Q346" s="51" t="n">
        <v>5</v>
      </c>
      <c r="R346" s="51" t="n">
        <v>800</v>
      </c>
      <c r="S346" s="51" t="n">
        <v>0</v>
      </c>
      <c r="T346" s="51" t="n">
        <v>5</v>
      </c>
      <c r="U346" s="51" t="n">
        <v>0</v>
      </c>
      <c r="V346" s="51" t="n">
        <v>0</v>
      </c>
      <c r="W346" s="51" t="n">
        <v>0</v>
      </c>
      <c r="X346" s="51" t="n">
        <v>0.399</v>
      </c>
    </row>
    <row r="347">
      <c r="A347" s="51" t="inlineStr">
        <is>
          <t>Walnut shell</t>
        </is>
      </c>
      <c r="B347" s="51" t="n">
        <v>42.36</v>
      </c>
      <c r="C347" s="51" t="n">
        <v>10.26</v>
      </c>
      <c r="D347" s="51" t="n">
        <v>27.19</v>
      </c>
      <c r="E347" s="51" t="n">
        <v>71.52</v>
      </c>
      <c r="F347" s="51" t="n">
        <v>1.65</v>
      </c>
      <c r="G347" s="51" t="n">
        <v>19.33</v>
      </c>
      <c r="H347" s="51" t="n">
        <v>46.65</v>
      </c>
      <c r="I347" s="51" t="n">
        <v>47.54</v>
      </c>
      <c r="J347" s="51" t="n">
        <v>5.8</v>
      </c>
      <c r="K347" s="51" t="n">
        <v>4</v>
      </c>
      <c r="L347" s="51" t="n">
        <v>2</v>
      </c>
      <c r="M347" s="51" t="n">
        <v>0</v>
      </c>
      <c r="N347" s="51" t="n">
        <v>1</v>
      </c>
      <c r="O347" s="51" t="n">
        <v>4</v>
      </c>
      <c r="P347" s="51" t="n">
        <v>300</v>
      </c>
      <c r="Q347" s="51" t="n">
        <v>5</v>
      </c>
      <c r="R347" s="51" t="n">
        <v>600</v>
      </c>
      <c r="S347" s="51" t="n">
        <v>0</v>
      </c>
      <c r="T347" s="51" t="n">
        <v>5</v>
      </c>
      <c r="U347" s="51" t="n">
        <v>0</v>
      </c>
      <c r="V347" s="51" t="n">
        <v>0</v>
      </c>
      <c r="W347" s="51" t="n">
        <v>0</v>
      </c>
      <c r="X347" s="51" t="n">
        <v>0.401</v>
      </c>
    </row>
    <row r="348">
      <c r="A348" s="51" t="inlineStr">
        <is>
          <t>Walnut shell</t>
        </is>
      </c>
      <c r="B348" s="51" t="n">
        <v>42.36</v>
      </c>
      <c r="C348" s="51" t="n">
        <v>10.26</v>
      </c>
      <c r="D348" s="51" t="n">
        <v>27.19</v>
      </c>
      <c r="E348" s="51" t="n">
        <v>71.52</v>
      </c>
      <c r="F348" s="51" t="n">
        <v>1.65</v>
      </c>
      <c r="G348" s="51" t="n">
        <v>19.33</v>
      </c>
      <c r="H348" s="51" t="n">
        <v>46.65</v>
      </c>
      <c r="I348" s="51" t="n">
        <v>47.54</v>
      </c>
      <c r="J348" s="51" t="n">
        <v>5.8</v>
      </c>
      <c r="K348" s="51" t="n">
        <v>4</v>
      </c>
      <c r="L348" s="51" t="n">
        <v>2</v>
      </c>
      <c r="M348" s="51" t="n">
        <v>0</v>
      </c>
      <c r="N348" s="51" t="n">
        <v>1</v>
      </c>
      <c r="O348" s="51" t="n">
        <v>4</v>
      </c>
      <c r="P348" s="51" t="n">
        <v>300</v>
      </c>
      <c r="Q348" s="51" t="n">
        <v>5</v>
      </c>
      <c r="R348" s="51" t="n">
        <v>1200</v>
      </c>
      <c r="S348" s="51" t="n">
        <v>0</v>
      </c>
      <c r="T348" s="51" t="n">
        <v>5</v>
      </c>
      <c r="U348" s="51" t="n">
        <v>0</v>
      </c>
      <c r="V348" s="51" t="n">
        <v>0</v>
      </c>
      <c r="W348" s="51" t="n">
        <v>0</v>
      </c>
      <c r="X348" s="51" t="n">
        <v>0.406</v>
      </c>
    </row>
    <row r="349">
      <c r="A349" s="51" t="inlineStr">
        <is>
          <t>Walnut shell</t>
        </is>
      </c>
      <c r="B349" s="51" t="n">
        <v>42.36</v>
      </c>
      <c r="C349" s="51" t="n">
        <v>10.26</v>
      </c>
      <c r="D349" s="51" t="n">
        <v>27.19</v>
      </c>
      <c r="E349" s="51" t="n">
        <v>71.52</v>
      </c>
      <c r="F349" s="51" t="n">
        <v>1.65</v>
      </c>
      <c r="G349" s="51" t="n">
        <v>19.33</v>
      </c>
      <c r="H349" s="51" t="n">
        <v>46.65</v>
      </c>
      <c r="I349" s="51" t="n">
        <v>47.54</v>
      </c>
      <c r="J349" s="51" t="n">
        <v>5.8</v>
      </c>
      <c r="K349" s="51" t="n">
        <v>4</v>
      </c>
      <c r="L349" s="51" t="n">
        <v>2</v>
      </c>
      <c r="M349" s="51" t="n">
        <v>0</v>
      </c>
      <c r="N349" s="51" t="n">
        <v>1</v>
      </c>
      <c r="O349" s="51" t="n">
        <v>4</v>
      </c>
      <c r="P349" s="51" t="n">
        <v>300</v>
      </c>
      <c r="Q349" s="51" t="n">
        <v>5</v>
      </c>
      <c r="R349" s="51" t="n">
        <v>1000</v>
      </c>
      <c r="S349" s="51" t="n">
        <v>0</v>
      </c>
      <c r="T349" s="51" t="n">
        <v>5</v>
      </c>
      <c r="U349" s="51" t="n">
        <v>0</v>
      </c>
      <c r="V349" s="51" t="n">
        <v>0</v>
      </c>
      <c r="W349" s="51" t="n">
        <v>0</v>
      </c>
      <c r="X349" s="51" t="n">
        <v>0.408</v>
      </c>
    </row>
    <row r="350">
      <c r="A350" s="51" t="inlineStr">
        <is>
          <t>Walnut shells</t>
        </is>
      </c>
      <c r="B350" s="51" t="n">
        <v>42.36</v>
      </c>
      <c r="C350" s="51" t="n">
        <v>10.26</v>
      </c>
      <c r="D350" s="51" t="n">
        <v>27.19</v>
      </c>
      <c r="E350" s="51" t="n">
        <v>71.52</v>
      </c>
      <c r="F350" s="51" t="n">
        <v>1.65</v>
      </c>
      <c r="G350" s="51" t="n">
        <v>19.33</v>
      </c>
      <c r="H350" s="51" t="n">
        <v>46.65</v>
      </c>
      <c r="I350" s="51" t="n">
        <v>47.54</v>
      </c>
      <c r="J350" s="51" t="n">
        <v>5.8</v>
      </c>
      <c r="K350" s="51" t="n">
        <v>1</v>
      </c>
      <c r="L350" s="51" t="n">
        <v>5</v>
      </c>
      <c r="M350" s="51" t="n">
        <v>0</v>
      </c>
      <c r="N350" s="51" t="n">
        <v>1</v>
      </c>
      <c r="O350" s="51" t="n">
        <v>4</v>
      </c>
      <c r="P350" s="51" t="n">
        <v>120</v>
      </c>
      <c r="Q350" s="51" t="n">
        <v>5</v>
      </c>
      <c r="R350" s="51" t="n">
        <v>1400</v>
      </c>
      <c r="S350" s="51" t="n">
        <v>0</v>
      </c>
      <c r="T350" s="51" t="n">
        <v>5</v>
      </c>
      <c r="U350" s="51" t="n">
        <v>0</v>
      </c>
      <c r="V350" s="51" t="n">
        <v>0</v>
      </c>
      <c r="W350" s="51" t="n">
        <v>0</v>
      </c>
      <c r="X350" s="51" t="n">
        <v>0.375</v>
      </c>
    </row>
    <row r="351">
      <c r="A351" s="51" t="inlineStr">
        <is>
          <t>Walnut shells</t>
        </is>
      </c>
      <c r="B351" s="51" t="n">
        <v>42.36</v>
      </c>
      <c r="C351" s="51" t="n">
        <v>10.26</v>
      </c>
      <c r="D351" s="51" t="n">
        <v>27.19</v>
      </c>
      <c r="E351" s="51" t="n">
        <v>71.52</v>
      </c>
      <c r="F351" s="51" t="n">
        <v>1.65</v>
      </c>
      <c r="G351" s="51" t="n">
        <v>19.33</v>
      </c>
      <c r="H351" s="51" t="n">
        <v>46.65</v>
      </c>
      <c r="I351" s="51" t="n">
        <v>47.54</v>
      </c>
      <c r="J351" s="51" t="n">
        <v>5.8</v>
      </c>
      <c r="K351" s="51" t="n">
        <v>4</v>
      </c>
      <c r="L351" s="51" t="n">
        <v>1</v>
      </c>
      <c r="M351" s="51" t="n">
        <v>0</v>
      </c>
      <c r="N351" s="51" t="n">
        <v>1</v>
      </c>
      <c r="O351" s="51" t="n">
        <v>4</v>
      </c>
      <c r="P351" s="51" t="n">
        <v>60</v>
      </c>
      <c r="Q351" s="51" t="n">
        <v>5</v>
      </c>
      <c r="R351" s="51" t="n">
        <v>1300</v>
      </c>
      <c r="S351" s="51" t="n">
        <v>0</v>
      </c>
      <c r="T351" s="51" t="n">
        <v>5</v>
      </c>
      <c r="U351" s="51" t="n">
        <v>0</v>
      </c>
      <c r="V351" s="51" t="n">
        <v>0</v>
      </c>
      <c r="W351" s="51" t="n">
        <v>0</v>
      </c>
      <c r="X351" s="51" t="n">
        <v>0.375</v>
      </c>
    </row>
    <row r="352">
      <c r="A352" s="51" t="inlineStr">
        <is>
          <t>Waste bagasse</t>
        </is>
      </c>
      <c r="B352" s="51" t="n">
        <v>36.5</v>
      </c>
      <c r="C352" s="51" t="n">
        <v>26</v>
      </c>
      <c r="D352" s="51" t="n">
        <v>18.5</v>
      </c>
      <c r="E352" s="51" t="n">
        <v>83.5</v>
      </c>
      <c r="F352" s="51" t="n">
        <v>4.2</v>
      </c>
      <c r="G352" s="51" t="n">
        <v>12.5</v>
      </c>
      <c r="H352" s="51" t="n">
        <v>43.1</v>
      </c>
      <c r="I352" s="51" t="n">
        <v>51.4</v>
      </c>
      <c r="J352" s="51" t="n">
        <v>5.51</v>
      </c>
      <c r="K352" s="51" t="n">
        <v>6</v>
      </c>
      <c r="L352" s="51" t="n">
        <v>6</v>
      </c>
      <c r="M352" s="51" t="n">
        <v>0</v>
      </c>
      <c r="N352" s="51" t="n">
        <v>1</v>
      </c>
      <c r="O352" s="51" t="n">
        <v>4</v>
      </c>
      <c r="P352" s="51" t="n">
        <v>120</v>
      </c>
      <c r="Q352" s="51" t="n">
        <v>5</v>
      </c>
      <c r="R352" s="51" t="n">
        <v>1000</v>
      </c>
      <c r="S352" s="51" t="n">
        <v>0</v>
      </c>
      <c r="T352" s="51" t="n">
        <v>5</v>
      </c>
      <c r="U352" s="51" t="n">
        <v>0</v>
      </c>
      <c r="V352" s="51" t="n">
        <v>0</v>
      </c>
      <c r="W352" s="51" t="n">
        <v>0</v>
      </c>
      <c r="X352" s="51" t="n">
        <v>0.3768</v>
      </c>
    </row>
    <row r="353">
      <c r="A353" s="51" t="inlineStr">
        <is>
          <t>Waste bagasse</t>
        </is>
      </c>
      <c r="B353" s="51" t="n">
        <v>36.5</v>
      </c>
      <c r="C353" s="51" t="n">
        <v>26</v>
      </c>
      <c r="D353" s="51" t="n">
        <v>18.5</v>
      </c>
      <c r="E353" s="51" t="n">
        <v>83.5</v>
      </c>
      <c r="F353" s="51" t="n">
        <v>4.2</v>
      </c>
      <c r="G353" s="51" t="n">
        <v>12.5</v>
      </c>
      <c r="H353" s="51" t="n">
        <v>43.1</v>
      </c>
      <c r="I353" s="51" t="n">
        <v>51.4</v>
      </c>
      <c r="J353" s="51" t="n">
        <v>5.51</v>
      </c>
      <c r="K353" s="51" t="n">
        <v>6</v>
      </c>
      <c r="L353" s="51" t="n">
        <v>6</v>
      </c>
      <c r="M353" s="51" t="n">
        <v>0</v>
      </c>
      <c r="N353" s="51" t="n">
        <v>1</v>
      </c>
      <c r="O353" s="51" t="n">
        <v>4</v>
      </c>
      <c r="P353" s="51" t="n">
        <v>120</v>
      </c>
      <c r="Q353" s="51" t="n">
        <v>5</v>
      </c>
      <c r="R353" s="51" t="n">
        <v>900</v>
      </c>
      <c r="S353" s="51" t="n">
        <v>0</v>
      </c>
      <c r="T353" s="51" t="n">
        <v>5</v>
      </c>
      <c r="U353" s="51" t="n">
        <v>0</v>
      </c>
      <c r="V353" s="51" t="n">
        <v>0</v>
      </c>
      <c r="W353" s="51" t="n">
        <v>0</v>
      </c>
      <c r="X353" s="51" t="n">
        <v>0.3828</v>
      </c>
    </row>
    <row r="354">
      <c r="A354" s="51" t="inlineStr">
        <is>
          <t>Waste bagasse</t>
        </is>
      </c>
      <c r="B354" s="51" t="n">
        <v>36.5</v>
      </c>
      <c r="C354" s="51" t="n">
        <v>26</v>
      </c>
      <c r="D354" s="51" t="n">
        <v>18.5</v>
      </c>
      <c r="E354" s="51" t="n">
        <v>83.5</v>
      </c>
      <c r="F354" s="51" t="n">
        <v>4.2</v>
      </c>
      <c r="G354" s="51" t="n">
        <v>12.5</v>
      </c>
      <c r="H354" s="51" t="n">
        <v>43.1</v>
      </c>
      <c r="I354" s="51" t="n">
        <v>51.4</v>
      </c>
      <c r="J354" s="51" t="n">
        <v>5.51</v>
      </c>
      <c r="K354" s="51" t="n">
        <v>6</v>
      </c>
      <c r="L354" s="51" t="n">
        <v>6</v>
      </c>
      <c r="M354" s="51" t="n">
        <v>0</v>
      </c>
      <c r="N354" s="51" t="n">
        <v>1</v>
      </c>
      <c r="O354" s="51" t="n">
        <v>4</v>
      </c>
      <c r="P354" s="51" t="n">
        <v>120</v>
      </c>
      <c r="Q354" s="51" t="n">
        <v>5</v>
      </c>
      <c r="R354" s="51" t="n">
        <v>1100</v>
      </c>
      <c r="S354" s="51" t="n">
        <v>0</v>
      </c>
      <c r="T354" s="51" t="n">
        <v>5</v>
      </c>
      <c r="U354" s="51" t="n">
        <v>0</v>
      </c>
      <c r="V354" s="51" t="n">
        <v>0</v>
      </c>
      <c r="W354" s="51" t="n">
        <v>0</v>
      </c>
      <c r="X354" s="51" t="n">
        <v>0.3831</v>
      </c>
    </row>
    <row r="355">
      <c r="A355" s="51" t="inlineStr">
        <is>
          <t>Water caltrop</t>
        </is>
      </c>
      <c r="B355" s="51" t="n">
        <v>34.55</v>
      </c>
      <c r="C355" s="51" t="n">
        <v>12.78</v>
      </c>
      <c r="D355" s="51" t="n">
        <v>22</v>
      </c>
      <c r="E355" s="51" t="n">
        <v>71</v>
      </c>
      <c r="F355" s="51" t="n">
        <v>6.32</v>
      </c>
      <c r="G355" s="51" t="n">
        <v>13.58</v>
      </c>
      <c r="H355" s="51" t="n">
        <v>40.05</v>
      </c>
      <c r="I355" s="51" t="n">
        <v>45.49</v>
      </c>
      <c r="J355" s="51" t="n">
        <v>6.13</v>
      </c>
      <c r="K355" s="51" t="n">
        <v>5</v>
      </c>
      <c r="L355" s="51" t="n">
        <v>1</v>
      </c>
      <c r="M355" s="51" t="n">
        <v>0</v>
      </c>
      <c r="N355" s="51" t="n">
        <v>1</v>
      </c>
      <c r="O355" s="51" t="n">
        <v>4</v>
      </c>
      <c r="P355" s="51" t="n">
        <v>180</v>
      </c>
      <c r="Q355" s="51" t="n">
        <v>5</v>
      </c>
      <c r="R355" s="51" t="n">
        <v>1500</v>
      </c>
      <c r="S355" s="51" t="n">
        <v>0</v>
      </c>
      <c r="T355" s="51" t="n">
        <v>5</v>
      </c>
      <c r="U355" s="51" t="n">
        <v>0</v>
      </c>
      <c r="V355" s="51" t="n">
        <v>0</v>
      </c>
      <c r="W355" s="51" t="n">
        <v>0</v>
      </c>
      <c r="X355" s="51" t="n">
        <v>0.37</v>
      </c>
    </row>
    <row r="356">
      <c r="A356" s="51" t="inlineStr">
        <is>
          <t>Water caltrop</t>
        </is>
      </c>
      <c r="B356" s="51" t="n">
        <v>34.55</v>
      </c>
      <c r="C356" s="51" t="n">
        <v>12.78</v>
      </c>
      <c r="D356" s="51" t="n">
        <v>22</v>
      </c>
      <c r="E356" s="51" t="n">
        <v>71</v>
      </c>
      <c r="F356" s="51" t="n">
        <v>6.32</v>
      </c>
      <c r="G356" s="51" t="n">
        <v>13.58</v>
      </c>
      <c r="H356" s="51" t="n">
        <v>40.05</v>
      </c>
      <c r="I356" s="51" t="n">
        <v>45.49</v>
      </c>
      <c r="J356" s="51" t="n">
        <v>6.13</v>
      </c>
      <c r="K356" s="51" t="n">
        <v>5</v>
      </c>
      <c r="L356" s="51" t="n">
        <v>1</v>
      </c>
      <c r="M356" s="51" t="n">
        <v>0</v>
      </c>
      <c r="N356" s="51" t="n">
        <v>1</v>
      </c>
      <c r="O356" s="51" t="n">
        <v>4</v>
      </c>
      <c r="P356" s="51" t="n">
        <v>180</v>
      </c>
      <c r="Q356" s="51" t="n">
        <v>5</v>
      </c>
      <c r="R356" s="51" t="n">
        <v>1300</v>
      </c>
      <c r="S356" s="51" t="n">
        <v>0</v>
      </c>
      <c r="T356" s="51" t="n">
        <v>5</v>
      </c>
      <c r="U356" s="51" t="n">
        <v>0</v>
      </c>
      <c r="V356" s="51" t="n">
        <v>0</v>
      </c>
      <c r="W356" s="51" t="n">
        <v>0</v>
      </c>
      <c r="X356" s="51" t="n">
        <v>0.38</v>
      </c>
    </row>
    <row r="357">
      <c r="A357" s="51" t="inlineStr">
        <is>
          <t>Water caltrop</t>
        </is>
      </c>
      <c r="B357" s="51" t="n">
        <v>34.55</v>
      </c>
      <c r="C357" s="51" t="n">
        <v>12.78</v>
      </c>
      <c r="D357" s="51" t="n">
        <v>22</v>
      </c>
      <c r="E357" s="51" t="n">
        <v>71</v>
      </c>
      <c r="F357" s="51" t="n">
        <v>6.32</v>
      </c>
      <c r="G357" s="51" t="n">
        <v>13.58</v>
      </c>
      <c r="H357" s="51" t="n">
        <v>40.05</v>
      </c>
      <c r="I357" s="51" t="n">
        <v>45.49</v>
      </c>
      <c r="J357" s="51" t="n">
        <v>6.13</v>
      </c>
      <c r="K357" s="51" t="n">
        <v>5</v>
      </c>
      <c r="L357" s="51" t="n">
        <v>1</v>
      </c>
      <c r="M357" s="51" t="n">
        <v>0</v>
      </c>
      <c r="N357" s="51" t="n">
        <v>1</v>
      </c>
      <c r="O357" s="51" t="n">
        <v>4</v>
      </c>
      <c r="P357" s="51" t="n">
        <v>180</v>
      </c>
      <c r="Q357" s="51" t="n">
        <v>5</v>
      </c>
      <c r="R357" s="51" t="n">
        <v>900</v>
      </c>
      <c r="S357" s="51" t="n">
        <v>0</v>
      </c>
      <c r="T357" s="51" t="n">
        <v>5</v>
      </c>
      <c r="U357" s="51" t="n">
        <v>0</v>
      </c>
      <c r="V357" s="51" t="n">
        <v>0</v>
      </c>
      <c r="W357" s="51" t="n">
        <v>0</v>
      </c>
      <c r="X357" s="51" t="n">
        <v>0.39</v>
      </c>
    </row>
    <row r="358">
      <c r="A358" s="51" t="inlineStr">
        <is>
          <t>Water caltrop</t>
        </is>
      </c>
      <c r="B358" s="51" t="n">
        <v>34.55</v>
      </c>
      <c r="C358" s="51" t="n">
        <v>12.78</v>
      </c>
      <c r="D358" s="51" t="n">
        <v>22</v>
      </c>
      <c r="E358" s="51" t="n">
        <v>71</v>
      </c>
      <c r="F358" s="51" t="n">
        <v>6.32</v>
      </c>
      <c r="G358" s="51" t="n">
        <v>13.58</v>
      </c>
      <c r="H358" s="51" t="n">
        <v>40.05</v>
      </c>
      <c r="I358" s="51" t="n">
        <v>45.49</v>
      </c>
      <c r="J358" s="51" t="n">
        <v>6.13</v>
      </c>
      <c r="K358" s="51" t="n">
        <v>5</v>
      </c>
      <c r="L358" s="51" t="n">
        <v>1</v>
      </c>
      <c r="M358" s="51" t="n">
        <v>0</v>
      </c>
      <c r="N358" s="51" t="n">
        <v>1</v>
      </c>
      <c r="O358" s="51" t="n">
        <v>4</v>
      </c>
      <c r="P358" s="51" t="n">
        <v>180</v>
      </c>
      <c r="Q358" s="51" t="n">
        <v>5</v>
      </c>
      <c r="R358" s="51" t="n">
        <v>1100</v>
      </c>
      <c r="S358" s="51" t="n">
        <v>0</v>
      </c>
      <c r="T358" s="51" t="n">
        <v>5</v>
      </c>
      <c r="U358" s="51" t="n">
        <v>0</v>
      </c>
      <c r="V358" s="51" t="n">
        <v>0</v>
      </c>
      <c r="W358" s="51" t="n">
        <v>0</v>
      </c>
      <c r="X358" s="51" t="n">
        <v>0.39</v>
      </c>
    </row>
    <row r="359">
      <c r="A359" s="51" t="inlineStr">
        <is>
          <t>Water caltrop</t>
        </is>
      </c>
      <c r="B359" s="51" t="n">
        <v>34.55</v>
      </c>
      <c r="C359" s="51" t="n">
        <v>12.78</v>
      </c>
      <c r="D359" s="51" t="n">
        <v>22</v>
      </c>
      <c r="E359" s="51" t="n">
        <v>71</v>
      </c>
      <c r="F359" s="51" t="n">
        <v>6.32</v>
      </c>
      <c r="G359" s="51" t="n">
        <v>13.58</v>
      </c>
      <c r="H359" s="51" t="n">
        <v>51.1</v>
      </c>
      <c r="I359" s="51" t="n">
        <v>42.6</v>
      </c>
      <c r="J359" s="51" t="n">
        <v>5.53</v>
      </c>
      <c r="K359" s="51" t="n">
        <v>6</v>
      </c>
      <c r="L359" s="51" t="n">
        <v>5</v>
      </c>
      <c r="M359" s="51" t="n">
        <v>0</v>
      </c>
      <c r="N359" s="51" t="n">
        <v>1</v>
      </c>
      <c r="O359" s="51" t="n">
        <v>4</v>
      </c>
      <c r="P359" s="51" t="n">
        <v>180</v>
      </c>
      <c r="Q359" s="51" t="n">
        <v>5</v>
      </c>
      <c r="R359" s="51" t="n">
        <v>1100</v>
      </c>
      <c r="S359" s="51" t="n">
        <v>0</v>
      </c>
      <c r="T359" s="51" t="n">
        <v>5</v>
      </c>
      <c r="U359" s="51" t="n">
        <v>0</v>
      </c>
      <c r="V359" s="51" t="n">
        <v>0</v>
      </c>
      <c r="W359" s="51" t="n">
        <v>0</v>
      </c>
      <c r="X359" s="51" t="n">
        <v>0.3941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34"/>
  <sheetViews>
    <sheetView workbookViewId="0">
      <selection activeCell="A1" sqref="A1:X1048576"/>
    </sheetView>
  </sheetViews>
  <sheetFormatPr baseColWidth="8" defaultRowHeight="14.4"/>
  <cols>
    <col width="16.6640625" customWidth="1" style="6" min="1" max="1"/>
    <col width="12.88671875" customWidth="1" style="6" min="2" max="2"/>
    <col width="16" customWidth="1" style="6" min="3" max="3"/>
    <col width="12.88671875" customWidth="1" style="6" min="4" max="4"/>
    <col width="16.44140625" customWidth="1" style="6" min="5" max="5"/>
    <col width="12.88671875" customWidth="1" style="6" min="6" max="6"/>
    <col width="14.5546875" customWidth="1" style="6" min="7" max="7"/>
    <col width="12.88671875" customWidth="1" style="6" min="8" max="10"/>
    <col width="8.77734375" customWidth="1" style="6" min="11" max="11"/>
    <col width="9.6640625" customWidth="1" style="6" min="12" max="12"/>
    <col width="5.77734375" customWidth="1" style="6" min="13" max="13"/>
    <col width="11.6640625" customWidth="1" style="6" min="14" max="14"/>
    <col width="12.6640625" customWidth="1" style="6" min="15" max="15"/>
    <col width="12.88671875" customWidth="1" style="6" min="16" max="16"/>
    <col width="15.5546875" customWidth="1" style="6" min="17" max="17"/>
    <col width="16.21875" customWidth="1" style="6" min="18" max="18"/>
    <col width="11.6640625" customWidth="1" style="6" min="19" max="19"/>
    <col width="12.6640625" customWidth="1" style="6" min="20" max="20"/>
    <col width="8.77734375" customWidth="1" style="6" min="21" max="21"/>
    <col width="15.5546875" customWidth="1" style="6" min="22" max="22"/>
    <col width="16.21875" customWidth="1" style="6" min="23" max="23"/>
    <col width="6.6640625" customWidth="1" style="6" min="24" max="24"/>
  </cols>
  <sheetData>
    <row r="1">
      <c r="A1" s="50" t="inlineStr">
        <is>
          <t>Biomass</t>
        </is>
      </c>
      <c r="B1" s="50" t="inlineStr">
        <is>
          <t>Cellulose%</t>
        </is>
      </c>
      <c r="C1" s="50" t="inlineStr">
        <is>
          <t>Hemi-cellulose%</t>
        </is>
      </c>
      <c r="D1" s="50" t="inlineStr">
        <is>
          <t>Lignin%</t>
        </is>
      </c>
      <c r="E1" s="50" t="inlineStr">
        <is>
          <t>Volatile Matter%</t>
        </is>
      </c>
      <c r="F1" s="50" t="inlineStr">
        <is>
          <t>Ash%</t>
        </is>
      </c>
      <c r="G1" s="50" t="inlineStr">
        <is>
          <t>Fixed Carbon%</t>
        </is>
      </c>
      <c r="H1" s="50" t="inlineStr">
        <is>
          <t>Carbon%</t>
        </is>
      </c>
      <c r="I1" s="50" t="inlineStr">
        <is>
          <t>Oxygen%</t>
        </is>
      </c>
      <c r="J1" s="50" t="inlineStr">
        <is>
          <t>Hydrogen%</t>
        </is>
      </c>
      <c r="K1" s="50" t="inlineStr">
        <is>
          <t>Prewash</t>
        </is>
      </c>
      <c r="L1" s="50" t="inlineStr">
        <is>
          <t>Postwash</t>
        </is>
      </c>
      <c r="M1" s="50" t="inlineStr">
        <is>
          <t>Type</t>
        </is>
      </c>
      <c r="N1" s="50" t="inlineStr">
        <is>
          <t>Method_01</t>
        </is>
      </c>
      <c r="O1" s="50" t="inlineStr">
        <is>
          <t>Activator_01</t>
        </is>
      </c>
      <c r="P1" s="50" t="inlineStr">
        <is>
          <t>Time_01</t>
        </is>
      </c>
      <c r="Q1" s="50" t="inlineStr">
        <is>
          <t>Heating rate_01</t>
        </is>
      </c>
      <c r="R1" s="50" t="inlineStr">
        <is>
          <t>Temperature_01</t>
        </is>
      </c>
      <c r="S1" s="50" t="inlineStr">
        <is>
          <t>Method_02</t>
        </is>
      </c>
      <c r="T1" s="50" t="inlineStr">
        <is>
          <t>Activator_02</t>
        </is>
      </c>
      <c r="U1" s="50" t="inlineStr">
        <is>
          <t>Time_02</t>
        </is>
      </c>
      <c r="V1" s="50" t="inlineStr">
        <is>
          <t>Heating rate_02</t>
        </is>
      </c>
      <c r="W1" s="50" t="inlineStr">
        <is>
          <t>Temperature_02</t>
        </is>
      </c>
      <c r="X1" s="50" t="inlineStr">
        <is>
          <t>La</t>
        </is>
      </c>
    </row>
    <row r="2">
      <c r="A2" s="53" t="inlineStr">
        <is>
          <t>Alkali Lignin</t>
        </is>
      </c>
      <c r="B2" s="53" t="n">
        <v>0</v>
      </c>
      <c r="C2" s="53" t="n">
        <v>0</v>
      </c>
      <c r="D2" s="53" t="n">
        <v>100</v>
      </c>
      <c r="E2" s="53" t="n">
        <v>68.95923718526311</v>
      </c>
      <c r="F2" s="53" t="n">
        <v>3.85650251849244</v>
      </c>
      <c r="G2" s="53" t="n">
        <v>21.9334593054885</v>
      </c>
      <c r="H2" s="53" t="n">
        <v>45.695702977591</v>
      </c>
      <c r="I2" s="53" t="n">
        <v>44.7190770244817</v>
      </c>
      <c r="J2" s="53" t="n">
        <v>5.98146243273457</v>
      </c>
      <c r="K2" s="53" t="n">
        <v>4</v>
      </c>
      <c r="L2" s="53" t="n">
        <v>5</v>
      </c>
      <c r="M2" s="53" t="n">
        <v>0</v>
      </c>
      <c r="N2" s="53" t="n">
        <v>1</v>
      </c>
      <c r="O2" s="53" t="n">
        <v>4</v>
      </c>
      <c r="P2" s="53" t="n">
        <v>180</v>
      </c>
      <c r="Q2" s="53" t="n">
        <v>2</v>
      </c>
      <c r="R2" s="53" t="n">
        <v>1300</v>
      </c>
      <c r="S2" s="53" t="n">
        <v>0</v>
      </c>
      <c r="T2" s="53" t="n">
        <v>5</v>
      </c>
      <c r="U2" s="53" t="n">
        <v>0</v>
      </c>
      <c r="V2" s="53" t="n">
        <v>0</v>
      </c>
      <c r="W2" s="53" t="n">
        <v>0</v>
      </c>
      <c r="X2" s="53" t="n">
        <v>14.46</v>
      </c>
    </row>
    <row r="3">
      <c r="A3" s="53" t="inlineStr">
        <is>
          <t>Alkali Lignin</t>
        </is>
      </c>
      <c r="B3" s="53" t="n">
        <v>0</v>
      </c>
      <c r="C3" s="53" t="n">
        <v>0</v>
      </c>
      <c r="D3" s="53" t="n">
        <v>100</v>
      </c>
      <c r="E3" s="53" t="n">
        <v>68.9592372041144</v>
      </c>
      <c r="F3" s="53" t="n">
        <v>3.8565025196313</v>
      </c>
      <c r="G3" s="53" t="n">
        <v>21.9334592805848</v>
      </c>
      <c r="H3" s="53" t="n">
        <v>45.6957029750271</v>
      </c>
      <c r="I3" s="53" t="n">
        <v>44.7190770297867</v>
      </c>
      <c r="J3" s="53" t="n">
        <v>5.98146243361558</v>
      </c>
      <c r="K3" s="53" t="n">
        <v>4</v>
      </c>
      <c r="L3" s="53" t="n">
        <v>5</v>
      </c>
      <c r="M3" s="53" t="n">
        <v>0</v>
      </c>
      <c r="N3" s="53" t="n">
        <v>1</v>
      </c>
      <c r="O3" s="53" t="n">
        <v>4</v>
      </c>
      <c r="P3" s="53" t="n">
        <v>180</v>
      </c>
      <c r="Q3" s="53" t="n">
        <v>2</v>
      </c>
      <c r="R3" s="53" t="n">
        <v>1300</v>
      </c>
      <c r="S3" s="53" t="n">
        <v>0</v>
      </c>
      <c r="T3" s="53" t="n">
        <v>5</v>
      </c>
      <c r="U3" s="53" t="n">
        <v>0</v>
      </c>
      <c r="V3" s="53" t="n">
        <v>0</v>
      </c>
      <c r="W3" s="53" t="n">
        <v>0</v>
      </c>
      <c r="X3" s="53" t="n">
        <v>12.65</v>
      </c>
    </row>
    <row r="4">
      <c r="A4" s="53" t="inlineStr">
        <is>
          <t>Almond shell</t>
        </is>
      </c>
      <c r="B4" s="53" t="n">
        <v>38.47</v>
      </c>
      <c r="C4" s="53" t="n">
        <v>28.82</v>
      </c>
      <c r="D4" s="53" t="n">
        <v>29.54</v>
      </c>
      <c r="E4" s="53" t="n">
        <v>75.73</v>
      </c>
      <c r="F4" s="53" t="n">
        <v>12.48</v>
      </c>
      <c r="G4" s="53" t="n">
        <v>11.14</v>
      </c>
      <c r="H4" s="53" t="n">
        <v>42.92</v>
      </c>
      <c r="I4" s="53" t="n">
        <v>50.56</v>
      </c>
      <c r="J4" s="53" t="n">
        <v>5.8</v>
      </c>
      <c r="K4" s="53" t="n">
        <v>1</v>
      </c>
      <c r="L4" s="53" t="n">
        <v>5</v>
      </c>
      <c r="M4" s="53" t="n">
        <v>1</v>
      </c>
      <c r="N4" s="53" t="n">
        <v>1</v>
      </c>
      <c r="O4" s="53" t="n">
        <v>4</v>
      </c>
      <c r="P4" s="53" t="n">
        <v>120</v>
      </c>
      <c r="Q4" s="53" t="n">
        <v>5</v>
      </c>
      <c r="R4" s="53" t="n">
        <v>600</v>
      </c>
      <c r="S4" s="53" t="n">
        <v>1</v>
      </c>
      <c r="T4" s="53" t="n">
        <v>5</v>
      </c>
      <c r="U4" s="53" t="n">
        <v>180</v>
      </c>
      <c r="V4" s="53" t="n">
        <v>5</v>
      </c>
      <c r="W4" s="53" t="n">
        <v>1300</v>
      </c>
      <c r="X4" s="53" t="n">
        <v>2.49</v>
      </c>
    </row>
    <row r="5">
      <c r="A5" s="53" t="inlineStr">
        <is>
          <t>Almond shell</t>
        </is>
      </c>
      <c r="B5" s="53" t="n">
        <v>38.47</v>
      </c>
      <c r="C5" s="53" t="n">
        <v>28.82</v>
      </c>
      <c r="D5" s="53" t="n">
        <v>29.54</v>
      </c>
      <c r="E5" s="53" t="n">
        <v>75.73</v>
      </c>
      <c r="F5" s="53" t="n">
        <v>12.48</v>
      </c>
      <c r="G5" s="53" t="n">
        <v>11.14</v>
      </c>
      <c r="H5" s="53" t="n">
        <v>42.92</v>
      </c>
      <c r="I5" s="53" t="n">
        <v>50.56</v>
      </c>
      <c r="J5" s="53" t="n">
        <v>5.8</v>
      </c>
      <c r="K5" s="53" t="n">
        <v>1</v>
      </c>
      <c r="L5" s="53" t="n">
        <v>5</v>
      </c>
      <c r="M5" s="53" t="n">
        <v>1</v>
      </c>
      <c r="N5" s="53" t="n">
        <v>1</v>
      </c>
      <c r="O5" s="53" t="n">
        <v>4</v>
      </c>
      <c r="P5" s="53" t="n">
        <v>120</v>
      </c>
      <c r="Q5" s="53" t="n">
        <v>5</v>
      </c>
      <c r="R5" s="53" t="n">
        <v>600</v>
      </c>
      <c r="S5" s="53" t="n">
        <v>1</v>
      </c>
      <c r="T5" s="53" t="n">
        <v>5</v>
      </c>
      <c r="U5" s="53" t="n">
        <v>180</v>
      </c>
      <c r="V5" s="53" t="n">
        <v>5</v>
      </c>
      <c r="W5" s="53" t="n">
        <v>1300</v>
      </c>
      <c r="X5" s="53" t="n">
        <v>3.1</v>
      </c>
    </row>
    <row r="6">
      <c r="A6" s="53" t="inlineStr">
        <is>
          <t>Almond shell</t>
        </is>
      </c>
      <c r="B6" s="53" t="n">
        <v>38.47</v>
      </c>
      <c r="C6" s="53" t="n">
        <v>28.82</v>
      </c>
      <c r="D6" s="53" t="n">
        <v>29.54</v>
      </c>
      <c r="E6" s="53" t="n">
        <v>75.73</v>
      </c>
      <c r="F6" s="53" t="n">
        <v>12.48</v>
      </c>
      <c r="G6" s="53" t="n">
        <v>11.14</v>
      </c>
      <c r="H6" s="53" t="n">
        <v>42.92</v>
      </c>
      <c r="I6" s="53" t="n">
        <v>50.56</v>
      </c>
      <c r="J6" s="53" t="n">
        <v>5.8</v>
      </c>
      <c r="K6" s="53" t="n">
        <v>1</v>
      </c>
      <c r="L6" s="53" t="n">
        <v>5</v>
      </c>
      <c r="M6" s="53" t="n">
        <v>1</v>
      </c>
      <c r="N6" s="53" t="n">
        <v>1</v>
      </c>
      <c r="O6" s="53" t="n">
        <v>4</v>
      </c>
      <c r="P6" s="53" t="n">
        <v>120</v>
      </c>
      <c r="Q6" s="53" t="n">
        <v>5</v>
      </c>
      <c r="R6" s="53" t="n">
        <v>600</v>
      </c>
      <c r="S6" s="53" t="n">
        <v>1</v>
      </c>
      <c r="T6" s="53" t="n">
        <v>5</v>
      </c>
      <c r="U6" s="53" t="n">
        <v>180</v>
      </c>
      <c r="V6" s="53" t="n">
        <v>5</v>
      </c>
      <c r="W6" s="53" t="n">
        <v>1300</v>
      </c>
      <c r="X6" s="53" t="n">
        <v>3.02</v>
      </c>
    </row>
    <row r="7">
      <c r="A7" s="53" t="inlineStr">
        <is>
          <t>Almond shell</t>
        </is>
      </c>
      <c r="B7" s="53" t="n">
        <v>38.47</v>
      </c>
      <c r="C7" s="53" t="n">
        <v>28.82</v>
      </c>
      <c r="D7" s="53" t="n">
        <v>29.54</v>
      </c>
      <c r="E7" s="53" t="n">
        <v>75.73</v>
      </c>
      <c r="F7" s="53" t="n">
        <v>12.48</v>
      </c>
      <c r="G7" s="53" t="n">
        <v>11.14</v>
      </c>
      <c r="H7" s="53" t="n">
        <v>42.92</v>
      </c>
      <c r="I7" s="53" t="n">
        <v>50.56</v>
      </c>
      <c r="J7" s="53" t="n">
        <v>5.8</v>
      </c>
      <c r="K7" s="53" t="n">
        <v>1</v>
      </c>
      <c r="L7" s="53" t="n">
        <v>5</v>
      </c>
      <c r="M7" s="53" t="n">
        <v>1</v>
      </c>
      <c r="N7" s="53" t="n">
        <v>1</v>
      </c>
      <c r="O7" s="53" t="n">
        <v>4</v>
      </c>
      <c r="P7" s="53" t="n">
        <v>120</v>
      </c>
      <c r="Q7" s="53" t="n">
        <v>5</v>
      </c>
      <c r="R7" s="53" t="n">
        <v>600</v>
      </c>
      <c r="S7" s="53" t="n">
        <v>1</v>
      </c>
      <c r="T7" s="53" t="n">
        <v>5</v>
      </c>
      <c r="U7" s="53" t="n">
        <v>180</v>
      </c>
      <c r="V7" s="53" t="n">
        <v>5</v>
      </c>
      <c r="W7" s="53" t="n">
        <v>1300</v>
      </c>
      <c r="X7" s="53" t="n">
        <v>3.04</v>
      </c>
    </row>
    <row r="8">
      <c r="A8" s="53" t="inlineStr">
        <is>
          <t>Apricot shells</t>
        </is>
      </c>
      <c r="B8" s="53" t="n">
        <v>33.3</v>
      </c>
      <c r="C8" s="53" t="n">
        <v>27.8</v>
      </c>
      <c r="D8" s="53" t="n">
        <v>52</v>
      </c>
      <c r="E8" s="53" t="n">
        <v>73.84</v>
      </c>
      <c r="F8" s="53" t="n">
        <v>0.9399999999999999</v>
      </c>
      <c r="G8" s="53" t="n">
        <v>15.51</v>
      </c>
      <c r="H8" s="53" t="n">
        <v>46.88</v>
      </c>
      <c r="I8" s="53" t="n">
        <v>45.45</v>
      </c>
      <c r="J8" s="53" t="n">
        <v>6.38</v>
      </c>
      <c r="K8" s="53" t="n">
        <v>6</v>
      </c>
      <c r="L8" s="53" t="n">
        <v>5</v>
      </c>
      <c r="M8" s="53" t="n">
        <v>0</v>
      </c>
      <c r="N8" s="53" t="n">
        <v>1</v>
      </c>
      <c r="O8" s="53" t="n">
        <v>4</v>
      </c>
      <c r="P8" s="53" t="n">
        <v>175.8318649121</v>
      </c>
      <c r="Q8" s="53" t="n">
        <v>4.05602508106362</v>
      </c>
      <c r="R8" s="53" t="n">
        <v>900</v>
      </c>
      <c r="S8" s="53" t="n">
        <v>0</v>
      </c>
      <c r="T8" s="53" t="n">
        <v>5</v>
      </c>
      <c r="U8" s="53" t="n">
        <v>0</v>
      </c>
      <c r="V8" s="53" t="n">
        <v>0</v>
      </c>
      <c r="W8" s="53" t="n">
        <v>0</v>
      </c>
      <c r="X8" s="53" t="n">
        <v>4.66</v>
      </c>
    </row>
    <row r="9">
      <c r="A9" s="53" t="inlineStr">
        <is>
          <t>Apricot shells</t>
        </is>
      </c>
      <c r="B9" s="53" t="n">
        <v>33.3</v>
      </c>
      <c r="C9" s="53" t="n">
        <v>27.8</v>
      </c>
      <c r="D9" s="53" t="n">
        <v>52</v>
      </c>
      <c r="E9" s="53" t="n">
        <v>73.84</v>
      </c>
      <c r="F9" s="53" t="n">
        <v>0.9399999999999999</v>
      </c>
      <c r="G9" s="53" t="n">
        <v>15.51</v>
      </c>
      <c r="H9" s="53" t="n">
        <v>46.88</v>
      </c>
      <c r="I9" s="53" t="n">
        <v>45.45</v>
      </c>
      <c r="J9" s="53" t="n">
        <v>6.38</v>
      </c>
      <c r="K9" s="53" t="n">
        <v>6</v>
      </c>
      <c r="L9" s="53" t="n">
        <v>5</v>
      </c>
      <c r="M9" s="53" t="n">
        <v>0</v>
      </c>
      <c r="N9" s="53" t="n">
        <v>1</v>
      </c>
      <c r="O9" s="53" t="n">
        <v>4</v>
      </c>
      <c r="P9" s="53" t="n">
        <v>189.941814640298</v>
      </c>
      <c r="Q9" s="53" t="n">
        <v>5.59728006656943</v>
      </c>
      <c r="R9" s="53" t="n">
        <v>1100</v>
      </c>
      <c r="S9" s="53" t="n">
        <v>0</v>
      </c>
      <c r="T9" s="53" t="n">
        <v>5</v>
      </c>
      <c r="U9" s="53" t="n">
        <v>0</v>
      </c>
      <c r="V9" s="53" t="n">
        <v>0</v>
      </c>
      <c r="W9" s="53" t="n">
        <v>0</v>
      </c>
      <c r="X9" s="53" t="n">
        <v>5.02</v>
      </c>
    </row>
    <row r="10">
      <c r="A10" s="53" t="inlineStr">
        <is>
          <t>Apricot shells</t>
        </is>
      </c>
      <c r="B10" s="53" t="n">
        <v>33.3</v>
      </c>
      <c r="C10" s="53" t="n">
        <v>27.8</v>
      </c>
      <c r="D10" s="53" t="n">
        <v>52</v>
      </c>
      <c r="E10" s="53" t="n">
        <v>73.84</v>
      </c>
      <c r="F10" s="53" t="n">
        <v>0.9399999999999999</v>
      </c>
      <c r="G10" s="53" t="n">
        <v>15.51</v>
      </c>
      <c r="H10" s="53" t="n">
        <v>46.88</v>
      </c>
      <c r="I10" s="53" t="n">
        <v>45.45</v>
      </c>
      <c r="J10" s="53" t="n">
        <v>6.38</v>
      </c>
      <c r="K10" s="53" t="n">
        <v>6</v>
      </c>
      <c r="L10" s="53" t="n">
        <v>5</v>
      </c>
      <c r="M10" s="53" t="n">
        <v>0</v>
      </c>
      <c r="N10" s="53" t="n">
        <v>1</v>
      </c>
      <c r="O10" s="53" t="n">
        <v>4</v>
      </c>
      <c r="P10" s="53" t="n">
        <v>131.981029101058</v>
      </c>
      <c r="Q10" s="53" t="n">
        <v>5.34381132304055</v>
      </c>
      <c r="R10" s="53" t="n">
        <v>1300</v>
      </c>
      <c r="S10" s="53" t="n">
        <v>0</v>
      </c>
      <c r="T10" s="53" t="n">
        <v>5</v>
      </c>
      <c r="U10" s="53" t="n">
        <v>0</v>
      </c>
      <c r="V10" s="53" t="n">
        <v>0</v>
      </c>
      <c r="W10" s="53" t="n">
        <v>0</v>
      </c>
      <c r="X10" s="53" t="n">
        <v>5.16</v>
      </c>
    </row>
    <row r="11">
      <c r="A11" s="53" t="inlineStr">
        <is>
          <t>Apricot shells</t>
        </is>
      </c>
      <c r="B11" s="53" t="n">
        <v>33.3</v>
      </c>
      <c r="C11" s="53" t="n">
        <v>27.8</v>
      </c>
      <c r="D11" s="53" t="n">
        <v>52</v>
      </c>
      <c r="E11" s="53" t="n">
        <v>73.84</v>
      </c>
      <c r="F11" s="53" t="n">
        <v>0.9399999999999999</v>
      </c>
      <c r="G11" s="53" t="n">
        <v>15.51</v>
      </c>
      <c r="H11" s="53" t="n">
        <v>46.88</v>
      </c>
      <c r="I11" s="53" t="n">
        <v>45.45</v>
      </c>
      <c r="J11" s="53" t="n">
        <v>6.38</v>
      </c>
      <c r="K11" s="53" t="n">
        <v>6</v>
      </c>
      <c r="L11" s="53" t="n">
        <v>5</v>
      </c>
      <c r="M11" s="53" t="n">
        <v>0</v>
      </c>
      <c r="N11" s="53" t="n">
        <v>1</v>
      </c>
      <c r="O11" s="53" t="n">
        <v>4</v>
      </c>
      <c r="P11" s="53" t="n">
        <v>151.754179342575</v>
      </c>
      <c r="Q11" s="53" t="n">
        <v>3.24471167184231</v>
      </c>
      <c r="R11" s="53" t="n">
        <v>1500</v>
      </c>
      <c r="S11" s="53" t="n">
        <v>0</v>
      </c>
      <c r="T11" s="53" t="n">
        <v>5</v>
      </c>
      <c r="U11" s="53" t="n">
        <v>0</v>
      </c>
      <c r="V11" s="53" t="n">
        <v>0</v>
      </c>
      <c r="W11" s="53" t="n">
        <v>0</v>
      </c>
      <c r="X11" s="53" t="n">
        <v>5.24</v>
      </c>
    </row>
    <row r="12">
      <c r="A12" s="53" t="inlineStr">
        <is>
          <t>Apricot shells</t>
        </is>
      </c>
      <c r="B12" s="53" t="n">
        <v>33.3</v>
      </c>
      <c r="C12" s="53" t="n">
        <v>27.8</v>
      </c>
      <c r="D12" s="53" t="n">
        <v>52</v>
      </c>
      <c r="E12" s="53" t="n">
        <v>73.84</v>
      </c>
      <c r="F12" s="53" t="n">
        <v>0.9399999999999999</v>
      </c>
      <c r="G12" s="53" t="n">
        <v>15.51</v>
      </c>
      <c r="H12" s="53" t="n">
        <v>46.88</v>
      </c>
      <c r="I12" s="53" t="n">
        <v>45.45</v>
      </c>
      <c r="J12" s="53" t="n">
        <v>6.38</v>
      </c>
      <c r="K12" s="53" t="n">
        <v>6</v>
      </c>
      <c r="L12" s="53" t="n">
        <v>5</v>
      </c>
      <c r="M12" s="53" t="n">
        <v>1</v>
      </c>
      <c r="N12" s="53" t="n">
        <v>1</v>
      </c>
      <c r="O12" s="53" t="n">
        <v>4</v>
      </c>
      <c r="P12" s="53" t="n">
        <v>108.933637305437</v>
      </c>
      <c r="Q12" s="53" t="n">
        <v>5.74386386628624</v>
      </c>
      <c r="R12" s="53" t="n">
        <v>900</v>
      </c>
      <c r="S12" s="53" t="n">
        <v>1</v>
      </c>
      <c r="T12" s="53" t="n">
        <v>7</v>
      </c>
      <c r="U12" s="53" t="n">
        <v>120</v>
      </c>
      <c r="V12" s="53" t="n">
        <v>0</v>
      </c>
      <c r="W12" s="53" t="n">
        <v>800</v>
      </c>
      <c r="X12" s="53" t="n">
        <v>5.03</v>
      </c>
    </row>
    <row r="13">
      <c r="A13" s="53" t="inlineStr">
        <is>
          <t>Apricot shells</t>
        </is>
      </c>
      <c r="B13" s="53" t="n">
        <v>33.3</v>
      </c>
      <c r="C13" s="53" t="n">
        <v>27.8</v>
      </c>
      <c r="D13" s="53" t="n">
        <v>52</v>
      </c>
      <c r="E13" s="53" t="n">
        <v>73.84</v>
      </c>
      <c r="F13" s="53" t="n">
        <v>0.9399999999999999</v>
      </c>
      <c r="G13" s="53" t="n">
        <v>15.51</v>
      </c>
      <c r="H13" s="53" t="n">
        <v>46.88</v>
      </c>
      <c r="I13" s="53" t="n">
        <v>45.45</v>
      </c>
      <c r="J13" s="53" t="n">
        <v>6.38</v>
      </c>
      <c r="K13" s="53" t="n">
        <v>6</v>
      </c>
      <c r="L13" s="53" t="n">
        <v>5</v>
      </c>
      <c r="M13" s="53" t="n">
        <v>1</v>
      </c>
      <c r="N13" s="53" t="n">
        <v>1</v>
      </c>
      <c r="O13" s="53" t="n">
        <v>4</v>
      </c>
      <c r="P13" s="53" t="n">
        <v>98.223951146399</v>
      </c>
      <c r="Q13" s="53" t="n">
        <v>5.9670737325071</v>
      </c>
      <c r="R13" s="53" t="n">
        <v>1100</v>
      </c>
      <c r="S13" s="53" t="n">
        <v>1</v>
      </c>
      <c r="T13" s="53" t="n">
        <v>7</v>
      </c>
      <c r="U13" s="53" t="n">
        <v>120</v>
      </c>
      <c r="V13" s="53" t="n">
        <v>0</v>
      </c>
      <c r="W13" s="53" t="n">
        <v>800</v>
      </c>
      <c r="X13" s="53" t="n">
        <v>5.87</v>
      </c>
    </row>
    <row r="14">
      <c r="A14" s="53" t="inlineStr">
        <is>
          <t>Apricot shells</t>
        </is>
      </c>
      <c r="B14" s="53" t="n">
        <v>33.3</v>
      </c>
      <c r="C14" s="53" t="n">
        <v>27.8</v>
      </c>
      <c r="D14" s="53" t="n">
        <v>52</v>
      </c>
      <c r="E14" s="53" t="n">
        <v>73.84</v>
      </c>
      <c r="F14" s="53" t="n">
        <v>0.9399999999999999</v>
      </c>
      <c r="G14" s="53" t="n">
        <v>15.51</v>
      </c>
      <c r="H14" s="53" t="n">
        <v>46.88</v>
      </c>
      <c r="I14" s="53" t="n">
        <v>45.45</v>
      </c>
      <c r="J14" s="53" t="n">
        <v>6.38</v>
      </c>
      <c r="K14" s="53" t="n">
        <v>6</v>
      </c>
      <c r="L14" s="53" t="n">
        <v>5</v>
      </c>
      <c r="M14" s="53" t="n">
        <v>1</v>
      </c>
      <c r="N14" s="53" t="n">
        <v>1</v>
      </c>
      <c r="O14" s="53" t="n">
        <v>4</v>
      </c>
      <c r="P14" s="53" t="n">
        <v>176.338690644737</v>
      </c>
      <c r="Q14" s="53" t="n">
        <v>6.00113583186842</v>
      </c>
      <c r="R14" s="53" t="n">
        <v>1300</v>
      </c>
      <c r="S14" s="53" t="n">
        <v>1</v>
      </c>
      <c r="T14" s="53" t="n">
        <v>7</v>
      </c>
      <c r="U14" s="53" t="n">
        <v>120</v>
      </c>
      <c r="V14" s="53" t="n">
        <v>0</v>
      </c>
      <c r="W14" s="53" t="n">
        <v>800</v>
      </c>
      <c r="X14" s="53" t="n">
        <v>6.19</v>
      </c>
    </row>
    <row r="15">
      <c r="A15" s="53" t="inlineStr">
        <is>
          <t>Apricot shells</t>
        </is>
      </c>
      <c r="B15" s="53" t="n">
        <v>33.3</v>
      </c>
      <c r="C15" s="53" t="n">
        <v>27.8</v>
      </c>
      <c r="D15" s="53" t="n">
        <v>52</v>
      </c>
      <c r="E15" s="53" t="n">
        <v>73.84</v>
      </c>
      <c r="F15" s="53" t="n">
        <v>0.9399999999999999</v>
      </c>
      <c r="G15" s="53" t="n">
        <v>15.51</v>
      </c>
      <c r="H15" s="53" t="n">
        <v>46.88</v>
      </c>
      <c r="I15" s="53" t="n">
        <v>45.45</v>
      </c>
      <c r="J15" s="53" t="n">
        <v>6.38</v>
      </c>
      <c r="K15" s="53" t="n">
        <v>6</v>
      </c>
      <c r="L15" s="53" t="n">
        <v>5</v>
      </c>
      <c r="M15" s="53" t="n">
        <v>1</v>
      </c>
      <c r="N15" s="53" t="n">
        <v>1</v>
      </c>
      <c r="O15" s="53" t="n">
        <v>4</v>
      </c>
      <c r="P15" s="53" t="n">
        <v>115.233460818891</v>
      </c>
      <c r="Q15" s="53" t="n">
        <v>5</v>
      </c>
      <c r="R15" s="53" t="n">
        <v>1500</v>
      </c>
      <c r="S15" s="53" t="n">
        <v>1</v>
      </c>
      <c r="T15" s="53" t="n">
        <v>7</v>
      </c>
      <c r="U15" s="53" t="n">
        <v>120</v>
      </c>
      <c r="V15" s="53" t="n">
        <v>0</v>
      </c>
      <c r="W15" s="53" t="n">
        <v>800</v>
      </c>
      <c r="X15" s="53" t="n">
        <v>6.51</v>
      </c>
    </row>
    <row r="16">
      <c r="A16" s="53" t="inlineStr">
        <is>
          <t>Bagasse</t>
        </is>
      </c>
      <c r="B16" s="53" t="n">
        <v>36.5</v>
      </c>
      <c r="C16" s="53" t="n">
        <v>26</v>
      </c>
      <c r="D16" s="53" t="n">
        <v>18.5</v>
      </c>
      <c r="E16" s="53" t="n">
        <v>83.5</v>
      </c>
      <c r="F16" s="53" t="n">
        <v>4.2</v>
      </c>
      <c r="G16" s="53" t="n">
        <v>12.5</v>
      </c>
      <c r="H16" s="53" t="n">
        <v>43.1</v>
      </c>
      <c r="I16" s="53" t="n">
        <v>51.4</v>
      </c>
      <c r="J16" s="53" t="n">
        <v>5.51</v>
      </c>
      <c r="K16" s="53" t="n">
        <v>4</v>
      </c>
      <c r="L16" s="53" t="n">
        <v>5</v>
      </c>
      <c r="M16" s="53" t="n">
        <v>0</v>
      </c>
      <c r="N16" s="53" t="n">
        <v>1</v>
      </c>
      <c r="O16" s="53" t="n">
        <v>4</v>
      </c>
      <c r="P16" s="53" t="n">
        <v>60</v>
      </c>
      <c r="Q16" s="53" t="n">
        <v>5</v>
      </c>
      <c r="R16" s="53" t="n">
        <v>1400</v>
      </c>
      <c r="S16" s="53" t="n">
        <v>0</v>
      </c>
      <c r="T16" s="53" t="n">
        <v>5</v>
      </c>
      <c r="U16" s="53" t="n">
        <v>0</v>
      </c>
      <c r="V16" s="53" t="n">
        <v>0</v>
      </c>
      <c r="W16" s="53" t="n">
        <v>0</v>
      </c>
      <c r="X16" s="53" t="n">
        <v>8.58</v>
      </c>
    </row>
    <row r="17">
      <c r="A17" s="53" t="inlineStr">
        <is>
          <t>Bamboo joints</t>
        </is>
      </c>
      <c r="B17" s="53" t="n">
        <v>40.3</v>
      </c>
      <c r="C17" s="53" t="n">
        <v>26.2</v>
      </c>
      <c r="D17" s="53" t="n">
        <v>29.2</v>
      </c>
      <c r="E17" s="53" t="n">
        <v>89.94</v>
      </c>
      <c r="F17" s="53" t="n">
        <v>0.51</v>
      </c>
      <c r="G17" s="53" t="n">
        <v>14.55</v>
      </c>
      <c r="H17" s="53" t="n">
        <v>48.75</v>
      </c>
      <c r="I17" s="53" t="n">
        <v>45.02</v>
      </c>
      <c r="J17" s="53" t="n">
        <v>5.98</v>
      </c>
      <c r="K17" s="53" t="n">
        <v>1</v>
      </c>
      <c r="L17" s="53" t="n">
        <v>5</v>
      </c>
      <c r="M17" s="53" t="n">
        <v>0</v>
      </c>
      <c r="N17" s="53" t="n">
        <v>1</v>
      </c>
      <c r="O17" s="53" t="n">
        <v>4</v>
      </c>
      <c r="P17" s="53" t="n">
        <v>120</v>
      </c>
      <c r="Q17" s="53" t="n">
        <v>5</v>
      </c>
      <c r="R17" s="53" t="n">
        <v>1400</v>
      </c>
      <c r="S17" s="53" t="n">
        <v>0</v>
      </c>
      <c r="T17" s="53" t="n">
        <v>5</v>
      </c>
      <c r="U17" s="53" t="n">
        <v>0</v>
      </c>
      <c r="V17" s="53" t="n">
        <v>0</v>
      </c>
      <c r="W17" s="53" t="n">
        <v>0</v>
      </c>
      <c r="X17" s="53" t="n">
        <v>2.05</v>
      </c>
    </row>
    <row r="18">
      <c r="A18" s="53" t="inlineStr">
        <is>
          <t>Banana peel</t>
        </is>
      </c>
      <c r="B18" s="53" t="n">
        <v>9.9</v>
      </c>
      <c r="C18" s="53" t="n">
        <v>41.38</v>
      </c>
      <c r="D18" s="53" t="n">
        <v>8.9</v>
      </c>
      <c r="E18" s="53" t="n">
        <v>88.02</v>
      </c>
      <c r="F18" s="53" t="n">
        <v>9.279999999999999</v>
      </c>
      <c r="G18" s="53" t="n">
        <v>2.7</v>
      </c>
      <c r="H18" s="53" t="n">
        <v>35.65</v>
      </c>
      <c r="I18" s="53" t="n">
        <v>45.94</v>
      </c>
      <c r="J18" s="53" t="n">
        <v>6.19</v>
      </c>
      <c r="K18" s="53" t="n">
        <v>6</v>
      </c>
      <c r="L18" s="53" t="n">
        <v>2</v>
      </c>
      <c r="M18" s="53" t="n">
        <v>0</v>
      </c>
      <c r="N18" s="53" t="n">
        <v>1</v>
      </c>
      <c r="O18" s="53" t="n">
        <v>4</v>
      </c>
      <c r="P18" s="53" t="n">
        <v>300</v>
      </c>
      <c r="Q18" s="53" t="n">
        <v>5</v>
      </c>
      <c r="R18" s="53" t="n">
        <v>800</v>
      </c>
      <c r="S18" s="53" t="n">
        <v>0</v>
      </c>
      <c r="T18" s="53" t="n">
        <v>5</v>
      </c>
      <c r="U18" s="53" t="n">
        <v>0</v>
      </c>
      <c r="V18" s="53" t="n">
        <v>0</v>
      </c>
      <c r="W18" s="53" t="n">
        <v>0</v>
      </c>
      <c r="X18" s="53" t="n">
        <v>2.12</v>
      </c>
    </row>
    <row r="19">
      <c r="A19" s="53" t="inlineStr">
        <is>
          <t>Banana peel</t>
        </is>
      </c>
      <c r="B19" s="53" t="n">
        <v>9.9</v>
      </c>
      <c r="C19" s="53" t="n">
        <v>41.38</v>
      </c>
      <c r="D19" s="53" t="n">
        <v>8.9</v>
      </c>
      <c r="E19" s="53" t="n">
        <v>88.02</v>
      </c>
      <c r="F19" s="53" t="n">
        <v>9.279999999999999</v>
      </c>
      <c r="G19" s="53" t="n">
        <v>2.7</v>
      </c>
      <c r="H19" s="53" t="n">
        <v>35.65</v>
      </c>
      <c r="I19" s="53" t="n">
        <v>45.94</v>
      </c>
      <c r="J19" s="53" t="n">
        <v>6.19</v>
      </c>
      <c r="K19" s="53" t="n">
        <v>6</v>
      </c>
      <c r="L19" s="53" t="n">
        <v>2</v>
      </c>
      <c r="M19" s="53" t="n">
        <v>0</v>
      </c>
      <c r="N19" s="53" t="n">
        <v>1</v>
      </c>
      <c r="O19" s="53" t="n">
        <v>4</v>
      </c>
      <c r="P19" s="53" t="n">
        <v>300</v>
      </c>
      <c r="Q19" s="53" t="n">
        <v>5</v>
      </c>
      <c r="R19" s="53" t="n">
        <v>800</v>
      </c>
      <c r="S19" s="53" t="n">
        <v>0</v>
      </c>
      <c r="T19" s="53" t="n">
        <v>5</v>
      </c>
      <c r="U19" s="53" t="n">
        <v>0</v>
      </c>
      <c r="V19" s="53" t="n">
        <v>0</v>
      </c>
      <c r="W19" s="53" t="n">
        <v>0</v>
      </c>
      <c r="X19" s="53" t="n">
        <v>2.12</v>
      </c>
    </row>
    <row r="20">
      <c r="A20" s="53" t="inlineStr">
        <is>
          <t>Banana peel</t>
        </is>
      </c>
      <c r="B20" s="53" t="n">
        <v>9.9</v>
      </c>
      <c r="C20" s="53" t="n">
        <v>41.38</v>
      </c>
      <c r="D20" s="53" t="n">
        <v>8.9</v>
      </c>
      <c r="E20" s="53" t="n">
        <v>88.02</v>
      </c>
      <c r="F20" s="53" t="n">
        <v>9.279999999999999</v>
      </c>
      <c r="G20" s="53" t="n">
        <v>2.7</v>
      </c>
      <c r="H20" s="53" t="n">
        <v>35.65</v>
      </c>
      <c r="I20" s="53" t="n">
        <v>45.94</v>
      </c>
      <c r="J20" s="53" t="n">
        <v>6.19</v>
      </c>
      <c r="K20" s="53" t="n">
        <v>6</v>
      </c>
      <c r="L20" s="53" t="n">
        <v>2</v>
      </c>
      <c r="M20" s="53" t="n">
        <v>0</v>
      </c>
      <c r="N20" s="53" t="n">
        <v>1</v>
      </c>
      <c r="O20" s="53" t="n">
        <v>4</v>
      </c>
      <c r="P20" s="53" t="n">
        <v>300</v>
      </c>
      <c r="Q20" s="53" t="n">
        <v>5</v>
      </c>
      <c r="R20" s="53" t="n">
        <v>1100</v>
      </c>
      <c r="S20" s="53" t="n">
        <v>0</v>
      </c>
      <c r="T20" s="53" t="n">
        <v>5</v>
      </c>
      <c r="U20" s="53" t="n">
        <v>0</v>
      </c>
      <c r="V20" s="53" t="n">
        <v>0</v>
      </c>
      <c r="W20" s="53" t="n">
        <v>0</v>
      </c>
      <c r="X20" s="53" t="n">
        <v>4.15</v>
      </c>
    </row>
    <row r="21">
      <c r="A21" s="53" t="inlineStr">
        <is>
          <t>Banana peel</t>
        </is>
      </c>
      <c r="B21" s="53" t="n">
        <v>9.9</v>
      </c>
      <c r="C21" s="53" t="n">
        <v>41.38</v>
      </c>
      <c r="D21" s="53" t="n">
        <v>8.9</v>
      </c>
      <c r="E21" s="53" t="n">
        <v>88.02</v>
      </c>
      <c r="F21" s="53" t="n">
        <v>9.279999999999999</v>
      </c>
      <c r="G21" s="53" t="n">
        <v>2.7</v>
      </c>
      <c r="H21" s="53" t="n">
        <v>35.65</v>
      </c>
      <c r="I21" s="53" t="n">
        <v>45.94</v>
      </c>
      <c r="J21" s="53" t="n">
        <v>6.19</v>
      </c>
      <c r="K21" s="53" t="n">
        <v>6</v>
      </c>
      <c r="L21" s="53" t="n">
        <v>2</v>
      </c>
      <c r="M21" s="53" t="n">
        <v>0</v>
      </c>
      <c r="N21" s="53" t="n">
        <v>1</v>
      </c>
      <c r="O21" s="53" t="n">
        <v>4</v>
      </c>
      <c r="P21" s="53" t="n">
        <v>300</v>
      </c>
      <c r="Q21" s="53" t="n">
        <v>5</v>
      </c>
      <c r="R21" s="53" t="n">
        <v>1100</v>
      </c>
      <c r="S21" s="53" t="n">
        <v>0</v>
      </c>
      <c r="T21" s="53" t="n">
        <v>5</v>
      </c>
      <c r="U21" s="53" t="n">
        <v>0</v>
      </c>
      <c r="V21" s="53" t="n">
        <v>0</v>
      </c>
      <c r="W21" s="53" t="n">
        <v>0</v>
      </c>
      <c r="X21" s="53" t="n">
        <v>4.15</v>
      </c>
    </row>
    <row r="22">
      <c r="A22" s="53" t="inlineStr">
        <is>
          <t>Banana peel</t>
        </is>
      </c>
      <c r="B22" s="53" t="n">
        <v>9.9</v>
      </c>
      <c r="C22" s="53" t="n">
        <v>41.38</v>
      </c>
      <c r="D22" s="53" t="n">
        <v>8.9</v>
      </c>
      <c r="E22" s="53" t="n">
        <v>88.02</v>
      </c>
      <c r="F22" s="53" t="n">
        <v>9.279999999999999</v>
      </c>
      <c r="G22" s="53" t="n">
        <v>2.7</v>
      </c>
      <c r="H22" s="53" t="n">
        <v>35.65</v>
      </c>
      <c r="I22" s="53" t="n">
        <v>45.94</v>
      </c>
      <c r="J22" s="53" t="n">
        <v>6.19</v>
      </c>
      <c r="K22" s="53" t="n">
        <v>6</v>
      </c>
      <c r="L22" s="53" t="n">
        <v>2</v>
      </c>
      <c r="M22" s="53" t="n">
        <v>0</v>
      </c>
      <c r="N22" s="53" t="n">
        <v>1</v>
      </c>
      <c r="O22" s="53" t="n">
        <v>4</v>
      </c>
      <c r="P22" s="53" t="n">
        <v>300</v>
      </c>
      <c r="Q22" s="53" t="n">
        <v>5</v>
      </c>
      <c r="R22" s="53" t="n">
        <v>1400</v>
      </c>
      <c r="S22" s="53" t="n">
        <v>0</v>
      </c>
      <c r="T22" s="53" t="n">
        <v>5</v>
      </c>
      <c r="U22" s="53" t="n">
        <v>0</v>
      </c>
      <c r="V22" s="53" t="n">
        <v>0</v>
      </c>
      <c r="W22" s="53" t="n">
        <v>0</v>
      </c>
      <c r="X22" s="53" t="n">
        <v>7.3</v>
      </c>
    </row>
    <row r="23">
      <c r="A23" s="53" t="inlineStr">
        <is>
          <t>Banana peel</t>
        </is>
      </c>
      <c r="B23" s="53" t="n">
        <v>9.9</v>
      </c>
      <c r="C23" s="53" t="n">
        <v>41.38</v>
      </c>
      <c r="D23" s="53" t="n">
        <v>8.9</v>
      </c>
      <c r="E23" s="53" t="n">
        <v>88.02</v>
      </c>
      <c r="F23" s="53" t="n">
        <v>9.279999999999999</v>
      </c>
      <c r="G23" s="53" t="n">
        <v>2.7</v>
      </c>
      <c r="H23" s="53" t="n">
        <v>35.65</v>
      </c>
      <c r="I23" s="53" t="n">
        <v>45.94</v>
      </c>
      <c r="J23" s="53" t="n">
        <v>6.19</v>
      </c>
      <c r="K23" s="53" t="n">
        <v>6</v>
      </c>
      <c r="L23" s="53" t="n">
        <v>2</v>
      </c>
      <c r="M23" s="53" t="n">
        <v>0</v>
      </c>
      <c r="N23" s="53" t="n">
        <v>1</v>
      </c>
      <c r="O23" s="53" t="n">
        <v>4</v>
      </c>
      <c r="P23" s="53" t="n">
        <v>300</v>
      </c>
      <c r="Q23" s="53" t="n">
        <v>5</v>
      </c>
      <c r="R23" s="53" t="n">
        <v>1400</v>
      </c>
      <c r="S23" s="53" t="n">
        <v>0</v>
      </c>
      <c r="T23" s="53" t="n">
        <v>5</v>
      </c>
      <c r="U23" s="53" t="n">
        <v>0</v>
      </c>
      <c r="V23" s="53" t="n">
        <v>0</v>
      </c>
      <c r="W23" s="53" t="n">
        <v>0</v>
      </c>
      <c r="X23" s="53" t="n">
        <v>7.3</v>
      </c>
    </row>
    <row r="24">
      <c r="A24" s="53" t="inlineStr">
        <is>
          <t>Banana peel</t>
        </is>
      </c>
      <c r="B24" s="53" t="n">
        <v>9.9</v>
      </c>
      <c r="C24" s="53" t="n">
        <v>41.38</v>
      </c>
      <c r="D24" s="53" t="n">
        <v>8.9</v>
      </c>
      <c r="E24" s="53" t="n">
        <v>88.02</v>
      </c>
      <c r="F24" s="53" t="n">
        <v>9.279999999999999</v>
      </c>
      <c r="G24" s="53" t="n">
        <v>2.7</v>
      </c>
      <c r="H24" s="53" t="n">
        <v>35.65</v>
      </c>
      <c r="I24" s="53" t="n">
        <v>45.94</v>
      </c>
      <c r="J24" s="53" t="n">
        <v>6.19</v>
      </c>
      <c r="K24" s="53" t="n">
        <v>6</v>
      </c>
      <c r="L24" s="53" t="n">
        <v>2</v>
      </c>
      <c r="M24" s="53" t="n">
        <v>1</v>
      </c>
      <c r="N24" s="53" t="n">
        <v>1</v>
      </c>
      <c r="O24" s="53" t="n">
        <v>4</v>
      </c>
      <c r="P24" s="53" t="n">
        <v>300</v>
      </c>
      <c r="Q24" s="53" t="n">
        <v>5</v>
      </c>
      <c r="R24" s="53" t="n">
        <v>800</v>
      </c>
      <c r="S24" s="53" t="n">
        <v>1</v>
      </c>
      <c r="T24" s="53" t="n">
        <v>6</v>
      </c>
      <c r="U24" s="53" t="n">
        <v>3</v>
      </c>
      <c r="V24" s="53" t="n">
        <v>5</v>
      </c>
      <c r="W24" s="53" t="n">
        <v>300</v>
      </c>
      <c r="X24" s="53" t="n">
        <v>2.43</v>
      </c>
    </row>
    <row r="25">
      <c r="A25" s="53" t="inlineStr">
        <is>
          <t>Banana peel</t>
        </is>
      </c>
      <c r="B25" s="53" t="n">
        <v>9.9</v>
      </c>
      <c r="C25" s="53" t="n">
        <v>41.38</v>
      </c>
      <c r="D25" s="53" t="n">
        <v>8.9</v>
      </c>
      <c r="E25" s="53" t="n">
        <v>88.02</v>
      </c>
      <c r="F25" s="53" t="n">
        <v>9.279999999999999</v>
      </c>
      <c r="G25" s="53" t="n">
        <v>2.7</v>
      </c>
      <c r="H25" s="53" t="n">
        <v>35.65</v>
      </c>
      <c r="I25" s="53" t="n">
        <v>45.94</v>
      </c>
      <c r="J25" s="53" t="n">
        <v>6.19</v>
      </c>
      <c r="K25" s="53" t="n">
        <v>6</v>
      </c>
      <c r="L25" s="53" t="n">
        <v>2</v>
      </c>
      <c r="M25" s="53" t="n">
        <v>1</v>
      </c>
      <c r="N25" s="53" t="n">
        <v>1</v>
      </c>
      <c r="O25" s="53" t="n">
        <v>4</v>
      </c>
      <c r="P25" s="53" t="n">
        <v>300</v>
      </c>
      <c r="Q25" s="53" t="n">
        <v>5</v>
      </c>
      <c r="R25" s="53" t="n">
        <v>800</v>
      </c>
      <c r="S25" s="53" t="n">
        <v>1</v>
      </c>
      <c r="T25" s="53" t="n">
        <v>6</v>
      </c>
      <c r="U25" s="53" t="n">
        <v>3</v>
      </c>
      <c r="V25" s="53" t="n">
        <v>5</v>
      </c>
      <c r="W25" s="53" t="n">
        <v>300</v>
      </c>
      <c r="X25" s="53" t="n">
        <v>2.43</v>
      </c>
    </row>
    <row r="26">
      <c r="A26" s="53" t="inlineStr">
        <is>
          <t>Banana peel</t>
        </is>
      </c>
      <c r="B26" s="53" t="n">
        <v>9.9</v>
      </c>
      <c r="C26" s="53" t="n">
        <v>41.38</v>
      </c>
      <c r="D26" s="53" t="n">
        <v>8.9</v>
      </c>
      <c r="E26" s="53" t="n">
        <v>88.02</v>
      </c>
      <c r="F26" s="53" t="n">
        <v>9.279999999999999</v>
      </c>
      <c r="G26" s="53" t="n">
        <v>2.7</v>
      </c>
      <c r="H26" s="53" t="n">
        <v>35.65</v>
      </c>
      <c r="I26" s="53" t="n">
        <v>45.94</v>
      </c>
      <c r="J26" s="53" t="n">
        <v>6.19</v>
      </c>
      <c r="K26" s="53" t="n">
        <v>6</v>
      </c>
      <c r="L26" s="53" t="n">
        <v>2</v>
      </c>
      <c r="M26" s="53" t="n">
        <v>1</v>
      </c>
      <c r="N26" s="53" t="n">
        <v>1</v>
      </c>
      <c r="O26" s="53" t="n">
        <v>4</v>
      </c>
      <c r="P26" s="53" t="n">
        <v>300</v>
      </c>
      <c r="Q26" s="53" t="n">
        <v>5</v>
      </c>
      <c r="R26" s="53" t="n">
        <v>1100</v>
      </c>
      <c r="S26" s="53" t="n">
        <v>1</v>
      </c>
      <c r="T26" s="53" t="n">
        <v>6</v>
      </c>
      <c r="U26" s="53" t="n">
        <v>3</v>
      </c>
      <c r="V26" s="53" t="n">
        <v>5</v>
      </c>
      <c r="W26" s="53" t="n">
        <v>300</v>
      </c>
      <c r="X26" s="53" t="n">
        <v>4.36</v>
      </c>
    </row>
    <row r="27">
      <c r="A27" s="53" t="inlineStr">
        <is>
          <t>Banana peel</t>
        </is>
      </c>
      <c r="B27" s="53" t="n">
        <v>9.9</v>
      </c>
      <c r="C27" s="53" t="n">
        <v>41.38</v>
      </c>
      <c r="D27" s="53" t="n">
        <v>8.9</v>
      </c>
      <c r="E27" s="53" t="n">
        <v>88.02</v>
      </c>
      <c r="F27" s="53" t="n">
        <v>9.279999999999999</v>
      </c>
      <c r="G27" s="53" t="n">
        <v>2.7</v>
      </c>
      <c r="H27" s="53" t="n">
        <v>35.65</v>
      </c>
      <c r="I27" s="53" t="n">
        <v>45.94</v>
      </c>
      <c r="J27" s="53" t="n">
        <v>6.19</v>
      </c>
      <c r="K27" s="53" t="n">
        <v>6</v>
      </c>
      <c r="L27" s="53" t="n">
        <v>2</v>
      </c>
      <c r="M27" s="53" t="n">
        <v>1</v>
      </c>
      <c r="N27" s="53" t="n">
        <v>1</v>
      </c>
      <c r="O27" s="53" t="n">
        <v>4</v>
      </c>
      <c r="P27" s="53" t="n">
        <v>300</v>
      </c>
      <c r="Q27" s="53" t="n">
        <v>5</v>
      </c>
      <c r="R27" s="53" t="n">
        <v>1100</v>
      </c>
      <c r="S27" s="53" t="n">
        <v>1</v>
      </c>
      <c r="T27" s="53" t="n">
        <v>6</v>
      </c>
      <c r="U27" s="53" t="n">
        <v>3</v>
      </c>
      <c r="V27" s="53" t="n">
        <v>5</v>
      </c>
      <c r="W27" s="53" t="n">
        <v>300</v>
      </c>
      <c r="X27" s="53" t="n">
        <v>4.36</v>
      </c>
    </row>
    <row r="28">
      <c r="A28" s="53" t="inlineStr">
        <is>
          <t>Banana peel</t>
        </is>
      </c>
      <c r="B28" s="53" t="n">
        <v>9.9</v>
      </c>
      <c r="C28" s="53" t="n">
        <v>41.38</v>
      </c>
      <c r="D28" s="53" t="n">
        <v>8.9</v>
      </c>
      <c r="E28" s="53" t="n">
        <v>88.02</v>
      </c>
      <c r="F28" s="53" t="n">
        <v>9.279999999999999</v>
      </c>
      <c r="G28" s="53" t="n">
        <v>2.7</v>
      </c>
      <c r="H28" s="53" t="n">
        <v>35.65</v>
      </c>
      <c r="I28" s="53" t="n">
        <v>45.94</v>
      </c>
      <c r="J28" s="53" t="n">
        <v>6.19</v>
      </c>
      <c r="K28" s="53" t="n">
        <v>6</v>
      </c>
      <c r="L28" s="53" t="n">
        <v>2</v>
      </c>
      <c r="M28" s="53" t="n">
        <v>1</v>
      </c>
      <c r="N28" s="53" t="n">
        <v>1</v>
      </c>
      <c r="O28" s="53" t="n">
        <v>4</v>
      </c>
      <c r="P28" s="53" t="n">
        <v>300</v>
      </c>
      <c r="Q28" s="53" t="n">
        <v>5</v>
      </c>
      <c r="R28" s="53" t="n">
        <v>1400</v>
      </c>
      <c r="S28" s="53" t="n">
        <v>1</v>
      </c>
      <c r="T28" s="53" t="n">
        <v>6</v>
      </c>
      <c r="U28" s="53" t="n">
        <v>3</v>
      </c>
      <c r="V28" s="53" t="n">
        <v>5</v>
      </c>
      <c r="W28" s="53" t="n">
        <v>300</v>
      </c>
      <c r="X28" s="53" t="n">
        <v>7.43</v>
      </c>
    </row>
    <row r="29">
      <c r="A29" s="53" t="inlineStr">
        <is>
          <t>Banana peel</t>
        </is>
      </c>
      <c r="B29" s="53" t="n">
        <v>9.9</v>
      </c>
      <c r="C29" s="53" t="n">
        <v>41.38</v>
      </c>
      <c r="D29" s="53" t="n">
        <v>8.9</v>
      </c>
      <c r="E29" s="53" t="n">
        <v>88.02</v>
      </c>
      <c r="F29" s="53" t="n">
        <v>9.279999999999999</v>
      </c>
      <c r="G29" s="53" t="n">
        <v>2.7</v>
      </c>
      <c r="H29" s="53" t="n">
        <v>35.65</v>
      </c>
      <c r="I29" s="53" t="n">
        <v>45.94</v>
      </c>
      <c r="J29" s="53" t="n">
        <v>6.19</v>
      </c>
      <c r="K29" s="53" t="n">
        <v>6</v>
      </c>
      <c r="L29" s="53" t="n">
        <v>2</v>
      </c>
      <c r="M29" s="53" t="n">
        <v>1</v>
      </c>
      <c r="N29" s="53" t="n">
        <v>1</v>
      </c>
      <c r="O29" s="53" t="n">
        <v>4</v>
      </c>
      <c r="P29" s="53" t="n">
        <v>300</v>
      </c>
      <c r="Q29" s="53" t="n">
        <v>5</v>
      </c>
      <c r="R29" s="53" t="n">
        <v>1400</v>
      </c>
      <c r="S29" s="53" t="n">
        <v>1</v>
      </c>
      <c r="T29" s="53" t="n">
        <v>6</v>
      </c>
      <c r="U29" s="53" t="n">
        <v>3</v>
      </c>
      <c r="V29" s="53" t="n">
        <v>5</v>
      </c>
      <c r="W29" s="53" t="n">
        <v>300</v>
      </c>
      <c r="X29" s="53" t="n">
        <v>7.43</v>
      </c>
    </row>
    <row r="30">
      <c r="A30" s="53" t="inlineStr">
        <is>
          <t>Buckwheat hulls</t>
        </is>
      </c>
      <c r="B30" s="53" t="n">
        <v>20.4</v>
      </c>
      <c r="C30" s="53" t="n">
        <v>18.5</v>
      </c>
      <c r="D30" s="53" t="n">
        <v>27</v>
      </c>
      <c r="E30" s="53" t="n">
        <v>66.90000000000001</v>
      </c>
      <c r="F30" s="53" t="n">
        <v>2.6</v>
      </c>
      <c r="G30" s="53" t="n">
        <v>18.1</v>
      </c>
      <c r="H30" s="53" t="n">
        <v>47.5</v>
      </c>
      <c r="I30" s="53" t="n">
        <v>44.1</v>
      </c>
      <c r="J30" s="53" t="n">
        <v>5.8</v>
      </c>
      <c r="K30" s="53" t="n">
        <v>3</v>
      </c>
      <c r="L30" s="53" t="n">
        <v>5</v>
      </c>
      <c r="M30" s="53" t="n">
        <v>0</v>
      </c>
      <c r="N30" s="53" t="n">
        <v>1</v>
      </c>
      <c r="O30" s="53" t="n">
        <v>4</v>
      </c>
      <c r="P30" s="53" t="n">
        <v>120</v>
      </c>
      <c r="Q30" s="53" t="n">
        <v>3</v>
      </c>
      <c r="R30" s="53" t="n">
        <v>700</v>
      </c>
      <c r="S30" s="53" t="n">
        <v>0</v>
      </c>
      <c r="T30" s="53" t="n">
        <v>5</v>
      </c>
      <c r="U30" s="53" t="n">
        <v>0</v>
      </c>
      <c r="V30" s="53" t="n">
        <v>0</v>
      </c>
      <c r="W30" s="53" t="n">
        <v>0</v>
      </c>
      <c r="X30" s="53" t="n">
        <v>10.76</v>
      </c>
    </row>
    <row r="31">
      <c r="A31" s="53" t="inlineStr">
        <is>
          <t>Buckwheat hulls</t>
        </is>
      </c>
      <c r="B31" s="53" t="n">
        <v>20.4</v>
      </c>
      <c r="C31" s="53" t="n">
        <v>18.5</v>
      </c>
      <c r="D31" s="53" t="n">
        <v>27</v>
      </c>
      <c r="E31" s="53" t="n">
        <v>66.90000000000001</v>
      </c>
      <c r="F31" s="53" t="n">
        <v>2.6</v>
      </c>
      <c r="G31" s="53" t="n">
        <v>18.1</v>
      </c>
      <c r="H31" s="53" t="n">
        <v>47.5</v>
      </c>
      <c r="I31" s="53" t="n">
        <v>44.1</v>
      </c>
      <c r="J31" s="53" t="n">
        <v>5.8</v>
      </c>
      <c r="K31" s="53" t="n">
        <v>3</v>
      </c>
      <c r="L31" s="53" t="n">
        <v>5</v>
      </c>
      <c r="M31" s="53" t="n">
        <v>0</v>
      </c>
      <c r="N31" s="53" t="n">
        <v>1</v>
      </c>
      <c r="O31" s="53" t="n">
        <v>4</v>
      </c>
      <c r="P31" s="53" t="n">
        <v>120</v>
      </c>
      <c r="Q31" s="53" t="n">
        <v>3</v>
      </c>
      <c r="R31" s="53" t="n">
        <v>900</v>
      </c>
      <c r="S31" s="53" t="n">
        <v>0</v>
      </c>
      <c r="T31" s="53" t="n">
        <v>5</v>
      </c>
      <c r="U31" s="53" t="n">
        <v>0</v>
      </c>
      <c r="V31" s="53" t="n">
        <v>0</v>
      </c>
      <c r="W31" s="53" t="n">
        <v>0</v>
      </c>
      <c r="X31" s="53" t="n">
        <v>10.95</v>
      </c>
    </row>
    <row r="32">
      <c r="A32" s="53" t="inlineStr">
        <is>
          <t>Buckwheat hulls</t>
        </is>
      </c>
      <c r="B32" s="53" t="n">
        <v>20.4</v>
      </c>
      <c r="C32" s="53" t="n">
        <v>18.5</v>
      </c>
      <c r="D32" s="53" t="n">
        <v>27</v>
      </c>
      <c r="E32" s="53" t="n">
        <v>66.90000000000001</v>
      </c>
      <c r="F32" s="53" t="n">
        <v>2.6</v>
      </c>
      <c r="G32" s="53" t="n">
        <v>18.1</v>
      </c>
      <c r="H32" s="53" t="n">
        <v>47.5</v>
      </c>
      <c r="I32" s="53" t="n">
        <v>44.1</v>
      </c>
      <c r="J32" s="53" t="n">
        <v>5.8</v>
      </c>
      <c r="K32" s="53" t="n">
        <v>3</v>
      </c>
      <c r="L32" s="53" t="n">
        <v>5</v>
      </c>
      <c r="M32" s="53" t="n">
        <v>0</v>
      </c>
      <c r="N32" s="53" t="n">
        <v>1</v>
      </c>
      <c r="O32" s="53" t="n">
        <v>4</v>
      </c>
      <c r="P32" s="53" t="n">
        <v>120</v>
      </c>
      <c r="Q32" s="53" t="n">
        <v>3</v>
      </c>
      <c r="R32" s="53" t="n">
        <v>1100</v>
      </c>
      <c r="S32" s="53" t="n">
        <v>0</v>
      </c>
      <c r="T32" s="53" t="n">
        <v>5</v>
      </c>
      <c r="U32" s="53" t="n">
        <v>0</v>
      </c>
      <c r="V32" s="53" t="n">
        <v>0</v>
      </c>
      <c r="W32" s="53" t="n">
        <v>0</v>
      </c>
      <c r="X32" s="53" t="n">
        <v>11.72</v>
      </c>
    </row>
    <row r="33">
      <c r="A33" s="53" t="inlineStr">
        <is>
          <t>Buckwheat hulls</t>
        </is>
      </c>
      <c r="B33" s="53" t="n">
        <v>20.4</v>
      </c>
      <c r="C33" s="53" t="n">
        <v>18.5</v>
      </c>
      <c r="D33" s="53" t="n">
        <v>27</v>
      </c>
      <c r="E33" s="53" t="n">
        <v>66.90000000000001</v>
      </c>
      <c r="F33" s="53" t="n">
        <v>2.6</v>
      </c>
      <c r="G33" s="53" t="n">
        <v>18.1</v>
      </c>
      <c r="H33" s="53" t="n">
        <v>47.5</v>
      </c>
      <c r="I33" s="53" t="n">
        <v>44.1</v>
      </c>
      <c r="J33" s="53" t="n">
        <v>5.8</v>
      </c>
      <c r="K33" s="53" t="n">
        <v>3</v>
      </c>
      <c r="L33" s="53" t="n">
        <v>5</v>
      </c>
      <c r="M33" s="53" t="n">
        <v>0</v>
      </c>
      <c r="N33" s="53" t="n">
        <v>1</v>
      </c>
      <c r="O33" s="53" t="n">
        <v>4</v>
      </c>
      <c r="P33" s="53" t="n">
        <v>120</v>
      </c>
      <c r="Q33" s="53" t="n">
        <v>3</v>
      </c>
      <c r="R33" s="53" t="n">
        <v>1300</v>
      </c>
      <c r="S33" s="53" t="n">
        <v>0</v>
      </c>
      <c r="T33" s="53" t="n">
        <v>5</v>
      </c>
      <c r="U33" s="53" t="n">
        <v>0</v>
      </c>
      <c r="V33" s="53" t="n">
        <v>0</v>
      </c>
      <c r="W33" s="53" t="n">
        <v>0</v>
      </c>
      <c r="X33" s="53" t="n">
        <v>12.11</v>
      </c>
    </row>
    <row r="34">
      <c r="A34" s="53" t="inlineStr">
        <is>
          <t>Cellulose</t>
        </is>
      </c>
      <c r="B34" s="53" t="n">
        <v>100</v>
      </c>
      <c r="C34" s="53" t="n">
        <v>0</v>
      </c>
      <c r="D34" s="53" t="n">
        <v>0</v>
      </c>
      <c r="E34" s="53" t="n">
        <v>69.67887361178821</v>
      </c>
      <c r="F34" s="53" t="n">
        <v>11.1154831649635</v>
      </c>
      <c r="G34" s="53" t="n">
        <v>21.6494943291595</v>
      </c>
      <c r="H34" s="53" t="n">
        <v>47.6838622176796</v>
      </c>
      <c r="I34" s="53" t="n">
        <v>42.9268367741664</v>
      </c>
      <c r="J34" s="53" t="n">
        <v>6.15110801567795</v>
      </c>
      <c r="K34" s="53" t="n">
        <v>1</v>
      </c>
      <c r="L34" s="53" t="n">
        <v>5</v>
      </c>
      <c r="M34" s="53" t="n">
        <v>0</v>
      </c>
      <c r="N34" s="53" t="n">
        <v>1</v>
      </c>
      <c r="O34" s="53" t="n">
        <v>4</v>
      </c>
      <c r="P34" s="53" t="n">
        <v>120</v>
      </c>
      <c r="Q34" s="53" t="n">
        <v>5</v>
      </c>
      <c r="R34" s="53" t="n">
        <v>1000</v>
      </c>
      <c r="S34" s="53" t="n">
        <v>0</v>
      </c>
      <c r="T34" s="53" t="n">
        <v>5</v>
      </c>
      <c r="U34" s="53" t="n">
        <v>0</v>
      </c>
      <c r="V34" s="53" t="n">
        <v>0</v>
      </c>
      <c r="W34" s="53" t="n">
        <v>0</v>
      </c>
      <c r="X34" s="53" t="n">
        <v>2.04</v>
      </c>
    </row>
    <row r="35">
      <c r="A35" s="53" t="inlineStr">
        <is>
          <t>Cellulose</t>
        </is>
      </c>
      <c r="B35" s="53" t="n">
        <v>100</v>
      </c>
      <c r="C35" s="53" t="n">
        <v>0</v>
      </c>
      <c r="D35" s="53" t="n">
        <v>0</v>
      </c>
      <c r="E35" s="53" t="n">
        <v>69.67887361178821</v>
      </c>
      <c r="F35" s="53" t="n">
        <v>11.1154831649635</v>
      </c>
      <c r="G35" s="53" t="n">
        <v>21.6494943291595</v>
      </c>
      <c r="H35" s="53" t="n">
        <v>47.6838622176796</v>
      </c>
      <c r="I35" s="53" t="n">
        <v>42.9268367741664</v>
      </c>
      <c r="J35" s="53" t="n">
        <v>6.15110801567795</v>
      </c>
      <c r="K35" s="53" t="n">
        <v>1</v>
      </c>
      <c r="L35" s="53" t="n">
        <v>5</v>
      </c>
      <c r="M35" s="53" t="n">
        <v>0</v>
      </c>
      <c r="N35" s="53" t="n">
        <v>1</v>
      </c>
      <c r="O35" s="53" t="n">
        <v>4</v>
      </c>
      <c r="P35" s="53" t="n">
        <v>120</v>
      </c>
      <c r="Q35" s="53" t="n">
        <v>5</v>
      </c>
      <c r="R35" s="53" t="n">
        <v>1200</v>
      </c>
      <c r="S35" s="53" t="n">
        <v>0</v>
      </c>
      <c r="T35" s="53" t="n">
        <v>5</v>
      </c>
      <c r="U35" s="53" t="n">
        <v>0</v>
      </c>
      <c r="V35" s="53" t="n">
        <v>0</v>
      </c>
      <c r="W35" s="53" t="n">
        <v>0</v>
      </c>
      <c r="X35" s="53" t="n">
        <v>2.23</v>
      </c>
    </row>
    <row r="36">
      <c r="A36" s="53" t="inlineStr">
        <is>
          <t>Cellulose</t>
        </is>
      </c>
      <c r="B36" s="53" t="n">
        <v>100</v>
      </c>
      <c r="C36" s="53" t="n">
        <v>0</v>
      </c>
      <c r="D36" s="53" t="n">
        <v>0</v>
      </c>
      <c r="E36" s="53" t="n">
        <v>69.67887361178821</v>
      </c>
      <c r="F36" s="53" t="n">
        <v>11.1154831649635</v>
      </c>
      <c r="G36" s="53" t="n">
        <v>21.6494943291595</v>
      </c>
      <c r="H36" s="53" t="n">
        <v>47.6838622176796</v>
      </c>
      <c r="I36" s="53" t="n">
        <v>42.9268367741664</v>
      </c>
      <c r="J36" s="53" t="n">
        <v>6.15110801567795</v>
      </c>
      <c r="K36" s="53" t="n">
        <v>1</v>
      </c>
      <c r="L36" s="53" t="n">
        <v>5</v>
      </c>
      <c r="M36" s="53" t="n">
        <v>0</v>
      </c>
      <c r="N36" s="53" t="n">
        <v>1</v>
      </c>
      <c r="O36" s="53" t="n">
        <v>4</v>
      </c>
      <c r="P36" s="53" t="n">
        <v>120</v>
      </c>
      <c r="Q36" s="53" t="n">
        <v>5</v>
      </c>
      <c r="R36" s="53" t="n">
        <v>1400</v>
      </c>
      <c r="S36" s="53" t="n">
        <v>0</v>
      </c>
      <c r="T36" s="53" t="n">
        <v>5</v>
      </c>
      <c r="U36" s="53" t="n">
        <v>0</v>
      </c>
      <c r="V36" s="53" t="n">
        <v>0</v>
      </c>
      <c r="W36" s="53" t="n">
        <v>0</v>
      </c>
      <c r="X36" s="53" t="n">
        <v>2.17</v>
      </c>
    </row>
    <row r="37">
      <c r="A37" s="53" t="inlineStr">
        <is>
          <t>Cellulose</t>
        </is>
      </c>
      <c r="B37" s="53" t="n">
        <v>100</v>
      </c>
      <c r="C37" s="53" t="n">
        <v>0</v>
      </c>
      <c r="D37" s="53" t="n">
        <v>0</v>
      </c>
      <c r="E37" s="53" t="n">
        <v>69.67887361178821</v>
      </c>
      <c r="F37" s="53" t="n">
        <v>11.1154831649635</v>
      </c>
      <c r="G37" s="53" t="n">
        <v>21.6494943291595</v>
      </c>
      <c r="H37" s="53" t="n">
        <v>47.6838622176796</v>
      </c>
      <c r="I37" s="53" t="n">
        <v>42.9268367741664</v>
      </c>
      <c r="J37" s="53" t="n">
        <v>6.15110801567795</v>
      </c>
      <c r="K37" s="53" t="n">
        <v>1</v>
      </c>
      <c r="L37" s="53" t="n">
        <v>5</v>
      </c>
      <c r="M37" s="53" t="n">
        <v>0</v>
      </c>
      <c r="N37" s="53" t="n">
        <v>1</v>
      </c>
      <c r="O37" s="53" t="n">
        <v>4</v>
      </c>
      <c r="P37" s="53" t="n">
        <v>120</v>
      </c>
      <c r="Q37" s="53" t="n">
        <v>5</v>
      </c>
      <c r="R37" s="53" t="n">
        <v>1600</v>
      </c>
      <c r="S37" s="53" t="n">
        <v>0</v>
      </c>
      <c r="T37" s="53" t="n">
        <v>5</v>
      </c>
      <c r="U37" s="53" t="n">
        <v>0</v>
      </c>
      <c r="V37" s="53" t="n">
        <v>0</v>
      </c>
      <c r="W37" s="53" t="n">
        <v>0</v>
      </c>
      <c r="X37" s="53" t="n">
        <v>2.43</v>
      </c>
    </row>
    <row r="38">
      <c r="A38" s="53" t="inlineStr">
        <is>
          <t>Cellulose</t>
        </is>
      </c>
      <c r="B38" s="53" t="n">
        <v>100</v>
      </c>
      <c r="C38" s="53" t="n">
        <v>0</v>
      </c>
      <c r="D38" s="53" t="n">
        <v>0</v>
      </c>
      <c r="E38" s="53" t="n">
        <v>69.67887361178821</v>
      </c>
      <c r="F38" s="53" t="n">
        <v>11.1154831649635</v>
      </c>
      <c r="G38" s="53" t="n">
        <v>21.6494943291595</v>
      </c>
      <c r="H38" s="53" t="n">
        <v>47.6838622176796</v>
      </c>
      <c r="I38" s="53" t="n">
        <v>42.9268367741664</v>
      </c>
      <c r="J38" s="53" t="n">
        <v>6.15110801567795</v>
      </c>
      <c r="K38" s="53" t="n">
        <v>1</v>
      </c>
      <c r="L38" s="53" t="n">
        <v>5</v>
      </c>
      <c r="M38" s="53" t="n">
        <v>0</v>
      </c>
      <c r="N38" s="53" t="n">
        <v>1</v>
      </c>
      <c r="O38" s="53" t="n">
        <v>4</v>
      </c>
      <c r="P38" s="53" t="n">
        <v>120</v>
      </c>
      <c r="Q38" s="53" t="n">
        <v>5</v>
      </c>
      <c r="R38" s="53" t="n">
        <v>1800</v>
      </c>
      <c r="S38" s="53" t="n">
        <v>0</v>
      </c>
      <c r="T38" s="53" t="n">
        <v>5</v>
      </c>
      <c r="U38" s="53" t="n">
        <v>0</v>
      </c>
      <c r="V38" s="53" t="n">
        <v>0</v>
      </c>
      <c r="W38" s="53" t="n">
        <v>0</v>
      </c>
      <c r="X38" s="53" t="n">
        <v>2.94</v>
      </c>
    </row>
    <row r="39">
      <c r="A39" s="53" t="inlineStr">
        <is>
          <t>Cellulose</t>
        </is>
      </c>
      <c r="B39" s="53" t="n">
        <v>100</v>
      </c>
      <c r="C39" s="53" t="n">
        <v>0</v>
      </c>
      <c r="D39" s="53" t="n">
        <v>0</v>
      </c>
      <c r="E39" s="53" t="n">
        <v>69.67887361178821</v>
      </c>
      <c r="F39" s="53" t="n">
        <v>11.1154831649635</v>
      </c>
      <c r="G39" s="53" t="n">
        <v>21.6494943291595</v>
      </c>
      <c r="H39" s="53" t="n">
        <v>47.6838622176796</v>
      </c>
      <c r="I39" s="53" t="n">
        <v>42.9268367741664</v>
      </c>
      <c r="J39" s="53" t="n">
        <v>6.15110801567795</v>
      </c>
      <c r="K39" s="53" t="n">
        <v>4</v>
      </c>
      <c r="L39" s="53" t="n">
        <v>5</v>
      </c>
      <c r="M39" s="53" t="n">
        <v>0</v>
      </c>
      <c r="N39" s="53" t="n">
        <v>1</v>
      </c>
      <c r="O39" s="53" t="n">
        <v>4</v>
      </c>
      <c r="P39" s="53" t="n">
        <v>240</v>
      </c>
      <c r="Q39" s="53" t="n">
        <v>5</v>
      </c>
      <c r="R39" s="53" t="n">
        <v>600</v>
      </c>
      <c r="S39" s="53" t="n">
        <v>0</v>
      </c>
      <c r="T39" s="53" t="n">
        <v>5</v>
      </c>
      <c r="U39" s="53" t="n">
        <v>0</v>
      </c>
      <c r="V39" s="53" t="n">
        <v>0</v>
      </c>
      <c r="W39" s="53" t="n">
        <v>0</v>
      </c>
      <c r="X39" s="53" t="n">
        <v>3.13</v>
      </c>
    </row>
    <row r="40">
      <c r="A40" s="53" t="inlineStr">
        <is>
          <t>Cellulose</t>
        </is>
      </c>
      <c r="B40" s="53" t="n">
        <v>100</v>
      </c>
      <c r="C40" s="53" t="n">
        <v>0</v>
      </c>
      <c r="D40" s="53" t="n">
        <v>0</v>
      </c>
      <c r="E40" s="53" t="n">
        <v>69.67887361178821</v>
      </c>
      <c r="F40" s="53" t="n">
        <v>11.1154831649635</v>
      </c>
      <c r="G40" s="53" t="n">
        <v>21.6494943291595</v>
      </c>
      <c r="H40" s="53" t="n">
        <v>47.6838622176796</v>
      </c>
      <c r="I40" s="53" t="n">
        <v>42.9268367741664</v>
      </c>
      <c r="J40" s="53" t="n">
        <v>6.15110801567795</v>
      </c>
      <c r="K40" s="53" t="n">
        <v>4</v>
      </c>
      <c r="L40" s="53" t="n">
        <v>5</v>
      </c>
      <c r="M40" s="53" t="n">
        <v>0</v>
      </c>
      <c r="N40" s="53" t="n">
        <v>1</v>
      </c>
      <c r="O40" s="53" t="n">
        <v>4</v>
      </c>
      <c r="P40" s="53" t="n">
        <v>240</v>
      </c>
      <c r="Q40" s="53" t="n">
        <v>5</v>
      </c>
      <c r="R40" s="53" t="n">
        <v>800</v>
      </c>
      <c r="S40" s="53" t="n">
        <v>0</v>
      </c>
      <c r="T40" s="53" t="n">
        <v>5</v>
      </c>
      <c r="U40" s="53" t="n">
        <v>0</v>
      </c>
      <c r="V40" s="53" t="n">
        <v>0</v>
      </c>
      <c r="W40" s="53" t="n">
        <v>0</v>
      </c>
      <c r="X40" s="53" t="n">
        <v>3.32</v>
      </c>
    </row>
    <row r="41">
      <c r="A41" s="53" t="inlineStr">
        <is>
          <t>Cellulose</t>
        </is>
      </c>
      <c r="B41" s="53" t="n">
        <v>100</v>
      </c>
      <c r="C41" s="53" t="n">
        <v>0</v>
      </c>
      <c r="D41" s="53" t="n">
        <v>0</v>
      </c>
      <c r="E41" s="53" t="n">
        <v>69.67887361178821</v>
      </c>
      <c r="F41" s="53" t="n">
        <v>11.1154831649635</v>
      </c>
      <c r="G41" s="53" t="n">
        <v>21.6494943291595</v>
      </c>
      <c r="H41" s="53" t="n">
        <v>47.6838622176796</v>
      </c>
      <c r="I41" s="53" t="n">
        <v>42.9268367741664</v>
      </c>
      <c r="J41" s="53" t="n">
        <v>6.15110801567795</v>
      </c>
      <c r="K41" s="53" t="n">
        <v>4</v>
      </c>
      <c r="L41" s="53" t="n">
        <v>5</v>
      </c>
      <c r="M41" s="53" t="n">
        <v>0</v>
      </c>
      <c r="N41" s="53" t="n">
        <v>1</v>
      </c>
      <c r="O41" s="53" t="n">
        <v>4</v>
      </c>
      <c r="P41" s="53" t="n">
        <v>240</v>
      </c>
      <c r="Q41" s="53" t="n">
        <v>5</v>
      </c>
      <c r="R41" s="53" t="n">
        <v>1000</v>
      </c>
      <c r="S41" s="53" t="n">
        <v>0</v>
      </c>
      <c r="T41" s="53" t="n">
        <v>5</v>
      </c>
      <c r="U41" s="53" t="n">
        <v>0</v>
      </c>
      <c r="V41" s="53" t="n">
        <v>0</v>
      </c>
      <c r="W41" s="53" t="n">
        <v>0</v>
      </c>
      <c r="X41" s="53" t="n">
        <v>3.59</v>
      </c>
    </row>
    <row r="42">
      <c r="A42" s="53" t="inlineStr">
        <is>
          <t>Cellulose</t>
        </is>
      </c>
      <c r="B42" s="53" t="n">
        <v>100</v>
      </c>
      <c r="C42" s="53" t="n">
        <v>0</v>
      </c>
      <c r="D42" s="53" t="n">
        <v>0</v>
      </c>
      <c r="E42" s="53" t="n">
        <v>69.67887361178821</v>
      </c>
      <c r="F42" s="53" t="n">
        <v>11.1154831649635</v>
      </c>
      <c r="G42" s="53" t="n">
        <v>21.6494943291595</v>
      </c>
      <c r="H42" s="53" t="n">
        <v>47.6838622176796</v>
      </c>
      <c r="I42" s="53" t="n">
        <v>42.9268367741664</v>
      </c>
      <c r="J42" s="53" t="n">
        <v>6.15110801567795</v>
      </c>
      <c r="K42" s="53" t="n">
        <v>4</v>
      </c>
      <c r="L42" s="53" t="n">
        <v>5</v>
      </c>
      <c r="M42" s="53" t="n">
        <v>0</v>
      </c>
      <c r="N42" s="53" t="n">
        <v>1</v>
      </c>
      <c r="O42" s="53" t="n">
        <v>4</v>
      </c>
      <c r="P42" s="53" t="n">
        <v>240</v>
      </c>
      <c r="Q42" s="53" t="n">
        <v>5</v>
      </c>
      <c r="R42" s="53" t="n">
        <v>1200</v>
      </c>
      <c r="S42" s="53" t="n">
        <v>0</v>
      </c>
      <c r="T42" s="53" t="n">
        <v>5</v>
      </c>
      <c r="U42" s="53" t="n">
        <v>0</v>
      </c>
      <c r="V42" s="53" t="n">
        <v>0</v>
      </c>
      <c r="W42" s="53" t="n">
        <v>0</v>
      </c>
      <c r="X42" s="53" t="n">
        <v>3.9</v>
      </c>
    </row>
    <row r="43">
      <c r="A43" s="53" t="inlineStr">
        <is>
          <t>Cellulose</t>
        </is>
      </c>
      <c r="B43" s="53" t="n">
        <v>100</v>
      </c>
      <c r="C43" s="53" t="n">
        <v>0</v>
      </c>
      <c r="D43" s="53" t="n">
        <v>0</v>
      </c>
      <c r="E43" s="53" t="n">
        <v>69.67887361178821</v>
      </c>
      <c r="F43" s="53" t="n">
        <v>11.1154831649635</v>
      </c>
      <c r="G43" s="53" t="n">
        <v>21.6494943291595</v>
      </c>
      <c r="H43" s="53" t="n">
        <v>47.6838622176796</v>
      </c>
      <c r="I43" s="53" t="n">
        <v>42.9268367741664</v>
      </c>
      <c r="J43" s="53" t="n">
        <v>6.15110801567795</v>
      </c>
      <c r="K43" s="53" t="n">
        <v>4</v>
      </c>
      <c r="L43" s="53" t="n">
        <v>5</v>
      </c>
      <c r="M43" s="53" t="n">
        <v>0</v>
      </c>
      <c r="N43" s="53" t="n">
        <v>1</v>
      </c>
      <c r="O43" s="53" t="n">
        <v>4</v>
      </c>
      <c r="P43" s="53" t="n">
        <v>240</v>
      </c>
      <c r="Q43" s="53" t="n">
        <v>5</v>
      </c>
      <c r="R43" s="53" t="n">
        <v>1400</v>
      </c>
      <c r="S43" s="53" t="n">
        <v>0</v>
      </c>
      <c r="T43" s="53" t="n">
        <v>5</v>
      </c>
      <c r="U43" s="53" t="n">
        <v>0</v>
      </c>
      <c r="V43" s="53" t="n">
        <v>0</v>
      </c>
      <c r="W43" s="53" t="n">
        <v>0</v>
      </c>
      <c r="X43" s="53" t="n">
        <v>4.3</v>
      </c>
    </row>
    <row r="44">
      <c r="A44" s="53" t="inlineStr">
        <is>
          <t>Cellulose</t>
        </is>
      </c>
      <c r="B44" s="53" t="n">
        <v>100</v>
      </c>
      <c r="C44" s="53" t="n">
        <v>0</v>
      </c>
      <c r="D44" s="53" t="n">
        <v>0</v>
      </c>
      <c r="E44" s="53" t="n">
        <v>69.67887361178821</v>
      </c>
      <c r="F44" s="53" t="n">
        <v>11.1154831649635</v>
      </c>
      <c r="G44" s="53" t="n">
        <v>21.6494943291595</v>
      </c>
      <c r="H44" s="53" t="n">
        <v>47.6838622176796</v>
      </c>
      <c r="I44" s="53" t="n">
        <v>42.9268367741664</v>
      </c>
      <c r="J44" s="53" t="n">
        <v>6.15110801567795</v>
      </c>
      <c r="K44" s="53" t="n">
        <v>4</v>
      </c>
      <c r="L44" s="53" t="n">
        <v>5</v>
      </c>
      <c r="M44" s="53" t="n">
        <v>0</v>
      </c>
      <c r="N44" s="53" t="n">
        <v>1</v>
      </c>
      <c r="O44" s="53" t="n">
        <v>4</v>
      </c>
      <c r="P44" s="53" t="n">
        <v>240</v>
      </c>
      <c r="Q44" s="53" t="n">
        <v>5</v>
      </c>
      <c r="R44" s="53" t="n">
        <v>1600</v>
      </c>
      <c r="S44" s="53" t="n">
        <v>0</v>
      </c>
      <c r="T44" s="53" t="n">
        <v>5</v>
      </c>
      <c r="U44" s="53" t="n">
        <v>0</v>
      </c>
      <c r="V44" s="53" t="n">
        <v>0</v>
      </c>
      <c r="W44" s="53" t="n">
        <v>0</v>
      </c>
      <c r="X44" s="53" t="n">
        <v>3.62</v>
      </c>
    </row>
    <row r="45">
      <c r="A45" s="53" t="inlineStr">
        <is>
          <t>Cellulose</t>
        </is>
      </c>
      <c r="B45" s="53" t="n">
        <v>100</v>
      </c>
      <c r="C45" s="53" t="n">
        <v>0</v>
      </c>
      <c r="D45" s="53" t="n">
        <v>0</v>
      </c>
      <c r="E45" s="53" t="n">
        <v>69.67887361178821</v>
      </c>
      <c r="F45" s="53" t="n">
        <v>11.1154831649635</v>
      </c>
      <c r="G45" s="53" t="n">
        <v>21.6494943291595</v>
      </c>
      <c r="H45" s="53" t="n">
        <v>47.6838622176796</v>
      </c>
      <c r="I45" s="53" t="n">
        <v>42.9268367741664</v>
      </c>
      <c r="J45" s="53" t="n">
        <v>6.15110801567795</v>
      </c>
      <c r="K45" s="53" t="n">
        <v>1</v>
      </c>
      <c r="L45" s="53" t="n">
        <v>5</v>
      </c>
      <c r="M45" s="53" t="n">
        <v>1</v>
      </c>
      <c r="N45" s="53" t="n">
        <v>1</v>
      </c>
      <c r="O45" s="53" t="n">
        <v>4</v>
      </c>
      <c r="P45" s="53" t="n">
        <v>60</v>
      </c>
      <c r="Q45" s="53" t="n">
        <v>10</v>
      </c>
      <c r="R45" s="53" t="n">
        <v>800</v>
      </c>
      <c r="S45" s="53" t="n">
        <v>1</v>
      </c>
      <c r="T45" s="53" t="n">
        <v>5</v>
      </c>
      <c r="U45" s="53" t="n">
        <v>480</v>
      </c>
      <c r="V45" s="53" t="n">
        <v>10</v>
      </c>
      <c r="W45" s="53" t="n">
        <v>1300</v>
      </c>
      <c r="X45" s="53" t="n">
        <v>3.97</v>
      </c>
    </row>
    <row r="46">
      <c r="A46" s="53" t="inlineStr">
        <is>
          <t>Coconut shells</t>
        </is>
      </c>
      <c r="B46" s="53" t="n">
        <v>17.89</v>
      </c>
      <c r="C46" s="53" t="n">
        <v>56.29</v>
      </c>
      <c r="D46" s="53" t="n">
        <v>25.82</v>
      </c>
      <c r="E46" s="53" t="n">
        <v>83.98220245</v>
      </c>
      <c r="F46" s="53" t="n">
        <v>3.56</v>
      </c>
      <c r="G46" s="53" t="n">
        <v>12.46</v>
      </c>
      <c r="H46" s="53" t="n">
        <v>64.23</v>
      </c>
      <c r="I46" s="53" t="n">
        <v>27.61</v>
      </c>
      <c r="J46" s="53" t="n">
        <v>6.89</v>
      </c>
      <c r="K46" s="53" t="n">
        <v>4</v>
      </c>
      <c r="L46" s="53" t="n">
        <v>3</v>
      </c>
      <c r="M46" s="53" t="n">
        <v>0</v>
      </c>
      <c r="N46" s="53" t="n">
        <v>1</v>
      </c>
      <c r="O46" s="53" t="n">
        <v>4</v>
      </c>
      <c r="P46" s="53" t="n">
        <v>90</v>
      </c>
      <c r="Q46" s="53" t="n">
        <v>5</v>
      </c>
      <c r="R46" s="53" t="n">
        <v>1300</v>
      </c>
      <c r="S46" s="53" t="n">
        <v>0</v>
      </c>
      <c r="T46" s="53" t="n">
        <v>5</v>
      </c>
      <c r="U46" s="53" t="n">
        <v>0</v>
      </c>
      <c r="V46" s="53" t="n">
        <v>0</v>
      </c>
      <c r="W46" s="53" t="n">
        <v>0</v>
      </c>
      <c r="X46" s="53" t="n">
        <v>34</v>
      </c>
    </row>
    <row r="47">
      <c r="A47" s="53" t="inlineStr">
        <is>
          <t>Coconut shells</t>
        </is>
      </c>
      <c r="B47" s="53" t="n">
        <v>17.89</v>
      </c>
      <c r="C47" s="53" t="n">
        <v>56.29</v>
      </c>
      <c r="D47" s="53" t="n">
        <v>25.82</v>
      </c>
      <c r="E47" s="53" t="n">
        <v>83.98220245</v>
      </c>
      <c r="F47" s="53" t="n">
        <v>3.56</v>
      </c>
      <c r="G47" s="53" t="n">
        <v>12.46</v>
      </c>
      <c r="H47" s="53" t="n">
        <v>64.23</v>
      </c>
      <c r="I47" s="53" t="n">
        <v>27.61</v>
      </c>
      <c r="J47" s="53" t="n">
        <v>6.89</v>
      </c>
      <c r="K47" s="53" t="n">
        <v>1</v>
      </c>
      <c r="L47" s="53" t="n">
        <v>5</v>
      </c>
      <c r="M47" s="53" t="n">
        <v>0</v>
      </c>
      <c r="N47" s="53" t="n">
        <v>1</v>
      </c>
      <c r="O47" s="53" t="n">
        <v>4</v>
      </c>
      <c r="P47" s="53" t="n">
        <v>120</v>
      </c>
      <c r="Q47" s="53" t="n">
        <v>5</v>
      </c>
      <c r="R47" s="53" t="n">
        <v>1400</v>
      </c>
      <c r="S47" s="53" t="n">
        <v>0</v>
      </c>
      <c r="T47" s="53" t="n">
        <v>5</v>
      </c>
      <c r="U47" s="53" t="n">
        <v>0</v>
      </c>
      <c r="V47" s="53" t="n">
        <v>0</v>
      </c>
      <c r="W47" s="53" t="n">
        <v>0</v>
      </c>
      <c r="X47" s="53" t="n">
        <v>2.19</v>
      </c>
    </row>
    <row r="48">
      <c r="A48" s="53" t="inlineStr">
        <is>
          <t>Coconut shells</t>
        </is>
      </c>
      <c r="B48" s="53" t="n">
        <v>17.89</v>
      </c>
      <c r="C48" s="53" t="n">
        <v>56.29</v>
      </c>
      <c r="D48" s="53" t="n">
        <v>25.82</v>
      </c>
      <c r="E48" s="53" t="n">
        <v>83.98220245</v>
      </c>
      <c r="F48" s="53" t="n">
        <v>3.56</v>
      </c>
      <c r="G48" s="53" t="n">
        <v>12.46</v>
      </c>
      <c r="H48" s="53" t="n">
        <v>64.23</v>
      </c>
      <c r="I48" s="53" t="n">
        <v>27.61</v>
      </c>
      <c r="J48" s="53" t="n">
        <v>6.89</v>
      </c>
      <c r="K48" s="53" t="n">
        <v>4</v>
      </c>
      <c r="L48" s="53" t="n">
        <v>1</v>
      </c>
      <c r="M48" s="53" t="n">
        <v>0</v>
      </c>
      <c r="N48" s="53" t="n">
        <v>1</v>
      </c>
      <c r="O48" s="53" t="n">
        <v>4</v>
      </c>
      <c r="P48" s="53" t="n">
        <v>60</v>
      </c>
      <c r="Q48" s="53" t="n">
        <v>5</v>
      </c>
      <c r="R48" s="53" t="n">
        <v>1300</v>
      </c>
      <c r="S48" s="53" t="n">
        <v>0</v>
      </c>
      <c r="T48" s="53" t="n">
        <v>5</v>
      </c>
      <c r="U48" s="53" t="n">
        <v>0</v>
      </c>
      <c r="V48" s="53" t="n">
        <v>0</v>
      </c>
      <c r="W48" s="53" t="n">
        <v>0</v>
      </c>
      <c r="X48" s="53" t="n">
        <v>0.33</v>
      </c>
    </row>
    <row r="49">
      <c r="A49" s="53" t="inlineStr">
        <is>
          <t>Coffee ground</t>
        </is>
      </c>
      <c r="B49" s="53" t="n">
        <v>12.4</v>
      </c>
      <c r="C49" s="53" t="n">
        <v>39.1</v>
      </c>
      <c r="D49" s="53" t="n">
        <v>23.9</v>
      </c>
      <c r="E49" s="53" t="n">
        <v>83.3</v>
      </c>
      <c r="F49" s="53" t="n">
        <v>15.3</v>
      </c>
      <c r="G49" s="53" t="n">
        <v>1.5</v>
      </c>
      <c r="H49" s="53" t="n">
        <v>54.2</v>
      </c>
      <c r="I49" s="53" t="n">
        <v>33.1</v>
      </c>
      <c r="J49" s="53" t="n">
        <v>7</v>
      </c>
      <c r="K49" s="53" t="n">
        <v>4</v>
      </c>
      <c r="L49" s="53" t="n">
        <v>5</v>
      </c>
      <c r="M49" s="53" t="n">
        <v>0</v>
      </c>
      <c r="N49" s="53" t="n">
        <v>1</v>
      </c>
      <c r="O49" s="53" t="n">
        <v>0</v>
      </c>
      <c r="P49" s="53" t="n">
        <v>480</v>
      </c>
      <c r="Q49" s="53" t="n">
        <v>10</v>
      </c>
      <c r="R49" s="53" t="n">
        <v>970</v>
      </c>
      <c r="S49" s="53" t="n">
        <v>0</v>
      </c>
      <c r="T49" s="53" t="n">
        <v>5</v>
      </c>
      <c r="U49" s="53" t="n">
        <v>0</v>
      </c>
      <c r="V49" s="53" t="n">
        <v>0</v>
      </c>
      <c r="W49" s="53" t="n">
        <v>0</v>
      </c>
      <c r="X49" s="53" t="n">
        <v>19.92</v>
      </c>
    </row>
    <row r="50">
      <c r="A50" s="53" t="inlineStr">
        <is>
          <t>Coir</t>
        </is>
      </c>
      <c r="B50" s="53" t="n">
        <v>34.3359770079627</v>
      </c>
      <c r="C50" s="53" t="n">
        <v>13.4133843597305</v>
      </c>
      <c r="D50" s="53" t="n">
        <v>25.0938963518179</v>
      </c>
      <c r="E50" s="53" t="n">
        <v>69.2</v>
      </c>
      <c r="F50" s="53" t="n">
        <v>15.1</v>
      </c>
      <c r="G50" s="53" t="n">
        <v>21.6</v>
      </c>
      <c r="H50" s="53" t="n">
        <v>40.8</v>
      </c>
      <c r="I50" s="53" t="n">
        <v>40.3</v>
      </c>
      <c r="J50" s="53" t="n">
        <v>3.5</v>
      </c>
      <c r="K50" s="53" t="n">
        <v>5</v>
      </c>
      <c r="L50" s="53" t="n">
        <v>2</v>
      </c>
      <c r="M50" s="53" t="n">
        <v>0</v>
      </c>
      <c r="N50" s="53" t="n">
        <v>1</v>
      </c>
      <c r="O50" s="53" t="n">
        <v>4</v>
      </c>
      <c r="P50" s="53" t="n">
        <v>120</v>
      </c>
      <c r="Q50" s="53" t="n">
        <v>4.43310063832215</v>
      </c>
      <c r="R50" s="53" t="n">
        <v>800</v>
      </c>
      <c r="S50" s="53" t="n">
        <v>0</v>
      </c>
      <c r="T50" s="53" t="n">
        <v>5</v>
      </c>
      <c r="U50" s="53" t="n">
        <v>0</v>
      </c>
      <c r="V50" s="53" t="n">
        <v>0</v>
      </c>
      <c r="W50" s="53" t="n">
        <v>0</v>
      </c>
      <c r="X50" s="53" t="n">
        <v>13.84</v>
      </c>
    </row>
    <row r="51">
      <c r="A51" s="53" t="inlineStr">
        <is>
          <t>Coir</t>
        </is>
      </c>
      <c r="B51" s="53" t="n">
        <v>34.3359770079627</v>
      </c>
      <c r="C51" s="53" t="n">
        <v>13.4133843597305</v>
      </c>
      <c r="D51" s="53" t="n">
        <v>25.0938963518179</v>
      </c>
      <c r="E51" s="53" t="n">
        <v>69.2</v>
      </c>
      <c r="F51" s="53" t="n">
        <v>15.1</v>
      </c>
      <c r="G51" s="53" t="n">
        <v>21.6</v>
      </c>
      <c r="H51" s="53" t="n">
        <v>40.8</v>
      </c>
      <c r="I51" s="53" t="n">
        <v>40.3</v>
      </c>
      <c r="J51" s="53" t="n">
        <v>3.5</v>
      </c>
      <c r="K51" s="53" t="n">
        <v>5</v>
      </c>
      <c r="L51" s="53" t="n">
        <v>2</v>
      </c>
      <c r="M51" s="53" t="n">
        <v>0</v>
      </c>
      <c r="N51" s="53" t="n">
        <v>1</v>
      </c>
      <c r="O51" s="53" t="n">
        <v>4</v>
      </c>
      <c r="P51" s="53" t="n">
        <v>120</v>
      </c>
      <c r="Q51" s="53" t="n">
        <v>4.68025109497266</v>
      </c>
      <c r="R51" s="53" t="n">
        <v>1000</v>
      </c>
      <c r="S51" s="53" t="n">
        <v>0</v>
      </c>
      <c r="T51" s="53" t="n">
        <v>5</v>
      </c>
      <c r="U51" s="53" t="n">
        <v>0</v>
      </c>
      <c r="V51" s="53" t="n">
        <v>0</v>
      </c>
      <c r="W51" s="53" t="n">
        <v>0</v>
      </c>
      <c r="X51" s="53" t="n">
        <v>15.96</v>
      </c>
    </row>
    <row r="52">
      <c r="A52" s="53" t="inlineStr">
        <is>
          <t>Coir</t>
        </is>
      </c>
      <c r="B52" s="53" t="n">
        <v>34.3359770079627</v>
      </c>
      <c r="C52" s="53" t="n">
        <v>13.4133843597305</v>
      </c>
      <c r="D52" s="53" t="n">
        <v>25.0938963518179</v>
      </c>
      <c r="E52" s="53" t="n">
        <v>69.2</v>
      </c>
      <c r="F52" s="53" t="n">
        <v>15.1</v>
      </c>
      <c r="G52" s="53" t="n">
        <v>21.6</v>
      </c>
      <c r="H52" s="53" t="n">
        <v>40.8</v>
      </c>
      <c r="I52" s="53" t="n">
        <v>40.3</v>
      </c>
      <c r="J52" s="53" t="n">
        <v>3.5</v>
      </c>
      <c r="K52" s="53" t="n">
        <v>5</v>
      </c>
      <c r="L52" s="53" t="n">
        <v>2</v>
      </c>
      <c r="M52" s="53" t="n">
        <v>0</v>
      </c>
      <c r="N52" s="53" t="n">
        <v>1</v>
      </c>
      <c r="O52" s="53" t="n">
        <v>4</v>
      </c>
      <c r="P52" s="53" t="n">
        <v>120</v>
      </c>
      <c r="Q52" s="53" t="n">
        <v>4.46746141976815</v>
      </c>
      <c r="R52" s="53" t="n">
        <v>1200</v>
      </c>
      <c r="S52" s="53" t="n">
        <v>0</v>
      </c>
      <c r="T52" s="53" t="n">
        <v>5</v>
      </c>
      <c r="U52" s="53" t="n">
        <v>0</v>
      </c>
      <c r="V52" s="53" t="n">
        <v>0</v>
      </c>
      <c r="W52" s="53" t="n">
        <v>0</v>
      </c>
      <c r="X52" s="53" t="n">
        <v>16.15</v>
      </c>
    </row>
    <row r="53">
      <c r="A53" s="53" t="inlineStr">
        <is>
          <t>Cork</t>
        </is>
      </c>
      <c r="B53" s="53" t="n">
        <v>46.5</v>
      </c>
      <c r="C53" s="53" t="n">
        <v>24.4</v>
      </c>
      <c r="D53" s="53" t="n">
        <v>24.9</v>
      </c>
      <c r="E53" s="53" t="n">
        <v>73.78388164178151</v>
      </c>
      <c r="F53" s="53" t="n">
        <v>8.48644683342709</v>
      </c>
      <c r="G53" s="53" t="n">
        <v>19.5232197212223</v>
      </c>
      <c r="H53" s="53" t="n">
        <v>45.9348606701051</v>
      </c>
      <c r="I53" s="53" t="n">
        <v>43.3312491716995</v>
      </c>
      <c r="J53" s="53" t="n">
        <v>5.23021877653754</v>
      </c>
      <c r="K53" s="53" t="n">
        <v>4</v>
      </c>
      <c r="L53" s="53" t="n">
        <v>5</v>
      </c>
      <c r="M53" s="53" t="n">
        <v>0</v>
      </c>
      <c r="N53" s="53" t="n">
        <v>1</v>
      </c>
      <c r="O53" s="53" t="n">
        <v>4</v>
      </c>
      <c r="P53" s="53" t="n">
        <v>120</v>
      </c>
      <c r="Q53" s="53" t="n">
        <v>5</v>
      </c>
      <c r="R53" s="53" t="n">
        <v>1500</v>
      </c>
      <c r="S53" s="53" t="n">
        <v>0</v>
      </c>
      <c r="T53" s="53" t="n">
        <v>5</v>
      </c>
      <c r="U53" s="53" t="n">
        <v>0</v>
      </c>
      <c r="V53" s="53" t="n">
        <v>0</v>
      </c>
      <c r="W53" s="53" t="n">
        <v>0</v>
      </c>
      <c r="X53" s="53" t="n">
        <v>6.553</v>
      </c>
    </row>
    <row r="54">
      <c r="A54" s="53" t="inlineStr">
        <is>
          <t>Corn cob</t>
        </is>
      </c>
      <c r="B54" s="53" t="n">
        <v>45.88</v>
      </c>
      <c r="C54" s="53" t="n">
        <v>39.4</v>
      </c>
      <c r="D54" s="53" t="n">
        <v>11.32</v>
      </c>
      <c r="E54" s="53" t="n">
        <v>87.76000000000001</v>
      </c>
      <c r="F54" s="53" t="n">
        <v>1.05</v>
      </c>
      <c r="G54" s="53" t="n">
        <v>11.19</v>
      </c>
      <c r="H54" s="53" t="n">
        <v>43.81</v>
      </c>
      <c r="I54" s="53" t="n">
        <v>48.19</v>
      </c>
      <c r="J54" s="53" t="n">
        <v>6.54</v>
      </c>
      <c r="K54" s="53" t="n">
        <v>4</v>
      </c>
      <c r="L54" s="53" t="n">
        <v>5</v>
      </c>
      <c r="M54" s="53" t="n">
        <v>0</v>
      </c>
      <c r="N54" s="53" t="n">
        <v>1</v>
      </c>
      <c r="O54" s="53" t="n">
        <v>4</v>
      </c>
      <c r="P54" s="53" t="n">
        <v>120</v>
      </c>
      <c r="Q54" s="53" t="n">
        <v>5.584708204179</v>
      </c>
      <c r="R54" s="53" t="n">
        <v>1000</v>
      </c>
      <c r="S54" s="53" t="n">
        <v>0</v>
      </c>
      <c r="T54" s="53" t="n">
        <v>5</v>
      </c>
      <c r="U54" s="53" t="n">
        <v>0</v>
      </c>
      <c r="V54" s="53" t="n">
        <v>0</v>
      </c>
      <c r="W54" s="53" t="n">
        <v>0</v>
      </c>
      <c r="X54" s="53" t="n">
        <v>4.61</v>
      </c>
    </row>
    <row r="55">
      <c r="A55" s="53" t="inlineStr">
        <is>
          <t>Corn cob</t>
        </is>
      </c>
      <c r="B55" s="53" t="n">
        <v>45.88</v>
      </c>
      <c r="C55" s="53" t="n">
        <v>39.4</v>
      </c>
      <c r="D55" s="53" t="n">
        <v>11.32</v>
      </c>
      <c r="E55" s="53" t="n">
        <v>87.76000000000001</v>
      </c>
      <c r="F55" s="53" t="n">
        <v>1.05</v>
      </c>
      <c r="G55" s="53" t="n">
        <v>11.19</v>
      </c>
      <c r="H55" s="53" t="n">
        <v>43.81</v>
      </c>
      <c r="I55" s="53" t="n">
        <v>48.19</v>
      </c>
      <c r="J55" s="53" t="n">
        <v>6.54</v>
      </c>
      <c r="K55" s="53" t="n">
        <v>4</v>
      </c>
      <c r="L55" s="53" t="n">
        <v>5</v>
      </c>
      <c r="M55" s="53" t="n">
        <v>0</v>
      </c>
      <c r="N55" s="53" t="n">
        <v>1</v>
      </c>
      <c r="O55" s="53" t="n">
        <v>4</v>
      </c>
      <c r="P55" s="53" t="n">
        <v>120</v>
      </c>
      <c r="Q55" s="53" t="n">
        <v>4</v>
      </c>
      <c r="R55" s="53" t="n">
        <v>1300</v>
      </c>
      <c r="S55" s="53" t="n">
        <v>0</v>
      </c>
      <c r="T55" s="53" t="n">
        <v>5</v>
      </c>
      <c r="U55" s="53" t="n">
        <v>0</v>
      </c>
      <c r="V55" s="53" t="n">
        <v>0</v>
      </c>
      <c r="W55" s="53" t="n">
        <v>0</v>
      </c>
      <c r="X55" s="53" t="n">
        <v>4.61</v>
      </c>
    </row>
    <row r="56">
      <c r="A56" s="53" t="inlineStr">
        <is>
          <t>Corn cob</t>
        </is>
      </c>
      <c r="B56" s="53" t="n">
        <v>45.88</v>
      </c>
      <c r="C56" s="53" t="n">
        <v>39.4</v>
      </c>
      <c r="D56" s="53" t="n">
        <v>11.32</v>
      </c>
      <c r="E56" s="53" t="n">
        <v>87.76000000000001</v>
      </c>
      <c r="F56" s="53" t="n">
        <v>1.05</v>
      </c>
      <c r="G56" s="53" t="n">
        <v>11.19</v>
      </c>
      <c r="H56" s="53" t="n">
        <v>43.81</v>
      </c>
      <c r="I56" s="53" t="n">
        <v>48.19</v>
      </c>
      <c r="J56" s="53" t="n">
        <v>6.54</v>
      </c>
      <c r="K56" s="53" t="n">
        <v>4</v>
      </c>
      <c r="L56" s="53" t="n">
        <v>5</v>
      </c>
      <c r="M56" s="53" t="n">
        <v>0</v>
      </c>
      <c r="N56" s="53" t="n">
        <v>1</v>
      </c>
      <c r="O56" s="53" t="n">
        <v>4</v>
      </c>
      <c r="P56" s="53" t="n">
        <v>120</v>
      </c>
      <c r="Q56" s="53" t="n">
        <v>4.15349859427883</v>
      </c>
      <c r="R56" s="53" t="n">
        <v>1600</v>
      </c>
      <c r="S56" s="53" t="n">
        <v>0</v>
      </c>
      <c r="T56" s="53" t="n">
        <v>5</v>
      </c>
      <c r="U56" s="53" t="n">
        <v>0</v>
      </c>
      <c r="V56" s="53" t="n">
        <v>0</v>
      </c>
      <c r="W56" s="53" t="n">
        <v>0</v>
      </c>
      <c r="X56" s="53" t="n">
        <v>3.75</v>
      </c>
    </row>
    <row r="57">
      <c r="A57" s="53" t="inlineStr">
        <is>
          <t>Corn cob</t>
        </is>
      </c>
      <c r="B57" s="53" t="n">
        <v>45.88</v>
      </c>
      <c r="C57" s="53" t="n">
        <v>39.4</v>
      </c>
      <c r="D57" s="53" t="n">
        <v>11.32</v>
      </c>
      <c r="E57" s="53" t="n">
        <v>87.76000000000001</v>
      </c>
      <c r="F57" s="53" t="n">
        <v>1.05</v>
      </c>
      <c r="G57" s="53" t="n">
        <v>11.19</v>
      </c>
      <c r="H57" s="53" t="n">
        <v>43.81</v>
      </c>
      <c r="I57" s="53" t="n">
        <v>48.19</v>
      </c>
      <c r="J57" s="53" t="n">
        <v>6.54</v>
      </c>
      <c r="K57" s="53" t="n">
        <v>4</v>
      </c>
      <c r="L57" s="53" t="n">
        <v>5</v>
      </c>
      <c r="M57" s="53" t="n">
        <v>0</v>
      </c>
      <c r="N57" s="53" t="n">
        <v>1</v>
      </c>
      <c r="O57" s="53" t="n">
        <v>4</v>
      </c>
      <c r="P57" s="53" t="n">
        <v>60</v>
      </c>
      <c r="Q57" s="53" t="n">
        <v>4.04414726997145</v>
      </c>
      <c r="R57" s="53" t="n">
        <v>1400</v>
      </c>
      <c r="S57" s="53" t="n">
        <v>0</v>
      </c>
      <c r="T57" s="53" t="n">
        <v>5</v>
      </c>
      <c r="U57" s="53" t="n">
        <v>0</v>
      </c>
      <c r="V57" s="53" t="n">
        <v>0</v>
      </c>
      <c r="W57" s="53" t="n">
        <v>0</v>
      </c>
      <c r="X57" s="53" t="n">
        <v>7.46</v>
      </c>
    </row>
    <row r="58">
      <c r="A58" s="53" t="inlineStr">
        <is>
          <t>Corn cob</t>
        </is>
      </c>
      <c r="B58" s="53" t="n">
        <v>45.88</v>
      </c>
      <c r="C58" s="53" t="n">
        <v>39.4</v>
      </c>
      <c r="D58" s="53" t="n">
        <v>11.32</v>
      </c>
      <c r="E58" s="53" t="n">
        <v>87.76000000000001</v>
      </c>
      <c r="F58" s="53" t="n">
        <v>1.05</v>
      </c>
      <c r="G58" s="53" t="n">
        <v>11.19</v>
      </c>
      <c r="H58" s="53" t="n">
        <v>43.81</v>
      </c>
      <c r="I58" s="53" t="n">
        <v>48.19</v>
      </c>
      <c r="J58" s="53" t="n">
        <v>6.54</v>
      </c>
      <c r="K58" s="53" t="n">
        <v>4</v>
      </c>
      <c r="L58" s="53" t="n">
        <v>5</v>
      </c>
      <c r="M58" s="53" t="n">
        <v>1</v>
      </c>
      <c r="N58" s="53" t="n">
        <v>1</v>
      </c>
      <c r="O58" s="53" t="n">
        <v>4</v>
      </c>
      <c r="P58" s="53" t="n">
        <v>120</v>
      </c>
      <c r="Q58" s="53" t="n">
        <v>4.12804658055556</v>
      </c>
      <c r="R58" s="53" t="n">
        <v>500</v>
      </c>
      <c r="S58" s="53" t="n">
        <v>1</v>
      </c>
      <c r="T58" s="53" t="n">
        <v>0</v>
      </c>
      <c r="U58" s="53" t="n">
        <v>120</v>
      </c>
      <c r="V58" s="53" t="n">
        <v>0</v>
      </c>
      <c r="W58" s="53" t="n">
        <v>1150</v>
      </c>
      <c r="X58" s="53" t="n">
        <v>4.546</v>
      </c>
    </row>
    <row r="59">
      <c r="A59" s="53" t="inlineStr">
        <is>
          <t>Corn cob</t>
        </is>
      </c>
      <c r="B59" s="53" t="n">
        <v>45.88</v>
      </c>
      <c r="C59" s="53" t="n">
        <v>39.4</v>
      </c>
      <c r="D59" s="53" t="n">
        <v>11.32</v>
      </c>
      <c r="E59" s="53" t="n">
        <v>87.76000000000001</v>
      </c>
      <c r="F59" s="53" t="n">
        <v>1.05</v>
      </c>
      <c r="G59" s="53" t="n">
        <v>11.19</v>
      </c>
      <c r="H59" s="53" t="n">
        <v>43.81</v>
      </c>
      <c r="I59" s="53" t="n">
        <v>48.19</v>
      </c>
      <c r="J59" s="53" t="n">
        <v>6.54</v>
      </c>
      <c r="K59" s="53" t="n">
        <v>4</v>
      </c>
      <c r="L59" s="53" t="n">
        <v>5</v>
      </c>
      <c r="M59" s="53" t="n">
        <v>1</v>
      </c>
      <c r="N59" s="53" t="n">
        <v>1</v>
      </c>
      <c r="O59" s="53" t="n">
        <v>4</v>
      </c>
      <c r="P59" s="53" t="n">
        <v>120</v>
      </c>
      <c r="Q59" s="53" t="n">
        <v>3.92680297068334</v>
      </c>
      <c r="R59" s="53" t="n">
        <v>500</v>
      </c>
      <c r="S59" s="53" t="n">
        <v>1</v>
      </c>
      <c r="T59" s="53" t="n">
        <v>0</v>
      </c>
      <c r="U59" s="53" t="n">
        <v>120</v>
      </c>
      <c r="V59" s="53" t="n">
        <v>0</v>
      </c>
      <c r="W59" s="53" t="n">
        <v>1300</v>
      </c>
      <c r="X59" s="53" t="n">
        <v>5.152</v>
      </c>
    </row>
    <row r="60">
      <c r="A60" s="53" t="inlineStr">
        <is>
          <t>Corn cob</t>
        </is>
      </c>
      <c r="B60" s="53" t="n">
        <v>45.88</v>
      </c>
      <c r="C60" s="53" t="n">
        <v>39.4</v>
      </c>
      <c r="D60" s="53" t="n">
        <v>11.32</v>
      </c>
      <c r="E60" s="53" t="n">
        <v>87.76000000000001</v>
      </c>
      <c r="F60" s="53" t="n">
        <v>1.05</v>
      </c>
      <c r="G60" s="53" t="n">
        <v>11.19</v>
      </c>
      <c r="H60" s="53" t="n">
        <v>43.81</v>
      </c>
      <c r="I60" s="53" t="n">
        <v>48.19</v>
      </c>
      <c r="J60" s="53" t="n">
        <v>6.54</v>
      </c>
      <c r="K60" s="53" t="n">
        <v>4</v>
      </c>
      <c r="L60" s="53" t="n">
        <v>5</v>
      </c>
      <c r="M60" s="53" t="n">
        <v>1</v>
      </c>
      <c r="N60" s="53" t="n">
        <v>1</v>
      </c>
      <c r="O60" s="53" t="n">
        <v>4</v>
      </c>
      <c r="P60" s="53" t="n">
        <v>120</v>
      </c>
      <c r="Q60" s="53" t="n">
        <v>5</v>
      </c>
      <c r="R60" s="53" t="n">
        <v>500</v>
      </c>
      <c r="S60" s="53" t="n">
        <v>1</v>
      </c>
      <c r="T60" s="53" t="n">
        <v>0</v>
      </c>
      <c r="U60" s="53" t="n">
        <v>120</v>
      </c>
      <c r="V60" s="53" t="n">
        <v>0</v>
      </c>
      <c r="W60" s="53" t="n">
        <v>1450</v>
      </c>
      <c r="X60" s="53" t="n">
        <v>5.547</v>
      </c>
    </row>
    <row r="61">
      <c r="A61" s="53" t="inlineStr">
        <is>
          <t>Corn cobs</t>
        </is>
      </c>
      <c r="B61" s="53" t="n">
        <v>45.88</v>
      </c>
      <c r="C61" s="53" t="n">
        <v>39.4</v>
      </c>
      <c r="D61" s="53" t="n">
        <v>11.32</v>
      </c>
      <c r="E61" s="53" t="n">
        <v>87.76000000000001</v>
      </c>
      <c r="F61" s="53" t="n">
        <v>1.05</v>
      </c>
      <c r="G61" s="53" t="n">
        <v>11.19</v>
      </c>
      <c r="H61" s="53" t="n">
        <v>43.81</v>
      </c>
      <c r="I61" s="53" t="n">
        <v>48.19</v>
      </c>
      <c r="J61" s="53" t="n">
        <v>6.54</v>
      </c>
      <c r="K61" s="53" t="n">
        <v>1</v>
      </c>
      <c r="L61" s="53" t="n">
        <v>5</v>
      </c>
      <c r="M61" s="53" t="n">
        <v>1</v>
      </c>
      <c r="N61" s="53" t="n">
        <v>1</v>
      </c>
      <c r="O61" s="53" t="n">
        <v>4</v>
      </c>
      <c r="P61" s="53" t="n">
        <v>120</v>
      </c>
      <c r="Q61" s="53" t="n">
        <v>4.93222638850351</v>
      </c>
      <c r="R61" s="53" t="n">
        <v>500</v>
      </c>
      <c r="S61" s="53" t="n">
        <v>1</v>
      </c>
      <c r="T61" s="53" t="n">
        <v>5</v>
      </c>
      <c r="U61" s="53" t="n">
        <v>120</v>
      </c>
      <c r="V61" s="53" t="n">
        <v>1.19646786650287</v>
      </c>
      <c r="W61" s="53" t="n">
        <v>1150</v>
      </c>
      <c r="X61" s="53" t="n">
        <v>4.546</v>
      </c>
    </row>
    <row r="62">
      <c r="A62" s="53" t="inlineStr">
        <is>
          <t>Corn cobs</t>
        </is>
      </c>
      <c r="B62" s="53" t="n">
        <v>45.88</v>
      </c>
      <c r="C62" s="53" t="n">
        <v>39.4</v>
      </c>
      <c r="D62" s="53" t="n">
        <v>11.32</v>
      </c>
      <c r="E62" s="53" t="n">
        <v>87.76000000000001</v>
      </c>
      <c r="F62" s="53" t="n">
        <v>1.05</v>
      </c>
      <c r="G62" s="53" t="n">
        <v>11.19</v>
      </c>
      <c r="H62" s="53" t="n">
        <v>43.81</v>
      </c>
      <c r="I62" s="53" t="n">
        <v>48.19</v>
      </c>
      <c r="J62" s="53" t="n">
        <v>6.54</v>
      </c>
      <c r="K62" s="53" t="n">
        <v>1</v>
      </c>
      <c r="L62" s="53" t="n">
        <v>5</v>
      </c>
      <c r="M62" s="53" t="n">
        <v>1</v>
      </c>
      <c r="N62" s="53" t="n">
        <v>1</v>
      </c>
      <c r="O62" s="53" t="n">
        <v>4</v>
      </c>
      <c r="P62" s="53" t="n">
        <v>120</v>
      </c>
      <c r="Q62" s="53" t="n">
        <v>5</v>
      </c>
      <c r="R62" s="53" t="n">
        <v>500</v>
      </c>
      <c r="S62" s="53" t="n">
        <v>1</v>
      </c>
      <c r="T62" s="53" t="n">
        <v>5</v>
      </c>
      <c r="U62" s="53" t="n">
        <v>120</v>
      </c>
      <c r="V62" s="53" t="n">
        <v>0.92873171047138</v>
      </c>
      <c r="W62" s="53" t="n">
        <v>1300</v>
      </c>
      <c r="X62" s="53" t="n">
        <v>5.152</v>
      </c>
    </row>
    <row r="63">
      <c r="A63" s="53" t="inlineStr">
        <is>
          <t>Corn cobs</t>
        </is>
      </c>
      <c r="B63" s="53" t="n">
        <v>45.88</v>
      </c>
      <c r="C63" s="53" t="n">
        <v>39.4</v>
      </c>
      <c r="D63" s="53" t="n">
        <v>11.32</v>
      </c>
      <c r="E63" s="53" t="n">
        <v>87.76000000000001</v>
      </c>
      <c r="F63" s="53" t="n">
        <v>1.05</v>
      </c>
      <c r="G63" s="53" t="n">
        <v>11.19</v>
      </c>
      <c r="H63" s="53" t="n">
        <v>43.81</v>
      </c>
      <c r="I63" s="53" t="n">
        <v>48.19</v>
      </c>
      <c r="J63" s="53" t="n">
        <v>6.54</v>
      </c>
      <c r="K63" s="53" t="n">
        <v>1</v>
      </c>
      <c r="L63" s="53" t="n">
        <v>5</v>
      </c>
      <c r="M63" s="53" t="n">
        <v>1</v>
      </c>
      <c r="N63" s="53" t="n">
        <v>1</v>
      </c>
      <c r="O63" s="53" t="n">
        <v>4</v>
      </c>
      <c r="P63" s="53" t="n">
        <v>120</v>
      </c>
      <c r="Q63" s="53" t="n">
        <v>5.35634316350079</v>
      </c>
      <c r="R63" s="53" t="n">
        <v>500</v>
      </c>
      <c r="S63" s="53" t="n">
        <v>1</v>
      </c>
      <c r="T63" s="53" t="n">
        <v>5</v>
      </c>
      <c r="U63" s="53" t="n">
        <v>120</v>
      </c>
      <c r="V63" s="53" t="n">
        <v>1.17834659191205</v>
      </c>
      <c r="W63" s="53" t="n">
        <v>1450</v>
      </c>
      <c r="X63" s="53" t="n">
        <v>5.547</v>
      </c>
    </row>
    <row r="64">
      <c r="A64" s="53" t="inlineStr">
        <is>
          <t>Corn silk</t>
        </is>
      </c>
      <c r="B64" s="53" t="n">
        <v>42.36</v>
      </c>
      <c r="C64" s="53" t="n">
        <v>10.26</v>
      </c>
      <c r="D64" s="53" t="n">
        <v>27.19</v>
      </c>
      <c r="E64" s="53" t="n">
        <v>72.2</v>
      </c>
      <c r="F64" s="53" t="n">
        <v>5.4</v>
      </c>
      <c r="G64" s="53" t="n">
        <v>22.4</v>
      </c>
      <c r="H64" s="53" t="n">
        <v>45.86</v>
      </c>
      <c r="I64" s="53" t="n">
        <v>46.43</v>
      </c>
      <c r="J64" s="53" t="n">
        <v>5.8</v>
      </c>
      <c r="K64" s="53" t="n">
        <v>4</v>
      </c>
      <c r="L64" s="53" t="n">
        <v>3</v>
      </c>
      <c r="M64" s="53" t="n">
        <v>0</v>
      </c>
      <c r="N64" s="53" t="n">
        <v>1</v>
      </c>
      <c r="O64" s="53" t="n">
        <v>4</v>
      </c>
      <c r="P64" s="53" t="n">
        <v>60</v>
      </c>
      <c r="Q64" s="53" t="n">
        <v>5</v>
      </c>
      <c r="R64" s="53" t="n">
        <v>1300</v>
      </c>
      <c r="S64" s="53" t="n">
        <v>0</v>
      </c>
      <c r="T64" s="53" t="n">
        <v>5</v>
      </c>
      <c r="U64" s="53" t="n">
        <v>0</v>
      </c>
      <c r="V64" s="53" t="n">
        <v>0</v>
      </c>
      <c r="W64" s="53" t="n">
        <v>0</v>
      </c>
      <c r="X64" s="53" t="n">
        <v>33</v>
      </c>
    </row>
    <row r="65">
      <c r="A65" s="53" t="inlineStr">
        <is>
          <t>Corn silk</t>
        </is>
      </c>
      <c r="B65" s="53" t="n">
        <v>42.36</v>
      </c>
      <c r="C65" s="53" t="n">
        <v>10.26</v>
      </c>
      <c r="D65" s="53" t="n">
        <v>27.19</v>
      </c>
      <c r="E65" s="53" t="n">
        <v>72.2</v>
      </c>
      <c r="F65" s="53" t="n">
        <v>5.4</v>
      </c>
      <c r="G65" s="53" t="n">
        <v>22.4</v>
      </c>
      <c r="H65" s="53" t="n">
        <v>45.86</v>
      </c>
      <c r="I65" s="53" t="n">
        <v>46.43</v>
      </c>
      <c r="J65" s="53" t="n">
        <v>5.8</v>
      </c>
      <c r="K65" s="53" t="n">
        <v>4</v>
      </c>
      <c r="L65" s="53" t="n">
        <v>1</v>
      </c>
      <c r="M65" s="53" t="n">
        <v>0</v>
      </c>
      <c r="N65" s="53" t="n">
        <v>1</v>
      </c>
      <c r="O65" s="53" t="n">
        <v>4</v>
      </c>
      <c r="P65" s="53" t="n">
        <v>60</v>
      </c>
      <c r="Q65" s="53" t="n">
        <v>5</v>
      </c>
      <c r="R65" s="53" t="n">
        <v>1300</v>
      </c>
      <c r="S65" s="53" t="n">
        <v>0</v>
      </c>
      <c r="T65" s="53" t="n">
        <v>5</v>
      </c>
      <c r="U65" s="53" t="n">
        <v>0</v>
      </c>
      <c r="V65" s="53" t="n">
        <v>0</v>
      </c>
      <c r="W65" s="53" t="n">
        <v>0</v>
      </c>
      <c r="X65" s="53" t="n">
        <v>0.33</v>
      </c>
    </row>
    <row r="66">
      <c r="A66" s="53" t="inlineStr">
        <is>
          <t>Corncob</t>
        </is>
      </c>
      <c r="B66" s="53" t="n">
        <v>45.88</v>
      </c>
      <c r="C66" s="53" t="n">
        <v>39.4</v>
      </c>
      <c r="D66" s="53" t="n">
        <v>11.32</v>
      </c>
      <c r="E66" s="53" t="n">
        <v>87.76000000000001</v>
      </c>
      <c r="F66" s="53" t="n">
        <v>1.05</v>
      </c>
      <c r="G66" s="53" t="n">
        <v>11.19</v>
      </c>
      <c r="H66" s="53" t="n">
        <v>43.81</v>
      </c>
      <c r="I66" s="53" t="n">
        <v>48.19</v>
      </c>
      <c r="J66" s="53" t="n">
        <v>6.54</v>
      </c>
      <c r="K66" s="53" t="n">
        <v>4</v>
      </c>
      <c r="L66" s="53" t="n">
        <v>1</v>
      </c>
      <c r="M66" s="53" t="n">
        <v>1</v>
      </c>
      <c r="N66" s="53" t="n">
        <v>1</v>
      </c>
      <c r="O66" s="53" t="n">
        <v>4</v>
      </c>
      <c r="P66" s="53" t="n">
        <v>120</v>
      </c>
      <c r="Q66" s="53" t="n">
        <v>5</v>
      </c>
      <c r="R66" s="53" t="n">
        <v>500</v>
      </c>
      <c r="S66" s="53" t="n">
        <v>1</v>
      </c>
      <c r="T66" s="53" t="n">
        <v>5</v>
      </c>
      <c r="U66" s="53" t="n">
        <v>120</v>
      </c>
      <c r="V66" s="53" t="n">
        <v>5</v>
      </c>
      <c r="W66" s="53" t="n">
        <v>1000</v>
      </c>
      <c r="X66" s="53" t="n">
        <v>8.01</v>
      </c>
    </row>
    <row r="67">
      <c r="A67" s="53" t="inlineStr">
        <is>
          <t>Corncob</t>
        </is>
      </c>
      <c r="B67" s="53" t="n">
        <v>45.88</v>
      </c>
      <c r="C67" s="53" t="n">
        <v>39.4</v>
      </c>
      <c r="D67" s="53" t="n">
        <v>11.32</v>
      </c>
      <c r="E67" s="53" t="n">
        <v>87.76000000000001</v>
      </c>
      <c r="F67" s="53" t="n">
        <v>1.05</v>
      </c>
      <c r="G67" s="53" t="n">
        <v>11.19</v>
      </c>
      <c r="H67" s="53" t="n">
        <v>43.81</v>
      </c>
      <c r="I67" s="53" t="n">
        <v>48.19</v>
      </c>
      <c r="J67" s="53" t="n">
        <v>6.54</v>
      </c>
      <c r="K67" s="53" t="n">
        <v>4</v>
      </c>
      <c r="L67" s="53" t="n">
        <v>1</v>
      </c>
      <c r="M67" s="53" t="n">
        <v>1</v>
      </c>
      <c r="N67" s="53" t="n">
        <v>1</v>
      </c>
      <c r="O67" s="53" t="n">
        <v>4</v>
      </c>
      <c r="P67" s="53" t="n">
        <v>120</v>
      </c>
      <c r="Q67" s="53" t="n">
        <v>5</v>
      </c>
      <c r="R67" s="53" t="n">
        <v>500</v>
      </c>
      <c r="S67" s="53" t="n">
        <v>1</v>
      </c>
      <c r="T67" s="53" t="n">
        <v>5</v>
      </c>
      <c r="U67" s="53" t="n">
        <v>120</v>
      </c>
      <c r="V67" s="53" t="n">
        <v>5</v>
      </c>
      <c r="W67" s="53" t="n">
        <v>1200</v>
      </c>
      <c r="X67" s="53" t="n">
        <v>9.56</v>
      </c>
    </row>
    <row r="68">
      <c r="A68" s="53" t="inlineStr">
        <is>
          <t>Corncob</t>
        </is>
      </c>
      <c r="B68" s="53" t="n">
        <v>45.88</v>
      </c>
      <c r="C68" s="53" t="n">
        <v>39.4</v>
      </c>
      <c r="D68" s="53" t="n">
        <v>11.32</v>
      </c>
      <c r="E68" s="53" t="n">
        <v>87.76000000000001</v>
      </c>
      <c r="F68" s="53" t="n">
        <v>1.05</v>
      </c>
      <c r="G68" s="53" t="n">
        <v>11.19</v>
      </c>
      <c r="H68" s="53" t="n">
        <v>43.81</v>
      </c>
      <c r="I68" s="53" t="n">
        <v>48.19</v>
      </c>
      <c r="J68" s="53" t="n">
        <v>6.54</v>
      </c>
      <c r="K68" s="53" t="n">
        <v>4</v>
      </c>
      <c r="L68" s="53" t="n">
        <v>1</v>
      </c>
      <c r="M68" s="53" t="n">
        <v>1</v>
      </c>
      <c r="N68" s="53" t="n">
        <v>1</v>
      </c>
      <c r="O68" s="53" t="n">
        <v>4</v>
      </c>
      <c r="P68" s="53" t="n">
        <v>120</v>
      </c>
      <c r="Q68" s="53" t="n">
        <v>5</v>
      </c>
      <c r="R68" s="53" t="n">
        <v>500</v>
      </c>
      <c r="S68" s="53" t="n">
        <v>1</v>
      </c>
      <c r="T68" s="53" t="n">
        <v>5</v>
      </c>
      <c r="U68" s="53" t="n">
        <v>120</v>
      </c>
      <c r="V68" s="53" t="n">
        <v>5</v>
      </c>
      <c r="W68" s="53" t="n">
        <v>1400</v>
      </c>
      <c r="X68" s="53" t="n">
        <v>11.87</v>
      </c>
    </row>
    <row r="69">
      <c r="A69" s="53" t="inlineStr">
        <is>
          <t>Corncob</t>
        </is>
      </c>
      <c r="B69" s="53" t="n">
        <v>45.88</v>
      </c>
      <c r="C69" s="53" t="n">
        <v>39.4</v>
      </c>
      <c r="D69" s="53" t="n">
        <v>11.32</v>
      </c>
      <c r="E69" s="53" t="n">
        <v>87.76000000000001</v>
      </c>
      <c r="F69" s="53" t="n">
        <v>1.05</v>
      </c>
      <c r="G69" s="53" t="n">
        <v>11.19</v>
      </c>
      <c r="H69" s="53" t="n">
        <v>43.81</v>
      </c>
      <c r="I69" s="53" t="n">
        <v>48.19</v>
      </c>
      <c r="J69" s="53" t="n">
        <v>6.54</v>
      </c>
      <c r="K69" s="53" t="n">
        <v>4</v>
      </c>
      <c r="L69" s="53" t="n">
        <v>1</v>
      </c>
      <c r="M69" s="53" t="n">
        <v>1</v>
      </c>
      <c r="N69" s="53" t="n">
        <v>1</v>
      </c>
      <c r="O69" s="53" t="n">
        <v>4</v>
      </c>
      <c r="P69" s="53" t="n">
        <v>120</v>
      </c>
      <c r="Q69" s="53" t="n">
        <v>5</v>
      </c>
      <c r="R69" s="53" t="n">
        <v>500</v>
      </c>
      <c r="S69" s="53" t="n">
        <v>1</v>
      </c>
      <c r="T69" s="53" t="n">
        <v>5</v>
      </c>
      <c r="U69" s="53" t="n">
        <v>120</v>
      </c>
      <c r="V69" s="53" t="n">
        <v>5</v>
      </c>
      <c r="W69" s="53" t="n">
        <v>1600</v>
      </c>
      <c r="X69" s="53" t="n">
        <v>12.65</v>
      </c>
    </row>
    <row r="70">
      <c r="A70" s="53" t="inlineStr">
        <is>
          <t>Cotton</t>
        </is>
      </c>
      <c r="B70" s="53" t="n">
        <v>26.9</v>
      </c>
      <c r="C70" s="53" t="n">
        <v>19.1</v>
      </c>
      <c r="D70" s="53" t="n">
        <v>22</v>
      </c>
      <c r="E70" s="53" t="n">
        <v>69.27</v>
      </c>
      <c r="F70" s="53" t="n">
        <v>13.95</v>
      </c>
      <c r="G70" s="53" t="n">
        <v>6.19</v>
      </c>
      <c r="H70" s="53" t="n">
        <v>42.21</v>
      </c>
      <c r="I70" s="53" t="n">
        <v>51.01</v>
      </c>
      <c r="J70" s="53" t="n">
        <v>5.59</v>
      </c>
      <c r="K70" s="53" t="n">
        <v>4</v>
      </c>
      <c r="L70" s="53" t="n">
        <v>5</v>
      </c>
      <c r="M70" s="53" t="n">
        <v>0</v>
      </c>
      <c r="N70" s="53" t="n">
        <v>1</v>
      </c>
      <c r="O70" s="53" t="n">
        <v>4</v>
      </c>
      <c r="P70" s="53" t="n">
        <v>120</v>
      </c>
      <c r="Q70" s="53" t="n">
        <v>4.56428696835866</v>
      </c>
      <c r="R70" s="53" t="n">
        <v>1300</v>
      </c>
      <c r="S70" s="53" t="n">
        <v>0</v>
      </c>
      <c r="T70" s="53" t="n">
        <v>5</v>
      </c>
      <c r="U70" s="53" t="n">
        <v>0</v>
      </c>
      <c r="V70" s="53" t="n">
        <v>0</v>
      </c>
      <c r="W70" s="53" t="n">
        <v>0</v>
      </c>
      <c r="X70" s="53" t="n">
        <v>4.03</v>
      </c>
    </row>
    <row r="71">
      <c r="A71" s="53" t="inlineStr">
        <is>
          <t>Cotton</t>
        </is>
      </c>
      <c r="B71" s="53" t="n">
        <v>26.9</v>
      </c>
      <c r="C71" s="53" t="n">
        <v>19.1</v>
      </c>
      <c r="D71" s="53" t="n">
        <v>22</v>
      </c>
      <c r="E71" s="53" t="n">
        <v>69.27</v>
      </c>
      <c r="F71" s="53" t="n">
        <v>13.95</v>
      </c>
      <c r="G71" s="53" t="n">
        <v>6.19</v>
      </c>
      <c r="H71" s="53" t="n">
        <v>42.21</v>
      </c>
      <c r="I71" s="53" t="n">
        <v>51.01</v>
      </c>
      <c r="J71" s="53" t="n">
        <v>5.59</v>
      </c>
      <c r="K71" s="53" t="n">
        <v>4</v>
      </c>
      <c r="L71" s="53" t="n">
        <v>5</v>
      </c>
      <c r="M71" s="53" t="n">
        <v>0</v>
      </c>
      <c r="N71" s="53" t="n">
        <v>1</v>
      </c>
      <c r="O71" s="53" t="n">
        <v>4</v>
      </c>
      <c r="P71" s="53" t="n">
        <v>120</v>
      </c>
      <c r="Q71" s="53" t="n">
        <v>4.61248202960753</v>
      </c>
      <c r="R71" s="53" t="n">
        <v>1000</v>
      </c>
      <c r="S71" s="53" t="n">
        <v>0</v>
      </c>
      <c r="T71" s="53" t="n">
        <v>5</v>
      </c>
      <c r="U71" s="53" t="n">
        <v>0</v>
      </c>
      <c r="V71" s="53" t="n">
        <v>0</v>
      </c>
      <c r="W71" s="53" t="n">
        <v>0</v>
      </c>
      <c r="X71" s="53" t="n">
        <v>4.26</v>
      </c>
    </row>
    <row r="72">
      <c r="A72" s="53" t="inlineStr">
        <is>
          <t>Cotton</t>
        </is>
      </c>
      <c r="B72" s="53" t="n">
        <v>26.9</v>
      </c>
      <c r="C72" s="53" t="n">
        <v>19.1</v>
      </c>
      <c r="D72" s="53" t="n">
        <v>22</v>
      </c>
      <c r="E72" s="53" t="n">
        <v>69.27</v>
      </c>
      <c r="F72" s="53" t="n">
        <v>13.95</v>
      </c>
      <c r="G72" s="53" t="n">
        <v>6.19</v>
      </c>
      <c r="H72" s="53" t="n">
        <v>42.21</v>
      </c>
      <c r="I72" s="53" t="n">
        <v>51.01</v>
      </c>
      <c r="J72" s="53" t="n">
        <v>5.59</v>
      </c>
      <c r="K72" s="53" t="n">
        <v>4</v>
      </c>
      <c r="L72" s="53" t="n">
        <v>5</v>
      </c>
      <c r="M72" s="53" t="n">
        <v>0</v>
      </c>
      <c r="N72" s="53" t="n">
        <v>1</v>
      </c>
      <c r="O72" s="53" t="n">
        <v>4</v>
      </c>
      <c r="P72" s="53" t="n">
        <v>120</v>
      </c>
      <c r="Q72" s="53" t="n">
        <v>3.82524717146236</v>
      </c>
      <c r="R72" s="53" t="n">
        <v>1600</v>
      </c>
      <c r="S72" s="53" t="n">
        <v>0</v>
      </c>
      <c r="T72" s="53" t="n">
        <v>5</v>
      </c>
      <c r="U72" s="53" t="n">
        <v>0</v>
      </c>
      <c r="V72" s="53" t="n">
        <v>0</v>
      </c>
      <c r="W72" s="53" t="n">
        <v>0</v>
      </c>
      <c r="X72" s="53" t="n">
        <v>3.44</v>
      </c>
    </row>
    <row r="73">
      <c r="A73" s="53" t="inlineStr">
        <is>
          <t>Cucumber stem</t>
        </is>
      </c>
      <c r="B73" s="53" t="n">
        <v>16.13</v>
      </c>
      <c r="C73" s="53" t="n">
        <v>4.33</v>
      </c>
      <c r="D73" s="53" t="n">
        <v>4.51</v>
      </c>
      <c r="E73" s="53" t="n">
        <v>74.7828166810701</v>
      </c>
      <c r="F73" s="53" t="n">
        <v>6.35305071152325</v>
      </c>
      <c r="G73" s="53" t="n">
        <v>15.8378557285207</v>
      </c>
      <c r="H73" s="53" t="n">
        <v>47.3664558944195</v>
      </c>
      <c r="I73" s="53" t="n">
        <v>41.6990172190391</v>
      </c>
      <c r="J73" s="53" t="n">
        <v>5.88765023788926</v>
      </c>
      <c r="K73" s="53" t="n">
        <v>4</v>
      </c>
      <c r="L73" s="53" t="n">
        <v>2</v>
      </c>
      <c r="M73" s="53" t="n">
        <v>1</v>
      </c>
      <c r="N73" s="53" t="n">
        <v>1</v>
      </c>
      <c r="O73" s="53" t="n">
        <v>4</v>
      </c>
      <c r="P73" s="53" t="n">
        <v>420</v>
      </c>
      <c r="Q73" s="53" t="n">
        <v>5</v>
      </c>
      <c r="R73" s="53" t="n">
        <v>600</v>
      </c>
      <c r="S73" s="53" t="n">
        <v>1</v>
      </c>
      <c r="T73" s="53" t="n">
        <v>5</v>
      </c>
      <c r="U73" s="53" t="n">
        <v>120</v>
      </c>
      <c r="V73" s="53" t="n">
        <v>5</v>
      </c>
      <c r="W73" s="53" t="n">
        <v>800</v>
      </c>
      <c r="X73" s="53" t="n">
        <v>1.156</v>
      </c>
    </row>
    <row r="74">
      <c r="A74" s="53" t="inlineStr">
        <is>
          <t>Cucumber stem</t>
        </is>
      </c>
      <c r="B74" s="53" t="n">
        <v>16.13</v>
      </c>
      <c r="C74" s="53" t="n">
        <v>4.33</v>
      </c>
      <c r="D74" s="53" t="n">
        <v>4.51</v>
      </c>
      <c r="E74" s="53" t="n">
        <v>74.7828166810701</v>
      </c>
      <c r="F74" s="53" t="n">
        <v>6.35305071152325</v>
      </c>
      <c r="G74" s="53" t="n">
        <v>15.8378557285207</v>
      </c>
      <c r="H74" s="53" t="n">
        <v>47.3664558944195</v>
      </c>
      <c r="I74" s="53" t="n">
        <v>41.6990172190391</v>
      </c>
      <c r="J74" s="53" t="n">
        <v>5.88765023788926</v>
      </c>
      <c r="K74" s="53" t="n">
        <v>4</v>
      </c>
      <c r="L74" s="53" t="n">
        <v>2</v>
      </c>
      <c r="M74" s="53" t="n">
        <v>1</v>
      </c>
      <c r="N74" s="53" t="n">
        <v>1</v>
      </c>
      <c r="O74" s="53" t="n">
        <v>4</v>
      </c>
      <c r="P74" s="53" t="n">
        <v>420</v>
      </c>
      <c r="Q74" s="53" t="n">
        <v>5</v>
      </c>
      <c r="R74" s="53" t="n">
        <v>600</v>
      </c>
      <c r="S74" s="53" t="n">
        <v>1</v>
      </c>
      <c r="T74" s="53" t="n">
        <v>5</v>
      </c>
      <c r="U74" s="53" t="n">
        <v>120</v>
      </c>
      <c r="V74" s="53" t="n">
        <v>5</v>
      </c>
      <c r="W74" s="53" t="n">
        <v>900</v>
      </c>
      <c r="X74" s="53" t="n">
        <v>1.63</v>
      </c>
    </row>
    <row r="75">
      <c r="A75" s="53" t="inlineStr">
        <is>
          <t>Cucumber stem</t>
        </is>
      </c>
      <c r="B75" s="53" t="n">
        <v>16.13</v>
      </c>
      <c r="C75" s="53" t="n">
        <v>4.33</v>
      </c>
      <c r="D75" s="53" t="n">
        <v>4.51</v>
      </c>
      <c r="E75" s="53" t="n">
        <v>74.7828166810701</v>
      </c>
      <c r="F75" s="53" t="n">
        <v>6.35305071152325</v>
      </c>
      <c r="G75" s="53" t="n">
        <v>15.8378557285207</v>
      </c>
      <c r="H75" s="53" t="n">
        <v>47.3664558944195</v>
      </c>
      <c r="I75" s="53" t="n">
        <v>41.6990172190391</v>
      </c>
      <c r="J75" s="53" t="n">
        <v>5.88765023788926</v>
      </c>
      <c r="K75" s="53" t="n">
        <v>4</v>
      </c>
      <c r="L75" s="53" t="n">
        <v>2</v>
      </c>
      <c r="M75" s="53" t="n">
        <v>1</v>
      </c>
      <c r="N75" s="53" t="n">
        <v>1</v>
      </c>
      <c r="O75" s="53" t="n">
        <v>4</v>
      </c>
      <c r="P75" s="53" t="n">
        <v>420</v>
      </c>
      <c r="Q75" s="53" t="n">
        <v>5</v>
      </c>
      <c r="R75" s="53" t="n">
        <v>600</v>
      </c>
      <c r="S75" s="53" t="n">
        <v>1</v>
      </c>
      <c r="T75" s="53" t="n">
        <v>5</v>
      </c>
      <c r="U75" s="53" t="n">
        <v>120</v>
      </c>
      <c r="V75" s="53" t="n">
        <v>5</v>
      </c>
      <c r="W75" s="53" t="n">
        <v>1000</v>
      </c>
      <c r="X75" s="53" t="n">
        <v>1.76</v>
      </c>
    </row>
    <row r="76">
      <c r="A76" s="53" t="inlineStr">
        <is>
          <t>Cucumber stem</t>
        </is>
      </c>
      <c r="B76" s="53" t="n">
        <v>16.13</v>
      </c>
      <c r="C76" s="53" t="n">
        <v>4.33</v>
      </c>
      <c r="D76" s="53" t="n">
        <v>4.51</v>
      </c>
      <c r="E76" s="53" t="n">
        <v>74.7828166810701</v>
      </c>
      <c r="F76" s="53" t="n">
        <v>6.35305071152325</v>
      </c>
      <c r="G76" s="53" t="n">
        <v>15.8378557285207</v>
      </c>
      <c r="H76" s="53" t="n">
        <v>47.3664558944195</v>
      </c>
      <c r="I76" s="53" t="n">
        <v>41.6990172190391</v>
      </c>
      <c r="J76" s="53" t="n">
        <v>5.88765023788926</v>
      </c>
      <c r="K76" s="53" t="n">
        <v>4</v>
      </c>
      <c r="L76" s="53" t="n">
        <v>2</v>
      </c>
      <c r="M76" s="53" t="n">
        <v>1</v>
      </c>
      <c r="N76" s="53" t="n">
        <v>1</v>
      </c>
      <c r="O76" s="53" t="n">
        <v>4</v>
      </c>
      <c r="P76" s="53" t="n">
        <v>420</v>
      </c>
      <c r="Q76" s="53" t="n">
        <v>5</v>
      </c>
      <c r="R76" s="53" t="n">
        <v>600</v>
      </c>
      <c r="S76" s="53" t="n">
        <v>1</v>
      </c>
      <c r="T76" s="53" t="n">
        <v>5</v>
      </c>
      <c r="U76" s="53" t="n">
        <v>120</v>
      </c>
      <c r="V76" s="53" t="n">
        <v>5</v>
      </c>
      <c r="W76" s="53" t="n">
        <v>1100</v>
      </c>
      <c r="X76" s="53" t="n">
        <v>1.98</v>
      </c>
    </row>
    <row r="77">
      <c r="A77" s="53" t="inlineStr">
        <is>
          <t>Cucumber stem</t>
        </is>
      </c>
      <c r="B77" s="53" t="n">
        <v>16.13</v>
      </c>
      <c r="C77" s="53" t="n">
        <v>4.33</v>
      </c>
      <c r="D77" s="53" t="n">
        <v>4.51</v>
      </c>
      <c r="E77" s="53" t="n">
        <v>74.7828166810701</v>
      </c>
      <c r="F77" s="53" t="n">
        <v>6.35305071152325</v>
      </c>
      <c r="G77" s="53" t="n">
        <v>15.8378557285207</v>
      </c>
      <c r="H77" s="53" t="n">
        <v>47.3664558944195</v>
      </c>
      <c r="I77" s="53" t="n">
        <v>41.6990172190391</v>
      </c>
      <c r="J77" s="53" t="n">
        <v>5.88765023788926</v>
      </c>
      <c r="K77" s="53" t="n">
        <v>4</v>
      </c>
      <c r="L77" s="53" t="n">
        <v>1</v>
      </c>
      <c r="M77" s="53" t="n">
        <v>1</v>
      </c>
      <c r="N77" s="53" t="n">
        <v>0</v>
      </c>
      <c r="O77" s="53" t="n">
        <v>4</v>
      </c>
      <c r="P77" s="53" t="n">
        <v>360</v>
      </c>
      <c r="Q77" s="53" t="n">
        <v>5</v>
      </c>
      <c r="R77" s="53" t="n">
        <v>150</v>
      </c>
      <c r="S77" s="53" t="n">
        <v>1</v>
      </c>
      <c r="T77" s="53" t="n">
        <v>5</v>
      </c>
      <c r="U77" s="53" t="n">
        <v>120</v>
      </c>
      <c r="V77" s="53" t="n">
        <v>5</v>
      </c>
      <c r="W77" s="53" t="n">
        <v>1000</v>
      </c>
      <c r="X77" s="53" t="n">
        <v>1.85</v>
      </c>
    </row>
    <row r="78">
      <c r="A78" s="53" t="inlineStr">
        <is>
          <t>Date palm pulp</t>
        </is>
      </c>
      <c r="B78" s="53" t="n">
        <v>24.9</v>
      </c>
      <c r="C78" s="53" t="n">
        <v>27.8</v>
      </c>
      <c r="D78" s="53" t="n">
        <v>22.6</v>
      </c>
      <c r="E78" s="53" t="n">
        <v>24.33</v>
      </c>
      <c r="F78" s="53" t="n">
        <v>3.02</v>
      </c>
      <c r="G78" s="53" t="n">
        <v>9.77</v>
      </c>
      <c r="H78" s="53" t="n">
        <v>94.09999999999999</v>
      </c>
      <c r="I78" s="53" t="n">
        <v>1.51</v>
      </c>
      <c r="J78" s="53" t="n">
        <v>0.25</v>
      </c>
      <c r="K78" s="53" t="n">
        <v>6</v>
      </c>
      <c r="L78" s="53" t="n">
        <v>5</v>
      </c>
      <c r="M78" s="53" t="n">
        <v>0</v>
      </c>
      <c r="N78" s="53" t="n">
        <v>1</v>
      </c>
      <c r="O78" s="53" t="n">
        <v>4</v>
      </c>
      <c r="P78" s="53" t="n">
        <v>60</v>
      </c>
      <c r="Q78" s="53" t="n">
        <v>5</v>
      </c>
      <c r="R78" s="53" t="n">
        <v>800</v>
      </c>
      <c r="S78" s="53" t="n">
        <v>0</v>
      </c>
      <c r="T78" s="53" t="n">
        <v>5</v>
      </c>
      <c r="U78" s="53" t="n">
        <v>0</v>
      </c>
      <c r="V78" s="53" t="n">
        <v>0</v>
      </c>
      <c r="W78" s="53" t="n">
        <v>0</v>
      </c>
      <c r="X78" s="53" t="n">
        <v>7.81</v>
      </c>
    </row>
    <row r="79">
      <c r="A79" s="53" t="inlineStr">
        <is>
          <t>Date palm pulp</t>
        </is>
      </c>
      <c r="B79" s="53" t="n">
        <v>24.9</v>
      </c>
      <c r="C79" s="53" t="n">
        <v>27.8</v>
      </c>
      <c r="D79" s="53" t="n">
        <v>22.6</v>
      </c>
      <c r="E79" s="53" t="n">
        <v>24.33</v>
      </c>
      <c r="F79" s="53" t="n">
        <v>3.02</v>
      </c>
      <c r="G79" s="53" t="n">
        <v>9.77</v>
      </c>
      <c r="H79" s="53" t="n">
        <v>94.09999999999999</v>
      </c>
      <c r="I79" s="53" t="n">
        <v>1.51</v>
      </c>
      <c r="J79" s="53" t="n">
        <v>0.25</v>
      </c>
      <c r="K79" s="53" t="n">
        <v>6</v>
      </c>
      <c r="L79" s="53" t="n">
        <v>5</v>
      </c>
      <c r="M79" s="53" t="n">
        <v>0</v>
      </c>
      <c r="N79" s="53" t="n">
        <v>1</v>
      </c>
      <c r="O79" s="53" t="n">
        <v>4</v>
      </c>
      <c r="P79" s="53" t="n">
        <v>60</v>
      </c>
      <c r="Q79" s="53" t="n">
        <v>5</v>
      </c>
      <c r="R79" s="53" t="n">
        <v>1000</v>
      </c>
      <c r="S79" s="53" t="n">
        <v>0</v>
      </c>
      <c r="T79" s="53" t="n">
        <v>5</v>
      </c>
      <c r="U79" s="53" t="n">
        <v>0</v>
      </c>
      <c r="V79" s="53" t="n">
        <v>0</v>
      </c>
      <c r="W79" s="53" t="n">
        <v>0</v>
      </c>
      <c r="X79" s="53" t="n">
        <v>8.25</v>
      </c>
    </row>
    <row r="80">
      <c r="A80" s="53" t="inlineStr">
        <is>
          <t>Date palm pulp</t>
        </is>
      </c>
      <c r="B80" s="53" t="n">
        <v>24.9</v>
      </c>
      <c r="C80" s="53" t="n">
        <v>27.8</v>
      </c>
      <c r="D80" s="53" t="n">
        <v>22.6</v>
      </c>
      <c r="E80" s="53" t="n">
        <v>24.33</v>
      </c>
      <c r="F80" s="53" t="n">
        <v>3.02</v>
      </c>
      <c r="G80" s="53" t="n">
        <v>9.77</v>
      </c>
      <c r="H80" s="53" t="n">
        <v>94.09999999999999</v>
      </c>
      <c r="I80" s="53" t="n">
        <v>1.51</v>
      </c>
      <c r="J80" s="53" t="n">
        <v>0.25</v>
      </c>
      <c r="K80" s="53" t="n">
        <v>6</v>
      </c>
      <c r="L80" s="53" t="n">
        <v>5</v>
      </c>
      <c r="M80" s="53" t="n">
        <v>0</v>
      </c>
      <c r="N80" s="53" t="n">
        <v>1</v>
      </c>
      <c r="O80" s="53" t="n">
        <v>4</v>
      </c>
      <c r="P80" s="53" t="n">
        <v>60</v>
      </c>
      <c r="Q80" s="53" t="n">
        <v>5</v>
      </c>
      <c r="R80" s="53" t="n">
        <v>1200</v>
      </c>
      <c r="S80" s="53" t="n">
        <v>0</v>
      </c>
      <c r="T80" s="53" t="n">
        <v>5</v>
      </c>
      <c r="U80" s="53" t="n">
        <v>0</v>
      </c>
      <c r="V80" s="53" t="n">
        <v>0</v>
      </c>
      <c r="W80" s="53" t="n">
        <v>0</v>
      </c>
      <c r="X80" s="53" t="n">
        <v>8.380000000000001</v>
      </c>
    </row>
    <row r="81">
      <c r="A81" s="53" t="inlineStr">
        <is>
          <t>Date palm pulp</t>
        </is>
      </c>
      <c r="B81" s="53" t="n">
        <v>24.9</v>
      </c>
      <c r="C81" s="53" t="n">
        <v>27.8</v>
      </c>
      <c r="D81" s="53" t="n">
        <v>22.6</v>
      </c>
      <c r="E81" s="53" t="n">
        <v>24.33</v>
      </c>
      <c r="F81" s="53" t="n">
        <v>3.02</v>
      </c>
      <c r="G81" s="53" t="n">
        <v>9.77</v>
      </c>
      <c r="H81" s="53" t="n">
        <v>94.09999999999999</v>
      </c>
      <c r="I81" s="53" t="n">
        <v>1.51</v>
      </c>
      <c r="J81" s="53" t="n">
        <v>0.25</v>
      </c>
      <c r="K81" s="53" t="n">
        <v>6</v>
      </c>
      <c r="L81" s="53" t="n">
        <v>5</v>
      </c>
      <c r="M81" s="53" t="n">
        <v>0</v>
      </c>
      <c r="N81" s="53" t="n">
        <v>1</v>
      </c>
      <c r="O81" s="53" t="n">
        <v>4</v>
      </c>
      <c r="P81" s="53" t="n">
        <v>60</v>
      </c>
      <c r="Q81" s="53" t="n">
        <v>5</v>
      </c>
      <c r="R81" s="53" t="n">
        <v>1300</v>
      </c>
      <c r="S81" s="53" t="n">
        <v>0</v>
      </c>
      <c r="T81" s="53" t="n">
        <v>5</v>
      </c>
      <c r="U81" s="53" t="n">
        <v>0</v>
      </c>
      <c r="V81" s="53" t="n">
        <v>0</v>
      </c>
      <c r="W81" s="53" t="n">
        <v>0</v>
      </c>
      <c r="X81" s="53" t="n">
        <v>8.73</v>
      </c>
    </row>
    <row r="82">
      <c r="A82" s="53" t="inlineStr">
        <is>
          <t>Date palm pulp</t>
        </is>
      </c>
      <c r="B82" s="53" t="n">
        <v>24.9</v>
      </c>
      <c r="C82" s="53" t="n">
        <v>27.8</v>
      </c>
      <c r="D82" s="53" t="n">
        <v>22.6</v>
      </c>
      <c r="E82" s="53" t="n">
        <v>24.33</v>
      </c>
      <c r="F82" s="53" t="n">
        <v>3.02</v>
      </c>
      <c r="G82" s="53" t="n">
        <v>9.77</v>
      </c>
      <c r="H82" s="53" t="n">
        <v>94.09999999999999</v>
      </c>
      <c r="I82" s="53" t="n">
        <v>1.51</v>
      </c>
      <c r="J82" s="53" t="n">
        <v>0.25</v>
      </c>
      <c r="K82" s="53" t="n">
        <v>6</v>
      </c>
      <c r="L82" s="53" t="n">
        <v>5</v>
      </c>
      <c r="M82" s="53" t="n">
        <v>0</v>
      </c>
      <c r="N82" s="53" t="n">
        <v>1</v>
      </c>
      <c r="O82" s="53" t="n">
        <v>4</v>
      </c>
      <c r="P82" s="53" t="n">
        <v>60</v>
      </c>
      <c r="Q82" s="53" t="n">
        <v>5</v>
      </c>
      <c r="R82" s="53" t="n">
        <v>1400</v>
      </c>
      <c r="S82" s="53" t="n">
        <v>0</v>
      </c>
      <c r="T82" s="53" t="n">
        <v>5</v>
      </c>
      <c r="U82" s="53" t="n">
        <v>0</v>
      </c>
      <c r="V82" s="53" t="n">
        <v>0</v>
      </c>
      <c r="W82" s="53" t="n">
        <v>0</v>
      </c>
      <c r="X82" s="53" t="n">
        <v>9.24</v>
      </c>
    </row>
    <row r="83">
      <c r="A83" s="53" t="inlineStr">
        <is>
          <t>Date palm seed</t>
        </is>
      </c>
      <c r="B83" s="53" t="n">
        <v>23.9</v>
      </c>
      <c r="C83" s="53" t="n">
        <v>26.8</v>
      </c>
      <c r="D83" s="53" t="n">
        <v>21.6</v>
      </c>
      <c r="E83" s="53" t="n">
        <v>75.09999999999999</v>
      </c>
      <c r="F83" s="53" t="n">
        <v>9.800000000000001</v>
      </c>
      <c r="G83" s="53" t="n">
        <v>8.1</v>
      </c>
      <c r="H83" s="53" t="n">
        <v>44.1</v>
      </c>
      <c r="I83" s="53" t="n">
        <v>48.3</v>
      </c>
      <c r="J83" s="53" t="n">
        <v>6.1</v>
      </c>
      <c r="K83" s="53" t="n">
        <v>6</v>
      </c>
      <c r="L83" s="53" t="n">
        <v>5</v>
      </c>
      <c r="M83" s="53" t="n">
        <v>0</v>
      </c>
      <c r="N83" s="53" t="n">
        <v>1</v>
      </c>
      <c r="O83" s="53" t="n">
        <v>4</v>
      </c>
      <c r="P83" s="53" t="n">
        <v>60</v>
      </c>
      <c r="Q83" s="53" t="n">
        <v>5</v>
      </c>
      <c r="R83" s="53" t="n">
        <v>800</v>
      </c>
      <c r="S83" s="53" t="n">
        <v>0</v>
      </c>
      <c r="T83" s="53" t="n">
        <v>5</v>
      </c>
      <c r="U83" s="53" t="n">
        <v>0</v>
      </c>
      <c r="V83" s="53" t="n">
        <v>0</v>
      </c>
      <c r="W83" s="53" t="n">
        <v>0</v>
      </c>
      <c r="X83" s="53" t="n">
        <v>7.3</v>
      </c>
    </row>
    <row r="84">
      <c r="A84" s="53" t="inlineStr">
        <is>
          <t>Date palm seed</t>
        </is>
      </c>
      <c r="B84" s="53" t="n">
        <v>23.9</v>
      </c>
      <c r="C84" s="53" t="n">
        <v>26.8</v>
      </c>
      <c r="D84" s="53" t="n">
        <v>21.6</v>
      </c>
      <c r="E84" s="53" t="n">
        <v>75.09999999999999</v>
      </c>
      <c r="F84" s="53" t="n">
        <v>9.800000000000001</v>
      </c>
      <c r="G84" s="53" t="n">
        <v>8.1</v>
      </c>
      <c r="H84" s="53" t="n">
        <v>44.1</v>
      </c>
      <c r="I84" s="53" t="n">
        <v>48.3</v>
      </c>
      <c r="J84" s="53" t="n">
        <v>6.1</v>
      </c>
      <c r="K84" s="53" t="n">
        <v>6</v>
      </c>
      <c r="L84" s="53" t="n">
        <v>5</v>
      </c>
      <c r="M84" s="53" t="n">
        <v>0</v>
      </c>
      <c r="N84" s="53" t="n">
        <v>1</v>
      </c>
      <c r="O84" s="53" t="n">
        <v>4</v>
      </c>
      <c r="P84" s="53" t="n">
        <v>60</v>
      </c>
      <c r="Q84" s="53" t="n">
        <v>5</v>
      </c>
      <c r="R84" s="53" t="n">
        <v>1000</v>
      </c>
      <c r="S84" s="53" t="n">
        <v>0</v>
      </c>
      <c r="T84" s="53" t="n">
        <v>5</v>
      </c>
      <c r="U84" s="53" t="n">
        <v>0</v>
      </c>
      <c r="V84" s="53" t="n">
        <v>0</v>
      </c>
      <c r="W84" s="53" t="n">
        <v>0</v>
      </c>
      <c r="X84" s="53" t="n">
        <v>7.48</v>
      </c>
    </row>
    <row r="85">
      <c r="A85" s="53" t="inlineStr">
        <is>
          <t>Date palm seed</t>
        </is>
      </c>
      <c r="B85" s="53" t="n">
        <v>23.9</v>
      </c>
      <c r="C85" s="53" t="n">
        <v>26.8</v>
      </c>
      <c r="D85" s="53" t="n">
        <v>21.6</v>
      </c>
      <c r="E85" s="53" t="n">
        <v>75.09999999999999</v>
      </c>
      <c r="F85" s="53" t="n">
        <v>9.800000000000001</v>
      </c>
      <c r="G85" s="53" t="n">
        <v>8.1</v>
      </c>
      <c r="H85" s="53" t="n">
        <v>44.1</v>
      </c>
      <c r="I85" s="53" t="n">
        <v>48.3</v>
      </c>
      <c r="J85" s="53" t="n">
        <v>6.1</v>
      </c>
      <c r="K85" s="53" t="n">
        <v>6</v>
      </c>
      <c r="L85" s="53" t="n">
        <v>5</v>
      </c>
      <c r="M85" s="53" t="n">
        <v>0</v>
      </c>
      <c r="N85" s="53" t="n">
        <v>1</v>
      </c>
      <c r="O85" s="53" t="n">
        <v>4</v>
      </c>
      <c r="P85" s="53" t="n">
        <v>60</v>
      </c>
      <c r="Q85" s="53" t="n">
        <v>5</v>
      </c>
      <c r="R85" s="53" t="n">
        <v>1200</v>
      </c>
      <c r="S85" s="53" t="n">
        <v>0</v>
      </c>
      <c r="T85" s="53" t="n">
        <v>5</v>
      </c>
      <c r="U85" s="53" t="n">
        <v>0</v>
      </c>
      <c r="V85" s="53" t="n">
        <v>0</v>
      </c>
      <c r="W85" s="53" t="n">
        <v>0</v>
      </c>
      <c r="X85" s="53" t="n">
        <v>8.289999999999999</v>
      </c>
    </row>
    <row r="86">
      <c r="A86" s="53" t="inlineStr">
        <is>
          <t>Date palm seed</t>
        </is>
      </c>
      <c r="B86" s="53" t="n">
        <v>23.9</v>
      </c>
      <c r="C86" s="53" t="n">
        <v>26.8</v>
      </c>
      <c r="D86" s="53" t="n">
        <v>21.6</v>
      </c>
      <c r="E86" s="53" t="n">
        <v>75.09999999999999</v>
      </c>
      <c r="F86" s="53" t="n">
        <v>9.800000000000001</v>
      </c>
      <c r="G86" s="53" t="n">
        <v>8.1</v>
      </c>
      <c r="H86" s="53" t="n">
        <v>44.1</v>
      </c>
      <c r="I86" s="53" t="n">
        <v>48.3</v>
      </c>
      <c r="J86" s="53" t="n">
        <v>6.1</v>
      </c>
      <c r="K86" s="53" t="n">
        <v>6</v>
      </c>
      <c r="L86" s="53" t="n">
        <v>5</v>
      </c>
      <c r="M86" s="53" t="n">
        <v>0</v>
      </c>
      <c r="N86" s="53" t="n">
        <v>1</v>
      </c>
      <c r="O86" s="53" t="n">
        <v>4</v>
      </c>
      <c r="P86" s="53" t="n">
        <v>60</v>
      </c>
      <c r="Q86" s="53" t="n">
        <v>5</v>
      </c>
      <c r="R86" s="53" t="n">
        <v>1300</v>
      </c>
      <c r="S86" s="53" t="n">
        <v>0</v>
      </c>
      <c r="T86" s="53" t="n">
        <v>5</v>
      </c>
      <c r="U86" s="53" t="n">
        <v>0</v>
      </c>
      <c r="V86" s="53" t="n">
        <v>0</v>
      </c>
      <c r="W86" s="53" t="n">
        <v>0</v>
      </c>
      <c r="X86" s="53" t="n">
        <v>8.42</v>
      </c>
    </row>
    <row r="87">
      <c r="A87" s="53" t="inlineStr">
        <is>
          <t>Date palm seed</t>
        </is>
      </c>
      <c r="B87" s="53" t="n">
        <v>23.9</v>
      </c>
      <c r="C87" s="53" t="n">
        <v>26.8</v>
      </c>
      <c r="D87" s="53" t="n">
        <v>21.6</v>
      </c>
      <c r="E87" s="53" t="n">
        <v>75.09999999999999</v>
      </c>
      <c r="F87" s="53" t="n">
        <v>9.800000000000001</v>
      </c>
      <c r="G87" s="53" t="n">
        <v>8.1</v>
      </c>
      <c r="H87" s="53" t="n">
        <v>44.1</v>
      </c>
      <c r="I87" s="53" t="n">
        <v>48.3</v>
      </c>
      <c r="J87" s="53" t="n">
        <v>6.1</v>
      </c>
      <c r="K87" s="53" t="n">
        <v>6</v>
      </c>
      <c r="L87" s="53" t="n">
        <v>5</v>
      </c>
      <c r="M87" s="53" t="n">
        <v>0</v>
      </c>
      <c r="N87" s="53" t="n">
        <v>1</v>
      </c>
      <c r="O87" s="53" t="n">
        <v>4</v>
      </c>
      <c r="P87" s="53" t="n">
        <v>60</v>
      </c>
      <c r="Q87" s="53" t="n">
        <v>5</v>
      </c>
      <c r="R87" s="53" t="n">
        <v>1400</v>
      </c>
      <c r="S87" s="53" t="n">
        <v>0</v>
      </c>
      <c r="T87" s="53" t="n">
        <v>5</v>
      </c>
      <c r="U87" s="53" t="n">
        <v>0</v>
      </c>
      <c r="V87" s="53" t="n">
        <v>0</v>
      </c>
      <c r="W87" s="53" t="n">
        <v>0</v>
      </c>
      <c r="X87" s="53" t="n">
        <v>8.539999999999999</v>
      </c>
    </row>
    <row r="88">
      <c r="A88" s="53" t="inlineStr">
        <is>
          <t>Eucalyptus wood</t>
        </is>
      </c>
      <c r="B88" s="53" t="n">
        <v>57.3</v>
      </c>
      <c r="C88" s="53" t="n">
        <v>16.8</v>
      </c>
      <c r="D88" s="53" t="n">
        <v>25.9</v>
      </c>
      <c r="E88" s="53" t="n">
        <v>74.62</v>
      </c>
      <c r="F88" s="53" t="n">
        <v>5.55</v>
      </c>
      <c r="G88" s="53" t="n">
        <v>19.83</v>
      </c>
      <c r="H88" s="53" t="n">
        <v>42.55</v>
      </c>
      <c r="I88" s="53" t="n">
        <v>46.76</v>
      </c>
      <c r="J88" s="53" t="n">
        <v>6.01</v>
      </c>
      <c r="K88" s="53" t="n">
        <v>1</v>
      </c>
      <c r="L88" s="53" t="n">
        <v>5</v>
      </c>
      <c r="M88" s="53" t="n">
        <v>0</v>
      </c>
      <c r="N88" s="53" t="n">
        <v>1</v>
      </c>
      <c r="O88" s="53" t="n">
        <v>4</v>
      </c>
      <c r="P88" s="53" t="n">
        <v>120</v>
      </c>
      <c r="Q88" s="53" t="n">
        <v>5</v>
      </c>
      <c r="R88" s="53" t="n">
        <v>700</v>
      </c>
      <c r="S88" s="53" t="n">
        <v>0</v>
      </c>
      <c r="T88" s="53" t="n">
        <v>5</v>
      </c>
      <c r="U88" s="53" t="n">
        <v>0</v>
      </c>
      <c r="V88" s="53" t="n">
        <v>0</v>
      </c>
      <c r="W88" s="53" t="n">
        <v>0</v>
      </c>
      <c r="X88" s="53" t="n">
        <v>9.15</v>
      </c>
    </row>
    <row r="89">
      <c r="A89" s="53" t="inlineStr">
        <is>
          <t>Eucalyptus wood</t>
        </is>
      </c>
      <c r="B89" s="53" t="n">
        <v>57.3</v>
      </c>
      <c r="C89" s="53" t="n">
        <v>16.8</v>
      </c>
      <c r="D89" s="53" t="n">
        <v>25.9</v>
      </c>
      <c r="E89" s="53" t="n">
        <v>74.62</v>
      </c>
      <c r="F89" s="53" t="n">
        <v>5.55</v>
      </c>
      <c r="G89" s="53" t="n">
        <v>19.83</v>
      </c>
      <c r="H89" s="53" t="n">
        <v>42.55</v>
      </c>
      <c r="I89" s="53" t="n">
        <v>46.76</v>
      </c>
      <c r="J89" s="53" t="n">
        <v>6.01</v>
      </c>
      <c r="K89" s="53" t="n">
        <v>1</v>
      </c>
      <c r="L89" s="53" t="n">
        <v>5</v>
      </c>
      <c r="M89" s="53" t="n">
        <v>0</v>
      </c>
      <c r="N89" s="53" t="n">
        <v>1</v>
      </c>
      <c r="O89" s="53" t="n">
        <v>4</v>
      </c>
      <c r="P89" s="53" t="n">
        <v>120</v>
      </c>
      <c r="Q89" s="53" t="n">
        <v>5</v>
      </c>
      <c r="R89" s="53" t="n">
        <v>900</v>
      </c>
      <c r="S89" s="53" t="n">
        <v>0</v>
      </c>
      <c r="T89" s="53" t="n">
        <v>5</v>
      </c>
      <c r="U89" s="53" t="n">
        <v>0</v>
      </c>
      <c r="V89" s="53" t="n">
        <v>0</v>
      </c>
      <c r="W89" s="53" t="n">
        <v>0</v>
      </c>
      <c r="X89" s="53" t="n">
        <v>9.57</v>
      </c>
    </row>
    <row r="90">
      <c r="A90" s="53" t="inlineStr">
        <is>
          <t>Eucalyptus wood</t>
        </is>
      </c>
      <c r="B90" s="53" t="n">
        <v>57.3</v>
      </c>
      <c r="C90" s="53" t="n">
        <v>16.8</v>
      </c>
      <c r="D90" s="53" t="n">
        <v>25.9</v>
      </c>
      <c r="E90" s="53" t="n">
        <v>74.62</v>
      </c>
      <c r="F90" s="53" t="n">
        <v>5.55</v>
      </c>
      <c r="G90" s="53" t="n">
        <v>19.83</v>
      </c>
      <c r="H90" s="53" t="n">
        <v>42.55</v>
      </c>
      <c r="I90" s="53" t="n">
        <v>46.76</v>
      </c>
      <c r="J90" s="53" t="n">
        <v>6.01</v>
      </c>
      <c r="K90" s="53" t="n">
        <v>1</v>
      </c>
      <c r="L90" s="53" t="n">
        <v>5</v>
      </c>
      <c r="M90" s="53" t="n">
        <v>0</v>
      </c>
      <c r="N90" s="53" t="n">
        <v>1</v>
      </c>
      <c r="O90" s="53" t="n">
        <v>4</v>
      </c>
      <c r="P90" s="53" t="n">
        <v>120</v>
      </c>
      <c r="Q90" s="53" t="n">
        <v>5</v>
      </c>
      <c r="R90" s="53" t="n">
        <v>1100</v>
      </c>
      <c r="S90" s="53" t="n">
        <v>0</v>
      </c>
      <c r="T90" s="53" t="n">
        <v>5</v>
      </c>
      <c r="U90" s="53" t="n">
        <v>0</v>
      </c>
      <c r="V90" s="53" t="n">
        <v>0</v>
      </c>
      <c r="W90" s="53" t="n">
        <v>0</v>
      </c>
      <c r="X90" s="53" t="n">
        <v>10.87</v>
      </c>
    </row>
    <row r="91">
      <c r="A91" s="53" t="inlineStr">
        <is>
          <t>Eucalyptus wood</t>
        </is>
      </c>
      <c r="B91" s="53" t="n">
        <v>57.3</v>
      </c>
      <c r="C91" s="53" t="n">
        <v>16.8</v>
      </c>
      <c r="D91" s="53" t="n">
        <v>25.9</v>
      </c>
      <c r="E91" s="53" t="n">
        <v>74.62</v>
      </c>
      <c r="F91" s="53" t="n">
        <v>5.55</v>
      </c>
      <c r="G91" s="53" t="n">
        <v>19.83</v>
      </c>
      <c r="H91" s="53" t="n">
        <v>42.55</v>
      </c>
      <c r="I91" s="53" t="n">
        <v>46.76</v>
      </c>
      <c r="J91" s="53" t="n">
        <v>6.01</v>
      </c>
      <c r="K91" s="53" t="n">
        <v>1</v>
      </c>
      <c r="L91" s="53" t="n">
        <v>5</v>
      </c>
      <c r="M91" s="53" t="n">
        <v>0</v>
      </c>
      <c r="N91" s="53" t="n">
        <v>1</v>
      </c>
      <c r="O91" s="53" t="n">
        <v>4</v>
      </c>
      <c r="P91" s="53" t="n">
        <v>120</v>
      </c>
      <c r="Q91" s="53" t="n">
        <v>5</v>
      </c>
      <c r="R91" s="53" t="n">
        <v>1400</v>
      </c>
      <c r="S91" s="53" t="n">
        <v>0</v>
      </c>
      <c r="T91" s="53" t="n">
        <v>5</v>
      </c>
      <c r="U91" s="53" t="n">
        <v>0</v>
      </c>
      <c r="V91" s="53" t="n">
        <v>0</v>
      </c>
      <c r="W91" s="53" t="n">
        <v>0</v>
      </c>
      <c r="X91" s="53" t="n">
        <v>12.52</v>
      </c>
    </row>
    <row r="92">
      <c r="A92" s="53" t="inlineStr">
        <is>
          <t>Fir wood</t>
        </is>
      </c>
      <c r="B92" s="53" t="n">
        <v>45.81</v>
      </c>
      <c r="C92" s="53" t="n">
        <v>26.78</v>
      </c>
      <c r="D92" s="53" t="n">
        <v>28.24</v>
      </c>
      <c r="E92" s="53" t="n">
        <v>85.5</v>
      </c>
      <c r="F92" s="53" t="n">
        <v>0.3</v>
      </c>
      <c r="G92" s="53" t="n">
        <v>10.5</v>
      </c>
      <c r="H92" s="53" t="n">
        <v>47.2</v>
      </c>
      <c r="I92" s="53" t="n">
        <v>44.8</v>
      </c>
      <c r="J92" s="53" t="n">
        <v>6.1</v>
      </c>
      <c r="K92" s="53" t="n">
        <v>4</v>
      </c>
      <c r="L92" s="53" t="n">
        <v>5</v>
      </c>
      <c r="M92" s="53" t="n">
        <v>0</v>
      </c>
      <c r="N92" s="53" t="n">
        <v>1</v>
      </c>
      <c r="O92" s="53" t="n">
        <v>4</v>
      </c>
      <c r="P92" s="53" t="n">
        <v>480</v>
      </c>
      <c r="Q92" s="53" t="n">
        <v>10</v>
      </c>
      <c r="R92" s="53" t="n">
        <v>1100</v>
      </c>
      <c r="S92" s="53" t="n">
        <v>0</v>
      </c>
      <c r="T92" s="53" t="n">
        <v>5</v>
      </c>
      <c r="U92" s="53" t="n">
        <v>0</v>
      </c>
      <c r="V92" s="53" t="n">
        <v>0</v>
      </c>
      <c r="W92" s="53" t="n">
        <v>0</v>
      </c>
      <c r="X92" s="53" t="n">
        <v>3.07</v>
      </c>
    </row>
    <row r="93">
      <c r="A93" s="53" t="inlineStr">
        <is>
          <t>Fir wood</t>
        </is>
      </c>
      <c r="B93" s="53" t="n">
        <v>45.81</v>
      </c>
      <c r="C93" s="53" t="n">
        <v>26.78</v>
      </c>
      <c r="D93" s="53" t="n">
        <v>28.24</v>
      </c>
      <c r="E93" s="53" t="n">
        <v>85.5</v>
      </c>
      <c r="F93" s="53" t="n">
        <v>0.3</v>
      </c>
      <c r="G93" s="53" t="n">
        <v>10.5</v>
      </c>
      <c r="H93" s="53" t="n">
        <v>47.2</v>
      </c>
      <c r="I93" s="53" t="n">
        <v>44.8</v>
      </c>
      <c r="J93" s="53" t="n">
        <v>6.1</v>
      </c>
      <c r="K93" s="53" t="n">
        <v>4</v>
      </c>
      <c r="L93" s="53" t="n">
        <v>5</v>
      </c>
      <c r="M93" s="53" t="n">
        <v>0</v>
      </c>
      <c r="N93" s="53" t="n">
        <v>1</v>
      </c>
      <c r="O93" s="53" t="n">
        <v>4</v>
      </c>
      <c r="P93" s="53" t="n">
        <v>480</v>
      </c>
      <c r="Q93" s="53" t="n">
        <v>10</v>
      </c>
      <c r="R93" s="53" t="n">
        <v>1300</v>
      </c>
      <c r="S93" s="53" t="n">
        <v>0</v>
      </c>
      <c r="T93" s="53" t="n">
        <v>5</v>
      </c>
      <c r="U93" s="53" t="n">
        <v>0</v>
      </c>
      <c r="V93" s="53" t="n">
        <v>0</v>
      </c>
      <c r="W93" s="53" t="n">
        <v>0</v>
      </c>
      <c r="X93" s="53" t="n">
        <v>3.53</v>
      </c>
    </row>
    <row r="94">
      <c r="A94" s="53" t="inlineStr">
        <is>
          <t>Fir wood</t>
        </is>
      </c>
      <c r="B94" s="53" t="n">
        <v>45.81</v>
      </c>
      <c r="C94" s="53" t="n">
        <v>26.78</v>
      </c>
      <c r="D94" s="53" t="n">
        <v>28.24</v>
      </c>
      <c r="E94" s="53" t="n">
        <v>85.5</v>
      </c>
      <c r="F94" s="53" t="n">
        <v>0.3</v>
      </c>
      <c r="G94" s="53" t="n">
        <v>10.5</v>
      </c>
      <c r="H94" s="53" t="n">
        <v>47.2</v>
      </c>
      <c r="I94" s="53" t="n">
        <v>44.8</v>
      </c>
      <c r="J94" s="53" t="n">
        <v>6.1</v>
      </c>
      <c r="K94" s="53" t="n">
        <v>4</v>
      </c>
      <c r="L94" s="53" t="n">
        <v>5</v>
      </c>
      <c r="M94" s="53" t="n">
        <v>0</v>
      </c>
      <c r="N94" s="53" t="n">
        <v>1</v>
      </c>
      <c r="O94" s="53" t="n">
        <v>4</v>
      </c>
      <c r="P94" s="53" t="n">
        <v>480</v>
      </c>
      <c r="Q94" s="53" t="n">
        <v>10</v>
      </c>
      <c r="R94" s="53" t="n">
        <v>1500</v>
      </c>
      <c r="S94" s="53" t="n">
        <v>0</v>
      </c>
      <c r="T94" s="53" t="n">
        <v>5</v>
      </c>
      <c r="U94" s="53" t="n">
        <v>0</v>
      </c>
      <c r="V94" s="53" t="n">
        <v>0</v>
      </c>
      <c r="W94" s="53" t="n">
        <v>0</v>
      </c>
      <c r="X94" s="53" t="n">
        <v>3.55</v>
      </c>
    </row>
    <row r="95">
      <c r="A95" s="53" t="inlineStr">
        <is>
          <t>Fir wood</t>
        </is>
      </c>
      <c r="B95" s="53" t="n">
        <v>45.81</v>
      </c>
      <c r="C95" s="53" t="n">
        <v>26.78</v>
      </c>
      <c r="D95" s="53" t="n">
        <v>28.24</v>
      </c>
      <c r="E95" s="53" t="n">
        <v>85.5</v>
      </c>
      <c r="F95" s="53" t="n">
        <v>0.3</v>
      </c>
      <c r="G95" s="53" t="n">
        <v>10.5</v>
      </c>
      <c r="H95" s="53" t="n">
        <v>47.2</v>
      </c>
      <c r="I95" s="53" t="n">
        <v>44.8</v>
      </c>
      <c r="J95" s="53" t="n">
        <v>6.1</v>
      </c>
      <c r="K95" s="53" t="n">
        <v>1</v>
      </c>
      <c r="L95" s="53" t="n">
        <v>5</v>
      </c>
      <c r="M95" s="53" t="n">
        <v>1</v>
      </c>
      <c r="N95" s="53" t="n">
        <v>1</v>
      </c>
      <c r="O95" s="53" t="n">
        <v>4</v>
      </c>
      <c r="P95" s="53" t="n">
        <v>60</v>
      </c>
      <c r="Q95" s="53" t="n">
        <v>10</v>
      </c>
      <c r="R95" s="53" t="n">
        <v>800</v>
      </c>
      <c r="S95" s="53" t="n">
        <v>0</v>
      </c>
      <c r="T95" s="53" t="n">
        <v>5</v>
      </c>
      <c r="U95" s="53" t="n">
        <v>300</v>
      </c>
      <c r="V95" s="53" t="n">
        <v>6.25</v>
      </c>
      <c r="W95" s="53" t="n">
        <v>812.5</v>
      </c>
      <c r="X95" s="53" t="n">
        <v>2.95</v>
      </c>
    </row>
    <row r="96">
      <c r="A96" s="53" t="inlineStr">
        <is>
          <t>Fir wood</t>
        </is>
      </c>
      <c r="B96" s="53" t="n">
        <v>45.81</v>
      </c>
      <c r="C96" s="53" t="n">
        <v>26.78</v>
      </c>
      <c r="D96" s="53" t="n">
        <v>28.24</v>
      </c>
      <c r="E96" s="53" t="n">
        <v>85.5</v>
      </c>
      <c r="F96" s="53" t="n">
        <v>0.3</v>
      </c>
      <c r="G96" s="53" t="n">
        <v>10.5</v>
      </c>
      <c r="H96" s="53" t="n">
        <v>47.2</v>
      </c>
      <c r="I96" s="53" t="n">
        <v>44.8</v>
      </c>
      <c r="J96" s="53" t="n">
        <v>6.1</v>
      </c>
      <c r="K96" s="53" t="n">
        <v>1</v>
      </c>
      <c r="L96" s="53" t="n">
        <v>5</v>
      </c>
      <c r="M96" s="53" t="n">
        <v>1</v>
      </c>
      <c r="N96" s="53" t="n">
        <v>1</v>
      </c>
      <c r="O96" s="53" t="n">
        <v>4</v>
      </c>
      <c r="P96" s="53" t="n">
        <v>60</v>
      </c>
      <c r="Q96" s="53" t="n">
        <v>10</v>
      </c>
      <c r="R96" s="53" t="n">
        <v>800</v>
      </c>
      <c r="S96" s="53" t="n">
        <v>1</v>
      </c>
      <c r="T96" s="53" t="n">
        <v>5</v>
      </c>
      <c r="U96" s="53" t="n">
        <v>480</v>
      </c>
      <c r="V96" s="53" t="n">
        <v>10</v>
      </c>
      <c r="W96" s="53" t="n">
        <v>1100</v>
      </c>
      <c r="X96" s="53" t="n">
        <v>3.07</v>
      </c>
    </row>
    <row r="97">
      <c r="A97" s="53" t="inlineStr">
        <is>
          <t>Fir wood</t>
        </is>
      </c>
      <c r="B97" s="53" t="n">
        <v>45.81</v>
      </c>
      <c r="C97" s="53" t="n">
        <v>26.78</v>
      </c>
      <c r="D97" s="53" t="n">
        <v>28.24</v>
      </c>
      <c r="E97" s="53" t="n">
        <v>85.5</v>
      </c>
      <c r="F97" s="53" t="n">
        <v>0.3</v>
      </c>
      <c r="G97" s="53" t="n">
        <v>10.5</v>
      </c>
      <c r="H97" s="53" t="n">
        <v>47.2</v>
      </c>
      <c r="I97" s="53" t="n">
        <v>44.8</v>
      </c>
      <c r="J97" s="53" t="n">
        <v>6.1</v>
      </c>
      <c r="K97" s="53" t="n">
        <v>1</v>
      </c>
      <c r="L97" s="53" t="n">
        <v>5</v>
      </c>
      <c r="M97" s="53" t="n">
        <v>1</v>
      </c>
      <c r="N97" s="53" t="n">
        <v>1</v>
      </c>
      <c r="O97" s="53" t="n">
        <v>4</v>
      </c>
      <c r="P97" s="53" t="n">
        <v>60</v>
      </c>
      <c r="Q97" s="53" t="n">
        <v>10</v>
      </c>
      <c r="R97" s="53" t="n">
        <v>800</v>
      </c>
      <c r="S97" s="53" t="n">
        <v>1</v>
      </c>
      <c r="T97" s="53" t="n">
        <v>5</v>
      </c>
      <c r="U97" s="53" t="n">
        <v>480</v>
      </c>
      <c r="V97" s="53" t="n">
        <v>10</v>
      </c>
      <c r="W97" s="53" t="n">
        <v>1300</v>
      </c>
      <c r="X97" s="53" t="n">
        <v>3.53</v>
      </c>
    </row>
    <row r="98">
      <c r="A98" s="53" t="inlineStr">
        <is>
          <t>Fir wood</t>
        </is>
      </c>
      <c r="B98" s="53" t="n">
        <v>45.81</v>
      </c>
      <c r="C98" s="53" t="n">
        <v>26.78</v>
      </c>
      <c r="D98" s="53" t="n">
        <v>28.24</v>
      </c>
      <c r="E98" s="53" t="n">
        <v>85.5</v>
      </c>
      <c r="F98" s="53" t="n">
        <v>0.3</v>
      </c>
      <c r="G98" s="53" t="n">
        <v>10.5</v>
      </c>
      <c r="H98" s="53" t="n">
        <v>47.2</v>
      </c>
      <c r="I98" s="53" t="n">
        <v>44.8</v>
      </c>
      <c r="J98" s="53" t="n">
        <v>6.1</v>
      </c>
      <c r="K98" s="53" t="n">
        <v>1</v>
      </c>
      <c r="L98" s="53" t="n">
        <v>5</v>
      </c>
      <c r="M98" s="53" t="n">
        <v>1</v>
      </c>
      <c r="N98" s="53" t="n">
        <v>1</v>
      </c>
      <c r="O98" s="53" t="n">
        <v>4</v>
      </c>
      <c r="P98" s="53" t="n">
        <v>60</v>
      </c>
      <c r="Q98" s="53" t="n">
        <v>10</v>
      </c>
      <c r="R98" s="53" t="n">
        <v>800</v>
      </c>
      <c r="S98" s="53" t="n">
        <v>1</v>
      </c>
      <c r="T98" s="53" t="n">
        <v>5</v>
      </c>
      <c r="U98" s="53" t="n">
        <v>480</v>
      </c>
      <c r="V98" s="53" t="n">
        <v>10</v>
      </c>
      <c r="W98" s="53" t="n">
        <v>1500</v>
      </c>
      <c r="X98" s="53" t="n">
        <v>3.55</v>
      </c>
    </row>
    <row r="99">
      <c r="A99" s="53" t="inlineStr">
        <is>
          <t>Fir wood</t>
        </is>
      </c>
      <c r="B99" s="53" t="n">
        <v>45.81</v>
      </c>
      <c r="C99" s="53" t="n">
        <v>26.78</v>
      </c>
      <c r="D99" s="53" t="n">
        <v>28.24</v>
      </c>
      <c r="E99" s="53" t="n">
        <v>85.5</v>
      </c>
      <c r="F99" s="53" t="n">
        <v>0.3</v>
      </c>
      <c r="G99" s="53" t="n">
        <v>10.5</v>
      </c>
      <c r="H99" s="53" t="n">
        <v>47.2</v>
      </c>
      <c r="I99" s="53" t="n">
        <v>44.8</v>
      </c>
      <c r="J99" s="53" t="n">
        <v>6.1</v>
      </c>
      <c r="K99" s="53" t="n">
        <v>1</v>
      </c>
      <c r="L99" s="53" t="n">
        <v>5</v>
      </c>
      <c r="M99" s="53" t="n">
        <v>1</v>
      </c>
      <c r="N99" s="53" t="n">
        <v>1</v>
      </c>
      <c r="O99" s="53" t="n">
        <v>4</v>
      </c>
      <c r="P99" s="53" t="n">
        <v>60</v>
      </c>
      <c r="Q99" s="53" t="n">
        <v>10</v>
      </c>
      <c r="R99" s="53" t="n">
        <v>800</v>
      </c>
      <c r="S99" s="53" t="n">
        <v>1</v>
      </c>
      <c r="T99" s="53" t="n">
        <v>5</v>
      </c>
      <c r="U99" s="53" t="n">
        <v>480</v>
      </c>
      <c r="V99" s="53" t="n">
        <v>10</v>
      </c>
      <c r="W99" s="53" t="n">
        <v>1300</v>
      </c>
      <c r="X99" s="53" t="n">
        <v>3.44</v>
      </c>
    </row>
    <row r="100">
      <c r="A100" s="53" t="inlineStr">
        <is>
          <t>Ginkgo leave</t>
        </is>
      </c>
      <c r="B100" s="53" t="n">
        <v>44.9614795612291</v>
      </c>
      <c r="C100" s="53" t="n">
        <v>14.5156561431397</v>
      </c>
      <c r="D100" s="53" t="n">
        <v>35.2184623877525</v>
      </c>
      <c r="E100" s="53" t="n">
        <v>68.59999999999999</v>
      </c>
      <c r="F100" s="53" t="n">
        <v>7.8</v>
      </c>
      <c r="G100" s="53" t="n">
        <v>23.5</v>
      </c>
      <c r="H100" s="53" t="n">
        <v>45.8</v>
      </c>
      <c r="I100" s="53" t="n">
        <v>46.3</v>
      </c>
      <c r="J100" s="53" t="n">
        <v>5.9</v>
      </c>
      <c r="K100" s="53" t="n">
        <v>4</v>
      </c>
      <c r="L100" s="53" t="n">
        <v>1</v>
      </c>
      <c r="M100" s="53" t="n">
        <v>0</v>
      </c>
      <c r="N100" s="53" t="n">
        <v>1</v>
      </c>
      <c r="O100" s="53" t="n">
        <v>4</v>
      </c>
      <c r="P100" s="53" t="n">
        <v>120</v>
      </c>
      <c r="Q100" s="53" t="n">
        <v>5</v>
      </c>
      <c r="R100" s="53" t="n">
        <v>600</v>
      </c>
      <c r="S100" s="53" t="n">
        <v>0</v>
      </c>
      <c r="T100" s="53" t="n">
        <v>5</v>
      </c>
      <c r="U100" s="53" t="n">
        <v>0</v>
      </c>
      <c r="V100" s="53" t="n">
        <v>0</v>
      </c>
      <c r="W100" s="53" t="n">
        <v>0</v>
      </c>
      <c r="X100" s="53" t="n">
        <v>3.71</v>
      </c>
    </row>
    <row r="101">
      <c r="A101" s="53" t="inlineStr">
        <is>
          <t>Ginkgo leave</t>
        </is>
      </c>
      <c r="B101" s="53" t="n">
        <v>44.9614795612291</v>
      </c>
      <c r="C101" s="53" t="n">
        <v>14.5156561431397</v>
      </c>
      <c r="D101" s="53" t="n">
        <v>35.2184623877525</v>
      </c>
      <c r="E101" s="53" t="n">
        <v>68.59999999999999</v>
      </c>
      <c r="F101" s="53" t="n">
        <v>7.8</v>
      </c>
      <c r="G101" s="53" t="n">
        <v>23.5</v>
      </c>
      <c r="H101" s="53" t="n">
        <v>45.8</v>
      </c>
      <c r="I101" s="53" t="n">
        <v>46.3</v>
      </c>
      <c r="J101" s="53" t="n">
        <v>5.9</v>
      </c>
      <c r="K101" s="53" t="n">
        <v>4</v>
      </c>
      <c r="L101" s="53" t="n">
        <v>1</v>
      </c>
      <c r="M101" s="53" t="n">
        <v>0</v>
      </c>
      <c r="N101" s="53" t="n">
        <v>1</v>
      </c>
      <c r="O101" s="53" t="n">
        <v>4</v>
      </c>
      <c r="P101" s="53" t="n">
        <v>120</v>
      </c>
      <c r="Q101" s="53" t="n">
        <v>5</v>
      </c>
      <c r="R101" s="53" t="n">
        <v>800</v>
      </c>
      <c r="S101" s="53" t="n">
        <v>0</v>
      </c>
      <c r="T101" s="53" t="n">
        <v>5</v>
      </c>
      <c r="U101" s="53" t="n">
        <v>0</v>
      </c>
      <c r="V101" s="53" t="n">
        <v>0</v>
      </c>
      <c r="W101" s="53" t="n">
        <v>0</v>
      </c>
      <c r="X101" s="53" t="n">
        <v>4.39</v>
      </c>
    </row>
    <row r="102">
      <c r="A102" s="53" t="inlineStr">
        <is>
          <t>Ginkgo leave</t>
        </is>
      </c>
      <c r="B102" s="53" t="n">
        <v>44.9614795612291</v>
      </c>
      <c r="C102" s="53" t="n">
        <v>14.5156561431397</v>
      </c>
      <c r="D102" s="53" t="n">
        <v>35.2184623877525</v>
      </c>
      <c r="E102" s="53" t="n">
        <v>68.59999999999999</v>
      </c>
      <c r="F102" s="53" t="n">
        <v>7.8</v>
      </c>
      <c r="G102" s="53" t="n">
        <v>23.5</v>
      </c>
      <c r="H102" s="53" t="n">
        <v>45.8</v>
      </c>
      <c r="I102" s="53" t="n">
        <v>46.3</v>
      </c>
      <c r="J102" s="53" t="n">
        <v>5.9</v>
      </c>
      <c r="K102" s="53" t="n">
        <v>4</v>
      </c>
      <c r="L102" s="53" t="n">
        <v>1</v>
      </c>
      <c r="M102" s="53" t="n">
        <v>0</v>
      </c>
      <c r="N102" s="53" t="n">
        <v>1</v>
      </c>
      <c r="O102" s="53" t="n">
        <v>4</v>
      </c>
      <c r="P102" s="53" t="n">
        <v>120</v>
      </c>
      <c r="Q102" s="53" t="n">
        <v>5</v>
      </c>
      <c r="R102" s="53" t="n">
        <v>1000</v>
      </c>
      <c r="S102" s="53" t="n">
        <v>0</v>
      </c>
      <c r="T102" s="53" t="n">
        <v>5</v>
      </c>
      <c r="U102" s="53" t="n">
        <v>0</v>
      </c>
      <c r="V102" s="53" t="n">
        <v>0</v>
      </c>
      <c r="W102" s="53" t="n">
        <v>0</v>
      </c>
      <c r="X102" s="53" t="n">
        <v>5.47</v>
      </c>
    </row>
    <row r="103">
      <c r="A103" s="53" t="inlineStr">
        <is>
          <t>Ginkgo leave</t>
        </is>
      </c>
      <c r="B103" s="53" t="n">
        <v>44.9614795612291</v>
      </c>
      <c r="C103" s="53" t="n">
        <v>14.5156561431397</v>
      </c>
      <c r="D103" s="53" t="n">
        <v>35.2184623877525</v>
      </c>
      <c r="E103" s="53" t="n">
        <v>68.59999999999999</v>
      </c>
      <c r="F103" s="53" t="n">
        <v>7.8</v>
      </c>
      <c r="G103" s="53" t="n">
        <v>23.5</v>
      </c>
      <c r="H103" s="53" t="n">
        <v>45.8</v>
      </c>
      <c r="I103" s="53" t="n">
        <v>46.3</v>
      </c>
      <c r="J103" s="53" t="n">
        <v>5.9</v>
      </c>
      <c r="K103" s="53" t="n">
        <v>4</v>
      </c>
      <c r="L103" s="53" t="n">
        <v>1</v>
      </c>
      <c r="M103" s="53" t="n">
        <v>0</v>
      </c>
      <c r="N103" s="53" t="n">
        <v>1</v>
      </c>
      <c r="O103" s="53" t="n">
        <v>4</v>
      </c>
      <c r="P103" s="53" t="n">
        <v>120</v>
      </c>
      <c r="Q103" s="53" t="n">
        <v>5</v>
      </c>
      <c r="R103" s="53" t="n">
        <v>1200</v>
      </c>
      <c r="S103" s="53" t="n">
        <v>0</v>
      </c>
      <c r="T103" s="53" t="n">
        <v>5</v>
      </c>
      <c r="U103" s="53" t="n">
        <v>0</v>
      </c>
      <c r="V103" s="53" t="n">
        <v>0</v>
      </c>
      <c r="W103" s="53" t="n">
        <v>0</v>
      </c>
      <c r="X103" s="53" t="n">
        <v>6.18</v>
      </c>
    </row>
    <row r="104">
      <c r="A104" s="53" t="inlineStr">
        <is>
          <t>Ginkgo leave</t>
        </is>
      </c>
      <c r="B104" s="53" t="n">
        <v>44.9614795612291</v>
      </c>
      <c r="C104" s="53" t="n">
        <v>14.5156561431397</v>
      </c>
      <c r="D104" s="53" t="n">
        <v>35.2184623877525</v>
      </c>
      <c r="E104" s="53" t="n">
        <v>68.59999999999999</v>
      </c>
      <c r="F104" s="53" t="n">
        <v>7.8</v>
      </c>
      <c r="G104" s="53" t="n">
        <v>23.5</v>
      </c>
      <c r="H104" s="53" t="n">
        <v>45.8</v>
      </c>
      <c r="I104" s="53" t="n">
        <v>46.3</v>
      </c>
      <c r="J104" s="53" t="n">
        <v>5.9</v>
      </c>
      <c r="K104" s="53" t="n">
        <v>4</v>
      </c>
      <c r="L104" s="53" t="n">
        <v>1</v>
      </c>
      <c r="M104" s="53" t="n">
        <v>0</v>
      </c>
      <c r="N104" s="53" t="n">
        <v>1</v>
      </c>
      <c r="O104" s="53" t="n">
        <v>4</v>
      </c>
      <c r="P104" s="53" t="n">
        <v>120</v>
      </c>
      <c r="Q104" s="53" t="n">
        <v>5</v>
      </c>
      <c r="R104" s="53" t="n">
        <v>1300</v>
      </c>
      <c r="S104" s="53" t="n">
        <v>0</v>
      </c>
      <c r="T104" s="53" t="n">
        <v>5</v>
      </c>
      <c r="U104" s="53" t="n">
        <v>0</v>
      </c>
      <c r="V104" s="53" t="n">
        <v>0</v>
      </c>
      <c r="W104" s="53" t="n">
        <v>0</v>
      </c>
      <c r="X104" s="53" t="n">
        <v>6.41</v>
      </c>
    </row>
    <row r="105">
      <c r="A105" s="53" t="inlineStr">
        <is>
          <t>Ginkgo leave</t>
        </is>
      </c>
      <c r="B105" s="53" t="n">
        <v>44.9614795612291</v>
      </c>
      <c r="C105" s="53" t="n">
        <v>14.5156561431397</v>
      </c>
      <c r="D105" s="53" t="n">
        <v>35.2184623877525</v>
      </c>
      <c r="E105" s="53" t="n">
        <v>68.59999999999999</v>
      </c>
      <c r="F105" s="53" t="n">
        <v>7.8</v>
      </c>
      <c r="G105" s="53" t="n">
        <v>23.5</v>
      </c>
      <c r="H105" s="53" t="n">
        <v>45.8</v>
      </c>
      <c r="I105" s="53" t="n">
        <v>46.3</v>
      </c>
      <c r="J105" s="53" t="n">
        <v>5.9</v>
      </c>
      <c r="K105" s="53" t="n">
        <v>4</v>
      </c>
      <c r="L105" s="53" t="n">
        <v>1</v>
      </c>
      <c r="M105" s="53" t="n">
        <v>0</v>
      </c>
      <c r="N105" s="53" t="n">
        <v>1</v>
      </c>
      <c r="O105" s="53" t="n">
        <v>4</v>
      </c>
      <c r="P105" s="53" t="n">
        <v>120</v>
      </c>
      <c r="Q105" s="53" t="n">
        <v>5</v>
      </c>
      <c r="R105" s="53" t="n">
        <v>1400</v>
      </c>
      <c r="S105" s="53" t="n">
        <v>0</v>
      </c>
      <c r="T105" s="53" t="n">
        <v>5</v>
      </c>
      <c r="U105" s="53" t="n">
        <v>0</v>
      </c>
      <c r="V105" s="53" t="n">
        <v>0</v>
      </c>
      <c r="W105" s="53" t="n">
        <v>0</v>
      </c>
      <c r="X105" s="53" t="n">
        <v>6.94</v>
      </c>
    </row>
    <row r="106">
      <c r="A106" s="53" t="inlineStr">
        <is>
          <t>Ginkgo leave</t>
        </is>
      </c>
      <c r="B106" s="53" t="n">
        <v>44.9614795612291</v>
      </c>
      <c r="C106" s="53" t="n">
        <v>14.5156561431397</v>
      </c>
      <c r="D106" s="53" t="n">
        <v>35.2184623877525</v>
      </c>
      <c r="E106" s="53" t="n">
        <v>68.59999999999999</v>
      </c>
      <c r="F106" s="53" t="n">
        <v>7.8</v>
      </c>
      <c r="G106" s="53" t="n">
        <v>23.5</v>
      </c>
      <c r="H106" s="53" t="n">
        <v>45.8</v>
      </c>
      <c r="I106" s="53" t="n">
        <v>46.3</v>
      </c>
      <c r="J106" s="53" t="n">
        <v>5.9</v>
      </c>
      <c r="K106" s="53" t="n">
        <v>4</v>
      </c>
      <c r="L106" s="53" t="n">
        <v>1</v>
      </c>
      <c r="M106" s="53" t="n">
        <v>0</v>
      </c>
      <c r="N106" s="53" t="n">
        <v>1</v>
      </c>
      <c r="O106" s="53" t="n">
        <v>4</v>
      </c>
      <c r="P106" s="53" t="n">
        <v>120</v>
      </c>
      <c r="Q106" s="53" t="n">
        <v>5</v>
      </c>
      <c r="R106" s="53" t="n">
        <v>1500</v>
      </c>
      <c r="S106" s="53" t="n">
        <v>0</v>
      </c>
      <c r="T106" s="53" t="n">
        <v>5</v>
      </c>
      <c r="U106" s="53" t="n">
        <v>0</v>
      </c>
      <c r="V106" s="53" t="n">
        <v>0</v>
      </c>
      <c r="W106" s="53" t="n">
        <v>0</v>
      </c>
      <c r="X106" s="53" t="n">
        <v>7.32</v>
      </c>
    </row>
    <row r="107">
      <c r="A107" s="53" t="inlineStr">
        <is>
          <t>Ginkgo leave</t>
        </is>
      </c>
      <c r="B107" s="53" t="n">
        <v>44.9614795612291</v>
      </c>
      <c r="C107" s="53" t="n">
        <v>14.5156561431397</v>
      </c>
      <c r="D107" s="53" t="n">
        <v>35.2184623877525</v>
      </c>
      <c r="E107" s="53" t="n">
        <v>68.59999999999999</v>
      </c>
      <c r="F107" s="53" t="n">
        <v>7.8</v>
      </c>
      <c r="G107" s="53" t="n">
        <v>23.5</v>
      </c>
      <c r="H107" s="53" t="n">
        <v>45.8</v>
      </c>
      <c r="I107" s="53" t="n">
        <v>46.3</v>
      </c>
      <c r="J107" s="53" t="n">
        <v>5.9</v>
      </c>
      <c r="K107" s="53" t="n">
        <v>4</v>
      </c>
      <c r="L107" s="53" t="n">
        <v>1</v>
      </c>
      <c r="M107" s="53" t="n">
        <v>0</v>
      </c>
      <c r="N107" s="53" t="n">
        <v>1</v>
      </c>
      <c r="O107" s="53" t="n">
        <v>4</v>
      </c>
      <c r="P107" s="53" t="n">
        <v>120</v>
      </c>
      <c r="Q107" s="53" t="n">
        <v>5</v>
      </c>
      <c r="R107" s="53" t="n">
        <v>1700</v>
      </c>
      <c r="S107" s="53" t="n">
        <v>0</v>
      </c>
      <c r="T107" s="53" t="n">
        <v>5</v>
      </c>
      <c r="U107" s="53" t="n">
        <v>0</v>
      </c>
      <c r="V107" s="53" t="n">
        <v>0</v>
      </c>
      <c r="W107" s="53" t="n">
        <v>0</v>
      </c>
      <c r="X107" s="53" t="n">
        <v>8.390000000000001</v>
      </c>
    </row>
    <row r="108">
      <c r="A108" s="53" t="inlineStr">
        <is>
          <t>Ginkgo leave</t>
        </is>
      </c>
      <c r="B108" s="53" t="n">
        <v>44.9614795612291</v>
      </c>
      <c r="C108" s="53" t="n">
        <v>14.5156561431397</v>
      </c>
      <c r="D108" s="53" t="n">
        <v>35.2184623877525</v>
      </c>
      <c r="E108" s="53" t="n">
        <v>68.59999999999999</v>
      </c>
      <c r="F108" s="53" t="n">
        <v>7.8</v>
      </c>
      <c r="G108" s="53" t="n">
        <v>23.5</v>
      </c>
      <c r="H108" s="53" t="n">
        <v>45.8</v>
      </c>
      <c r="I108" s="53" t="n">
        <v>46.3</v>
      </c>
      <c r="J108" s="53" t="n">
        <v>5.9</v>
      </c>
      <c r="K108" s="53" t="n">
        <v>4</v>
      </c>
      <c r="L108" s="53" t="n">
        <v>1</v>
      </c>
      <c r="M108" s="53" t="n">
        <v>0</v>
      </c>
      <c r="N108" s="53" t="n">
        <v>1</v>
      </c>
      <c r="O108" s="53" t="n">
        <v>4</v>
      </c>
      <c r="P108" s="53" t="n">
        <v>120</v>
      </c>
      <c r="Q108" s="53" t="n">
        <v>5</v>
      </c>
      <c r="R108" s="53" t="n">
        <v>2000</v>
      </c>
      <c r="S108" s="53" t="n">
        <v>0</v>
      </c>
      <c r="T108" s="53" t="n">
        <v>5</v>
      </c>
      <c r="U108" s="53" t="n">
        <v>0</v>
      </c>
      <c r="V108" s="53" t="n">
        <v>0</v>
      </c>
      <c r="W108" s="53" t="n">
        <v>0</v>
      </c>
      <c r="X108" s="53" t="n">
        <v>12.67</v>
      </c>
    </row>
    <row r="109">
      <c r="A109" s="53" t="inlineStr">
        <is>
          <t>Ginkgo leave</t>
        </is>
      </c>
      <c r="B109" s="53" t="n">
        <v>44.9614795612291</v>
      </c>
      <c r="C109" s="53" t="n">
        <v>14.5156561431397</v>
      </c>
      <c r="D109" s="53" t="n">
        <v>35.2184623877525</v>
      </c>
      <c r="E109" s="53" t="n">
        <v>68.59999999999999</v>
      </c>
      <c r="F109" s="53" t="n">
        <v>7.8</v>
      </c>
      <c r="G109" s="53" t="n">
        <v>23.5</v>
      </c>
      <c r="H109" s="53" t="n">
        <v>45.8</v>
      </c>
      <c r="I109" s="53" t="n">
        <v>46.3</v>
      </c>
      <c r="J109" s="53" t="n">
        <v>5.9</v>
      </c>
      <c r="K109" s="53" t="n">
        <v>4</v>
      </c>
      <c r="L109" s="53" t="n">
        <v>1</v>
      </c>
      <c r="M109" s="53" t="n">
        <v>0</v>
      </c>
      <c r="N109" s="53" t="n">
        <v>1</v>
      </c>
      <c r="O109" s="53" t="n">
        <v>4</v>
      </c>
      <c r="P109" s="53" t="n">
        <v>120</v>
      </c>
      <c r="Q109" s="53" t="n">
        <v>5</v>
      </c>
      <c r="R109" s="53" t="n">
        <v>2500</v>
      </c>
      <c r="S109" s="53" t="n">
        <v>0</v>
      </c>
      <c r="T109" s="53" t="n">
        <v>5</v>
      </c>
      <c r="U109" s="53" t="n">
        <v>0</v>
      </c>
      <c r="V109" s="53" t="n">
        <v>0</v>
      </c>
      <c r="W109" s="53" t="n">
        <v>0</v>
      </c>
      <c r="X109" s="53" t="n">
        <v>16.89</v>
      </c>
    </row>
    <row r="110">
      <c r="A110" s="53" t="inlineStr">
        <is>
          <t>Hemi-cellulose</t>
        </is>
      </c>
      <c r="B110" s="53" t="n">
        <v>0</v>
      </c>
      <c r="C110" s="53" t="n">
        <v>100</v>
      </c>
      <c r="D110" s="53" t="n">
        <v>0</v>
      </c>
      <c r="E110" s="53" t="n">
        <v>74.0492947277552</v>
      </c>
      <c r="F110" s="53" t="n">
        <v>2.22332850801585</v>
      </c>
      <c r="G110" s="53" t="n">
        <v>20.5790151569092</v>
      </c>
      <c r="H110" s="53" t="n">
        <v>47.894393413243</v>
      </c>
      <c r="I110" s="53" t="n">
        <v>42.751319643441</v>
      </c>
      <c r="J110" s="53" t="n">
        <v>6.12333551441884</v>
      </c>
      <c r="K110" s="53" t="n">
        <v>4</v>
      </c>
      <c r="L110" s="53" t="n">
        <v>5</v>
      </c>
      <c r="M110" s="53" t="n">
        <v>0</v>
      </c>
      <c r="N110" s="53" t="n">
        <v>1</v>
      </c>
      <c r="O110" s="53" t="n">
        <v>4</v>
      </c>
      <c r="P110" s="53" t="n">
        <v>240</v>
      </c>
      <c r="Q110" s="53" t="n">
        <v>5</v>
      </c>
      <c r="R110" s="53" t="n">
        <v>600</v>
      </c>
      <c r="S110" s="53" t="n">
        <v>0</v>
      </c>
      <c r="T110" s="53" t="n">
        <v>5</v>
      </c>
      <c r="U110" s="53" t="n">
        <v>0</v>
      </c>
      <c r="V110" s="53" t="n">
        <v>0</v>
      </c>
      <c r="W110" s="53" t="n">
        <v>0</v>
      </c>
      <c r="X110" s="53" t="n">
        <v>3.45</v>
      </c>
    </row>
    <row r="111">
      <c r="A111" s="53" t="inlineStr">
        <is>
          <t>Hemi-cellulose</t>
        </is>
      </c>
      <c r="B111" s="53" t="n">
        <v>0</v>
      </c>
      <c r="C111" s="53" t="n">
        <v>100</v>
      </c>
      <c r="D111" s="53" t="n">
        <v>0</v>
      </c>
      <c r="E111" s="53" t="n">
        <v>74.0492947277552</v>
      </c>
      <c r="F111" s="53" t="n">
        <v>2.22332850801585</v>
      </c>
      <c r="G111" s="53" t="n">
        <v>20.5790151569092</v>
      </c>
      <c r="H111" s="53" t="n">
        <v>47.894393413243</v>
      </c>
      <c r="I111" s="53" t="n">
        <v>42.751319643441</v>
      </c>
      <c r="J111" s="53" t="n">
        <v>6.12333551441884</v>
      </c>
      <c r="K111" s="53" t="n">
        <v>4</v>
      </c>
      <c r="L111" s="53" t="n">
        <v>5</v>
      </c>
      <c r="M111" s="53" t="n">
        <v>0</v>
      </c>
      <c r="N111" s="53" t="n">
        <v>1</v>
      </c>
      <c r="O111" s="53" t="n">
        <v>4</v>
      </c>
      <c r="P111" s="53" t="n">
        <v>240</v>
      </c>
      <c r="Q111" s="53" t="n">
        <v>5</v>
      </c>
      <c r="R111" s="53" t="n">
        <v>800</v>
      </c>
      <c r="S111" s="53" t="n">
        <v>0</v>
      </c>
      <c r="T111" s="53" t="n">
        <v>5</v>
      </c>
      <c r="U111" s="53" t="n">
        <v>0</v>
      </c>
      <c r="V111" s="53" t="n">
        <v>0</v>
      </c>
      <c r="W111" s="53" t="n">
        <v>0</v>
      </c>
      <c r="X111" s="53" t="n">
        <v>4.46</v>
      </c>
    </row>
    <row r="112">
      <c r="A112" s="53" t="inlineStr">
        <is>
          <t>Hemi-cellulose</t>
        </is>
      </c>
      <c r="B112" s="53" t="n">
        <v>0</v>
      </c>
      <c r="C112" s="53" t="n">
        <v>100</v>
      </c>
      <c r="D112" s="53" t="n">
        <v>0</v>
      </c>
      <c r="E112" s="53" t="n">
        <v>74.0492947277552</v>
      </c>
      <c r="F112" s="53" t="n">
        <v>2.22332850801585</v>
      </c>
      <c r="G112" s="53" t="n">
        <v>20.5790151569092</v>
      </c>
      <c r="H112" s="53" t="n">
        <v>47.894393413243</v>
      </c>
      <c r="I112" s="53" t="n">
        <v>42.751319643441</v>
      </c>
      <c r="J112" s="53" t="n">
        <v>6.12333551441884</v>
      </c>
      <c r="K112" s="53" t="n">
        <v>4</v>
      </c>
      <c r="L112" s="53" t="n">
        <v>5</v>
      </c>
      <c r="M112" s="53" t="n">
        <v>0</v>
      </c>
      <c r="N112" s="53" t="n">
        <v>1</v>
      </c>
      <c r="O112" s="53" t="n">
        <v>4</v>
      </c>
      <c r="P112" s="53" t="n">
        <v>240</v>
      </c>
      <c r="Q112" s="53" t="n">
        <v>5</v>
      </c>
      <c r="R112" s="53" t="n">
        <v>1000</v>
      </c>
      <c r="S112" s="53" t="n">
        <v>0</v>
      </c>
      <c r="T112" s="53" t="n">
        <v>5</v>
      </c>
      <c r="U112" s="53" t="n">
        <v>0</v>
      </c>
      <c r="V112" s="53" t="n">
        <v>0</v>
      </c>
      <c r="W112" s="53" t="n">
        <v>0</v>
      </c>
      <c r="X112" s="53" t="n">
        <v>3.85</v>
      </c>
    </row>
    <row r="113">
      <c r="A113" s="53" t="inlineStr">
        <is>
          <t>Hemi-cellulose</t>
        </is>
      </c>
      <c r="B113" s="53" t="n">
        <v>0</v>
      </c>
      <c r="C113" s="53" t="n">
        <v>100</v>
      </c>
      <c r="D113" s="53" t="n">
        <v>0</v>
      </c>
      <c r="E113" s="53" t="n">
        <v>74.0492947277552</v>
      </c>
      <c r="F113" s="53" t="n">
        <v>2.22332850801585</v>
      </c>
      <c r="G113" s="53" t="n">
        <v>20.5790151569092</v>
      </c>
      <c r="H113" s="53" t="n">
        <v>47.894393413243</v>
      </c>
      <c r="I113" s="53" t="n">
        <v>42.751319643441</v>
      </c>
      <c r="J113" s="53" t="n">
        <v>6.12333551441884</v>
      </c>
      <c r="K113" s="53" t="n">
        <v>4</v>
      </c>
      <c r="L113" s="53" t="n">
        <v>5</v>
      </c>
      <c r="M113" s="53" t="n">
        <v>0</v>
      </c>
      <c r="N113" s="53" t="n">
        <v>1</v>
      </c>
      <c r="O113" s="53" t="n">
        <v>4</v>
      </c>
      <c r="P113" s="53" t="n">
        <v>240</v>
      </c>
      <c r="Q113" s="53" t="n">
        <v>5</v>
      </c>
      <c r="R113" s="53" t="n">
        <v>1200</v>
      </c>
      <c r="S113" s="53" t="n">
        <v>0</v>
      </c>
      <c r="T113" s="53" t="n">
        <v>5</v>
      </c>
      <c r="U113" s="53" t="n">
        <v>0</v>
      </c>
      <c r="V113" s="53" t="n">
        <v>0</v>
      </c>
      <c r="W113" s="53" t="n">
        <v>0</v>
      </c>
      <c r="X113" s="53" t="n">
        <v>4.15</v>
      </c>
    </row>
    <row r="114">
      <c r="A114" s="53" t="inlineStr">
        <is>
          <t>Hemi-cellulose</t>
        </is>
      </c>
      <c r="B114" s="53" t="n">
        <v>0</v>
      </c>
      <c r="C114" s="53" t="n">
        <v>100</v>
      </c>
      <c r="D114" s="53" t="n">
        <v>0</v>
      </c>
      <c r="E114" s="53" t="n">
        <v>74.0492947277552</v>
      </c>
      <c r="F114" s="53" t="n">
        <v>2.22332850801585</v>
      </c>
      <c r="G114" s="53" t="n">
        <v>20.5790151569092</v>
      </c>
      <c r="H114" s="53" t="n">
        <v>47.894393413243</v>
      </c>
      <c r="I114" s="53" t="n">
        <v>42.751319643441</v>
      </c>
      <c r="J114" s="53" t="n">
        <v>6.12333551441884</v>
      </c>
      <c r="K114" s="53" t="n">
        <v>4</v>
      </c>
      <c r="L114" s="53" t="n">
        <v>5</v>
      </c>
      <c r="M114" s="53" t="n">
        <v>0</v>
      </c>
      <c r="N114" s="53" t="n">
        <v>1</v>
      </c>
      <c r="O114" s="53" t="n">
        <v>4</v>
      </c>
      <c r="P114" s="53" t="n">
        <v>240</v>
      </c>
      <c r="Q114" s="53" t="n">
        <v>5</v>
      </c>
      <c r="R114" s="53" t="n">
        <v>1400</v>
      </c>
      <c r="S114" s="53" t="n">
        <v>0</v>
      </c>
      <c r="T114" s="53" t="n">
        <v>5</v>
      </c>
      <c r="U114" s="53" t="n">
        <v>0</v>
      </c>
      <c r="V114" s="53" t="n">
        <v>0</v>
      </c>
      <c r="W114" s="53" t="n">
        <v>0</v>
      </c>
      <c r="X114" s="53" t="n">
        <v>3.97</v>
      </c>
    </row>
    <row r="115">
      <c r="A115" s="53" t="inlineStr">
        <is>
          <t>Hemp hurd</t>
        </is>
      </c>
      <c r="B115" s="53" t="n">
        <v>32</v>
      </c>
      <c r="C115" s="53" t="n">
        <v>38.1</v>
      </c>
      <c r="D115" s="53" t="n">
        <v>23.8</v>
      </c>
      <c r="E115" s="53" t="n">
        <v>81.3</v>
      </c>
      <c r="F115" s="53" t="n">
        <v>3</v>
      </c>
      <c r="G115" s="53" t="n">
        <v>15.7</v>
      </c>
      <c r="H115" s="53" t="n">
        <v>46.3</v>
      </c>
      <c r="I115" s="53" t="n">
        <v>44.5</v>
      </c>
      <c r="J115" s="53" t="n">
        <v>5.7</v>
      </c>
      <c r="K115" s="53" t="n">
        <v>4</v>
      </c>
      <c r="L115" s="53" t="n">
        <v>1</v>
      </c>
      <c r="M115" s="53" t="n">
        <v>1</v>
      </c>
      <c r="N115" s="53" t="n">
        <v>1</v>
      </c>
      <c r="O115" s="53" t="n">
        <v>4</v>
      </c>
      <c r="P115" s="53" t="n">
        <v>720</v>
      </c>
      <c r="Q115" s="53" t="n">
        <v>5</v>
      </c>
      <c r="R115" s="53" t="n">
        <v>500</v>
      </c>
      <c r="S115" s="53" t="n">
        <v>1</v>
      </c>
      <c r="T115" s="53" t="n">
        <v>1</v>
      </c>
      <c r="U115" s="53" t="n">
        <v>60</v>
      </c>
      <c r="V115" s="53" t="n">
        <v>1</v>
      </c>
      <c r="W115" s="53" t="n">
        <v>700</v>
      </c>
      <c r="X115" s="53" t="n">
        <v>1.544</v>
      </c>
    </row>
    <row r="116">
      <c r="A116" s="53" t="inlineStr">
        <is>
          <t>Hemp hurd</t>
        </is>
      </c>
      <c r="B116" s="53" t="n">
        <v>32</v>
      </c>
      <c r="C116" s="53" t="n">
        <v>38.1</v>
      </c>
      <c r="D116" s="53" t="n">
        <v>23.8</v>
      </c>
      <c r="E116" s="53" t="n">
        <v>81.3</v>
      </c>
      <c r="F116" s="53" t="n">
        <v>3</v>
      </c>
      <c r="G116" s="53" t="n">
        <v>15.7</v>
      </c>
      <c r="H116" s="53" t="n">
        <v>46.3</v>
      </c>
      <c r="I116" s="53" t="n">
        <v>44.5</v>
      </c>
      <c r="J116" s="53" t="n">
        <v>5.7</v>
      </c>
      <c r="K116" s="53" t="n">
        <v>4</v>
      </c>
      <c r="L116" s="53" t="n">
        <v>1</v>
      </c>
      <c r="M116" s="53" t="n">
        <v>1</v>
      </c>
      <c r="N116" s="53" t="n">
        <v>1</v>
      </c>
      <c r="O116" s="53" t="n">
        <v>4</v>
      </c>
      <c r="P116" s="53" t="n">
        <v>720</v>
      </c>
      <c r="Q116" s="53" t="n">
        <v>5</v>
      </c>
      <c r="R116" s="53" t="n">
        <v>500</v>
      </c>
      <c r="S116" s="53" t="n">
        <v>1</v>
      </c>
      <c r="T116" s="53" t="n">
        <v>1</v>
      </c>
      <c r="U116" s="53" t="n">
        <v>60</v>
      </c>
      <c r="V116" s="53" t="n">
        <v>1</v>
      </c>
      <c r="W116" s="53" t="n">
        <v>700</v>
      </c>
      <c r="X116" s="53" t="n">
        <v>1.889</v>
      </c>
    </row>
    <row r="117">
      <c r="A117" s="53" t="inlineStr">
        <is>
          <t>Hemp hurd</t>
        </is>
      </c>
      <c r="B117" s="53" t="n">
        <v>32</v>
      </c>
      <c r="C117" s="53" t="n">
        <v>38.1</v>
      </c>
      <c r="D117" s="53" t="n">
        <v>23.8</v>
      </c>
      <c r="E117" s="53" t="n">
        <v>81.3</v>
      </c>
      <c r="F117" s="53" t="n">
        <v>3</v>
      </c>
      <c r="G117" s="53" t="n">
        <v>15.7</v>
      </c>
      <c r="H117" s="53" t="n">
        <v>46.3</v>
      </c>
      <c r="I117" s="53" t="n">
        <v>44.5</v>
      </c>
      <c r="J117" s="53" t="n">
        <v>5.7</v>
      </c>
      <c r="K117" s="53" t="n">
        <v>4</v>
      </c>
      <c r="L117" s="53" t="n">
        <v>1</v>
      </c>
      <c r="M117" s="53" t="n">
        <v>1</v>
      </c>
      <c r="N117" s="53" t="n">
        <v>1</v>
      </c>
      <c r="O117" s="53" t="n">
        <v>4</v>
      </c>
      <c r="P117" s="53" t="n">
        <v>720</v>
      </c>
      <c r="Q117" s="53" t="n">
        <v>5</v>
      </c>
      <c r="R117" s="53" t="n">
        <v>500</v>
      </c>
      <c r="S117" s="53" t="n">
        <v>1</v>
      </c>
      <c r="T117" s="53" t="n">
        <v>1</v>
      </c>
      <c r="U117" s="53" t="n">
        <v>60</v>
      </c>
      <c r="V117" s="53" t="n">
        <v>1</v>
      </c>
      <c r="W117" s="53" t="n">
        <v>700</v>
      </c>
      <c r="X117" s="53" t="n">
        <v>2.347</v>
      </c>
    </row>
    <row r="118">
      <c r="A118" s="53" t="inlineStr">
        <is>
          <t>Hemp hurd</t>
        </is>
      </c>
      <c r="B118" s="53" t="n">
        <v>32</v>
      </c>
      <c r="C118" s="53" t="n">
        <v>38.1</v>
      </c>
      <c r="D118" s="53" t="n">
        <v>23.8</v>
      </c>
      <c r="E118" s="53" t="n">
        <v>81.3</v>
      </c>
      <c r="F118" s="53" t="n">
        <v>3</v>
      </c>
      <c r="G118" s="53" t="n">
        <v>15.7</v>
      </c>
      <c r="H118" s="53" t="n">
        <v>46.3</v>
      </c>
      <c r="I118" s="53" t="n">
        <v>44.5</v>
      </c>
      <c r="J118" s="53" t="n">
        <v>5.7</v>
      </c>
      <c r="K118" s="53" t="n">
        <v>4</v>
      </c>
      <c r="L118" s="53" t="n">
        <v>1</v>
      </c>
      <c r="M118" s="53" t="n">
        <v>1</v>
      </c>
      <c r="N118" s="53" t="n">
        <v>1</v>
      </c>
      <c r="O118" s="53" t="n">
        <v>4</v>
      </c>
      <c r="P118" s="53" t="n">
        <v>720</v>
      </c>
      <c r="Q118" s="53" t="n">
        <v>5</v>
      </c>
      <c r="R118" s="53" t="n">
        <v>500</v>
      </c>
      <c r="S118" s="53" t="n">
        <v>1</v>
      </c>
      <c r="T118" s="53" t="n">
        <v>1</v>
      </c>
      <c r="U118" s="53" t="n">
        <v>60</v>
      </c>
      <c r="V118" s="53" t="n">
        <v>1</v>
      </c>
      <c r="W118" s="53" t="n">
        <v>800</v>
      </c>
      <c r="X118" s="53" t="n">
        <v>2.497</v>
      </c>
    </row>
    <row r="119">
      <c r="A119" s="53" t="inlineStr">
        <is>
          <t>Hemp hurd</t>
        </is>
      </c>
      <c r="B119" s="53" t="n">
        <v>32</v>
      </c>
      <c r="C119" s="53" t="n">
        <v>38.1</v>
      </c>
      <c r="D119" s="53" t="n">
        <v>23.8</v>
      </c>
      <c r="E119" s="53" t="n">
        <v>81.3</v>
      </c>
      <c r="F119" s="53" t="n">
        <v>3</v>
      </c>
      <c r="G119" s="53" t="n">
        <v>15.7</v>
      </c>
      <c r="H119" s="53" t="n">
        <v>46.3</v>
      </c>
      <c r="I119" s="53" t="n">
        <v>44.5</v>
      </c>
      <c r="J119" s="53" t="n">
        <v>5.7</v>
      </c>
      <c r="K119" s="53" t="n">
        <v>4</v>
      </c>
      <c r="L119" s="53" t="n">
        <v>1</v>
      </c>
      <c r="M119" s="53" t="n">
        <v>1</v>
      </c>
      <c r="N119" s="53" t="n">
        <v>1</v>
      </c>
      <c r="O119" s="53" t="n">
        <v>4</v>
      </c>
      <c r="P119" s="53" t="n">
        <v>720</v>
      </c>
      <c r="Q119" s="53" t="n">
        <v>5</v>
      </c>
      <c r="R119" s="53" t="n">
        <v>500</v>
      </c>
      <c r="S119" s="53" t="n">
        <v>1</v>
      </c>
      <c r="T119" s="53" t="n">
        <v>1</v>
      </c>
      <c r="U119" s="53" t="n">
        <v>60</v>
      </c>
      <c r="V119" s="53" t="n">
        <v>1</v>
      </c>
      <c r="W119" s="53" t="n">
        <v>800</v>
      </c>
      <c r="X119" s="53" t="n">
        <v>2.319</v>
      </c>
    </row>
    <row r="120">
      <c r="A120" s="53" t="inlineStr">
        <is>
          <t>Hemp hurd</t>
        </is>
      </c>
      <c r="B120" s="53" t="n">
        <v>32</v>
      </c>
      <c r="C120" s="53" t="n">
        <v>38.1</v>
      </c>
      <c r="D120" s="53" t="n">
        <v>23.8</v>
      </c>
      <c r="E120" s="53" t="n">
        <v>81.3</v>
      </c>
      <c r="F120" s="53" t="n">
        <v>3</v>
      </c>
      <c r="G120" s="53" t="n">
        <v>15.7</v>
      </c>
      <c r="H120" s="53" t="n">
        <v>46.3</v>
      </c>
      <c r="I120" s="53" t="n">
        <v>44.5</v>
      </c>
      <c r="J120" s="53" t="n">
        <v>5.7</v>
      </c>
      <c r="K120" s="53" t="n">
        <v>4</v>
      </c>
      <c r="L120" s="53" t="n">
        <v>1</v>
      </c>
      <c r="M120" s="53" t="n">
        <v>1</v>
      </c>
      <c r="N120" s="53" t="n">
        <v>1</v>
      </c>
      <c r="O120" s="53" t="n">
        <v>4</v>
      </c>
      <c r="P120" s="53" t="n">
        <v>720</v>
      </c>
      <c r="Q120" s="53" t="n">
        <v>5</v>
      </c>
      <c r="R120" s="53" t="n">
        <v>500</v>
      </c>
      <c r="S120" s="53" t="n">
        <v>1</v>
      </c>
      <c r="T120" s="53" t="n">
        <v>1</v>
      </c>
      <c r="U120" s="53" t="n">
        <v>60</v>
      </c>
      <c r="V120" s="53" t="n">
        <v>1</v>
      </c>
      <c r="W120" s="53" t="n">
        <v>800</v>
      </c>
      <c r="X120" s="53" t="n">
        <v>1.598</v>
      </c>
    </row>
    <row r="121">
      <c r="A121" s="53" t="inlineStr">
        <is>
          <t>Hemp hurd</t>
        </is>
      </c>
      <c r="B121" s="53" t="n">
        <v>32</v>
      </c>
      <c r="C121" s="53" t="n">
        <v>38.1</v>
      </c>
      <c r="D121" s="53" t="n">
        <v>23.8</v>
      </c>
      <c r="E121" s="53" t="n">
        <v>81.3</v>
      </c>
      <c r="F121" s="53" t="n">
        <v>3</v>
      </c>
      <c r="G121" s="53" t="n">
        <v>15.7</v>
      </c>
      <c r="H121" s="53" t="n">
        <v>46.3</v>
      </c>
      <c r="I121" s="53" t="n">
        <v>44.5</v>
      </c>
      <c r="J121" s="53" t="n">
        <v>5.7</v>
      </c>
      <c r="K121" s="53" t="n">
        <v>4</v>
      </c>
      <c r="L121" s="53" t="n">
        <v>1</v>
      </c>
      <c r="M121" s="53" t="n">
        <v>1</v>
      </c>
      <c r="N121" s="53" t="n">
        <v>1</v>
      </c>
      <c r="O121" s="53" t="n">
        <v>4</v>
      </c>
      <c r="P121" s="53" t="n">
        <v>720</v>
      </c>
      <c r="Q121" s="53" t="n">
        <v>5</v>
      </c>
      <c r="R121" s="53" t="n">
        <v>500</v>
      </c>
      <c r="S121" s="53" t="n">
        <v>1</v>
      </c>
      <c r="T121" s="53" t="n">
        <v>5</v>
      </c>
      <c r="U121" s="53" t="n">
        <v>120</v>
      </c>
      <c r="V121" s="53" t="n">
        <v>5</v>
      </c>
      <c r="W121" s="53" t="n">
        <v>800</v>
      </c>
      <c r="X121" s="53" t="n">
        <v>3.709</v>
      </c>
    </row>
    <row r="122">
      <c r="A122" s="53" t="inlineStr">
        <is>
          <t>Hemp hurd</t>
        </is>
      </c>
      <c r="B122" s="53" t="n">
        <v>32</v>
      </c>
      <c r="C122" s="53" t="n">
        <v>38.1</v>
      </c>
      <c r="D122" s="53" t="n">
        <v>23.8</v>
      </c>
      <c r="E122" s="53" t="n">
        <v>81.3</v>
      </c>
      <c r="F122" s="53" t="n">
        <v>3</v>
      </c>
      <c r="G122" s="53" t="n">
        <v>15.7</v>
      </c>
      <c r="H122" s="53" t="n">
        <v>46.3</v>
      </c>
      <c r="I122" s="53" t="n">
        <v>44.5</v>
      </c>
      <c r="J122" s="53" t="n">
        <v>5.7</v>
      </c>
      <c r="K122" s="53" t="n">
        <v>4</v>
      </c>
      <c r="L122" s="53" t="n">
        <v>1</v>
      </c>
      <c r="M122" s="53" t="n">
        <v>1</v>
      </c>
      <c r="N122" s="53" t="n">
        <v>0</v>
      </c>
      <c r="O122" s="53" t="n">
        <v>0</v>
      </c>
      <c r="P122" s="53" t="n">
        <v>720</v>
      </c>
      <c r="Q122" s="53" t="n">
        <v>5</v>
      </c>
      <c r="R122" s="53" t="n">
        <v>180</v>
      </c>
      <c r="S122" s="53" t="n">
        <v>1</v>
      </c>
      <c r="T122" s="53" t="n">
        <v>5</v>
      </c>
      <c r="U122" s="53" t="n">
        <v>120</v>
      </c>
      <c r="V122" s="53" t="n">
        <v>5</v>
      </c>
      <c r="W122" s="53" t="n">
        <v>800</v>
      </c>
      <c r="X122" s="53" t="n">
        <v>3.508</v>
      </c>
    </row>
    <row r="123">
      <c r="A123" s="53" t="inlineStr">
        <is>
          <t>Hemp hurd</t>
        </is>
      </c>
      <c r="B123" s="53" t="n">
        <v>32</v>
      </c>
      <c r="C123" s="53" t="n">
        <v>38.1</v>
      </c>
      <c r="D123" s="53" t="n">
        <v>23.8</v>
      </c>
      <c r="E123" s="53" t="n">
        <v>81.3</v>
      </c>
      <c r="F123" s="53" t="n">
        <v>3</v>
      </c>
      <c r="G123" s="53" t="n">
        <v>15.7</v>
      </c>
      <c r="H123" s="53" t="n">
        <v>46.3</v>
      </c>
      <c r="I123" s="53" t="n">
        <v>44.5</v>
      </c>
      <c r="J123" s="53" t="n">
        <v>5.7</v>
      </c>
      <c r="K123" s="53" t="n">
        <v>4</v>
      </c>
      <c r="L123" s="53" t="n">
        <v>1</v>
      </c>
      <c r="M123" s="53" t="n">
        <v>1</v>
      </c>
      <c r="N123" s="53" t="n">
        <v>0</v>
      </c>
      <c r="O123" s="53" t="n">
        <v>0</v>
      </c>
      <c r="P123" s="53" t="n">
        <v>720</v>
      </c>
      <c r="Q123" s="53" t="n">
        <v>5</v>
      </c>
      <c r="R123" s="53" t="n">
        <v>180</v>
      </c>
      <c r="S123" s="53" t="n">
        <v>1</v>
      </c>
      <c r="T123" s="53" t="n">
        <v>5</v>
      </c>
      <c r="U123" s="53" t="n">
        <v>120</v>
      </c>
      <c r="V123" s="53" t="n">
        <v>5</v>
      </c>
      <c r="W123" s="53" t="n">
        <v>800</v>
      </c>
      <c r="X123" s="53" t="n">
        <v>3.3</v>
      </c>
    </row>
    <row r="124">
      <c r="A124" s="53" t="inlineStr">
        <is>
          <t>Hemp hurd</t>
        </is>
      </c>
      <c r="B124" s="53" t="n">
        <v>32</v>
      </c>
      <c r="C124" s="53" t="n">
        <v>38.1</v>
      </c>
      <c r="D124" s="53" t="n">
        <v>23.8</v>
      </c>
      <c r="E124" s="53" t="n">
        <v>81.3</v>
      </c>
      <c r="F124" s="53" t="n">
        <v>3</v>
      </c>
      <c r="G124" s="53" t="n">
        <v>15.7</v>
      </c>
      <c r="H124" s="53" t="n">
        <v>46.3</v>
      </c>
      <c r="I124" s="53" t="n">
        <v>44.5</v>
      </c>
      <c r="J124" s="53" t="n">
        <v>5.7</v>
      </c>
      <c r="K124" s="53" t="n">
        <v>4</v>
      </c>
      <c r="L124" s="53" t="n">
        <v>1</v>
      </c>
      <c r="M124" s="53" t="n">
        <v>1</v>
      </c>
      <c r="N124" s="53" t="n">
        <v>1</v>
      </c>
      <c r="O124" s="53" t="n">
        <v>4</v>
      </c>
      <c r="P124" s="53" t="n">
        <v>720</v>
      </c>
      <c r="Q124" s="53" t="n">
        <v>5</v>
      </c>
      <c r="R124" s="53" t="n">
        <v>500</v>
      </c>
      <c r="S124" s="53" t="n">
        <v>1</v>
      </c>
      <c r="T124" s="53" t="n">
        <v>5</v>
      </c>
      <c r="U124" s="53" t="n">
        <v>120</v>
      </c>
      <c r="V124" s="53" t="n">
        <v>5</v>
      </c>
      <c r="W124" s="53" t="n">
        <v>1000</v>
      </c>
      <c r="X124" s="53" t="n">
        <v>4.009</v>
      </c>
    </row>
    <row r="125">
      <c r="A125" s="53" t="inlineStr">
        <is>
          <t>Hemp hurd</t>
        </is>
      </c>
      <c r="B125" s="53" t="n">
        <v>32</v>
      </c>
      <c r="C125" s="53" t="n">
        <v>38.1</v>
      </c>
      <c r="D125" s="53" t="n">
        <v>23.8</v>
      </c>
      <c r="E125" s="53" t="n">
        <v>81.3</v>
      </c>
      <c r="F125" s="53" t="n">
        <v>3</v>
      </c>
      <c r="G125" s="53" t="n">
        <v>15.7</v>
      </c>
      <c r="H125" s="53" t="n">
        <v>46.3</v>
      </c>
      <c r="I125" s="53" t="n">
        <v>44.5</v>
      </c>
      <c r="J125" s="53" t="n">
        <v>5.7</v>
      </c>
      <c r="K125" s="53" t="n">
        <v>4</v>
      </c>
      <c r="L125" s="53" t="n">
        <v>1</v>
      </c>
      <c r="M125" s="53" t="n">
        <v>1</v>
      </c>
      <c r="N125" s="53" t="n">
        <v>0</v>
      </c>
      <c r="O125" s="53" t="n">
        <v>0</v>
      </c>
      <c r="P125" s="53" t="n">
        <v>720</v>
      </c>
      <c r="Q125" s="53" t="n">
        <v>5</v>
      </c>
      <c r="R125" s="53" t="n">
        <v>180</v>
      </c>
      <c r="S125" s="53" t="n">
        <v>1</v>
      </c>
      <c r="T125" s="53" t="n">
        <v>5</v>
      </c>
      <c r="U125" s="53" t="n">
        <v>120</v>
      </c>
      <c r="V125" s="53" t="n">
        <v>5</v>
      </c>
      <c r="W125" s="53" t="n">
        <v>1000</v>
      </c>
      <c r="X125" s="53" t="n">
        <v>4.243</v>
      </c>
    </row>
    <row r="126">
      <c r="A126" s="53" t="inlineStr">
        <is>
          <t>Hemp hurd</t>
        </is>
      </c>
      <c r="B126" s="53" t="n">
        <v>32</v>
      </c>
      <c r="C126" s="53" t="n">
        <v>38.1</v>
      </c>
      <c r="D126" s="53" t="n">
        <v>23.8</v>
      </c>
      <c r="E126" s="53" t="n">
        <v>81.3</v>
      </c>
      <c r="F126" s="53" t="n">
        <v>3</v>
      </c>
      <c r="G126" s="53" t="n">
        <v>15.7</v>
      </c>
      <c r="H126" s="53" t="n">
        <v>46.3</v>
      </c>
      <c r="I126" s="53" t="n">
        <v>44.5</v>
      </c>
      <c r="J126" s="53" t="n">
        <v>5.7</v>
      </c>
      <c r="K126" s="53" t="n">
        <v>4</v>
      </c>
      <c r="L126" s="53" t="n">
        <v>1</v>
      </c>
      <c r="M126" s="53" t="n">
        <v>1</v>
      </c>
      <c r="N126" s="53" t="n">
        <v>0</v>
      </c>
      <c r="O126" s="53" t="n">
        <v>0</v>
      </c>
      <c r="P126" s="53" t="n">
        <v>720</v>
      </c>
      <c r="Q126" s="53" t="n">
        <v>5</v>
      </c>
      <c r="R126" s="53" t="n">
        <v>180</v>
      </c>
      <c r="S126" s="53" t="n">
        <v>1</v>
      </c>
      <c r="T126" s="53" t="n">
        <v>5</v>
      </c>
      <c r="U126" s="53" t="n">
        <v>120</v>
      </c>
      <c r="V126" s="53" t="n">
        <v>5</v>
      </c>
      <c r="W126" s="53" t="n">
        <v>1000</v>
      </c>
      <c r="X126" s="53" t="n">
        <v>3.451</v>
      </c>
    </row>
    <row r="127">
      <c r="A127" s="53" t="inlineStr">
        <is>
          <t>Hemp hurd</t>
        </is>
      </c>
      <c r="B127" s="53" t="n">
        <v>32</v>
      </c>
      <c r="C127" s="53" t="n">
        <v>38.1</v>
      </c>
      <c r="D127" s="53" t="n">
        <v>23.8</v>
      </c>
      <c r="E127" s="53" t="n">
        <v>81.3</v>
      </c>
      <c r="F127" s="53" t="n">
        <v>3</v>
      </c>
      <c r="G127" s="53" t="n">
        <v>15.7</v>
      </c>
      <c r="H127" s="53" t="n">
        <v>46.3</v>
      </c>
      <c r="I127" s="53" t="n">
        <v>44.5</v>
      </c>
      <c r="J127" s="53" t="n">
        <v>5.7</v>
      </c>
      <c r="K127" s="53" t="n">
        <v>4</v>
      </c>
      <c r="L127" s="53" t="n">
        <v>1</v>
      </c>
      <c r="M127" s="53" t="n">
        <v>1</v>
      </c>
      <c r="N127" s="53" t="n">
        <v>1</v>
      </c>
      <c r="O127" s="53" t="n">
        <v>4</v>
      </c>
      <c r="P127" s="53" t="n">
        <v>720</v>
      </c>
      <c r="Q127" s="53" t="n">
        <v>5</v>
      </c>
      <c r="R127" s="53" t="n">
        <v>500</v>
      </c>
      <c r="S127" s="53" t="n">
        <v>1</v>
      </c>
      <c r="T127" s="53" t="n">
        <v>5</v>
      </c>
      <c r="U127" s="53" t="n">
        <v>120</v>
      </c>
      <c r="V127" s="53" t="n">
        <v>5</v>
      </c>
      <c r="W127" s="53" t="n">
        <v>1200</v>
      </c>
      <c r="X127" s="53" t="n">
        <v>4.637</v>
      </c>
    </row>
    <row r="128">
      <c r="A128" s="53" t="inlineStr">
        <is>
          <t>Hemp hurd</t>
        </is>
      </c>
      <c r="B128" s="53" t="n">
        <v>32</v>
      </c>
      <c r="C128" s="53" t="n">
        <v>38.1</v>
      </c>
      <c r="D128" s="53" t="n">
        <v>23.8</v>
      </c>
      <c r="E128" s="53" t="n">
        <v>81.3</v>
      </c>
      <c r="F128" s="53" t="n">
        <v>3</v>
      </c>
      <c r="G128" s="53" t="n">
        <v>15.7</v>
      </c>
      <c r="H128" s="53" t="n">
        <v>46.3</v>
      </c>
      <c r="I128" s="53" t="n">
        <v>44.5</v>
      </c>
      <c r="J128" s="53" t="n">
        <v>5.7</v>
      </c>
      <c r="K128" s="53" t="n">
        <v>4</v>
      </c>
      <c r="L128" s="53" t="n">
        <v>1</v>
      </c>
      <c r="M128" s="53" t="n">
        <v>1</v>
      </c>
      <c r="N128" s="53" t="n">
        <v>0</v>
      </c>
      <c r="O128" s="53" t="n">
        <v>0</v>
      </c>
      <c r="P128" s="53" t="n">
        <v>720</v>
      </c>
      <c r="Q128" s="53" t="n">
        <v>5</v>
      </c>
      <c r="R128" s="53" t="n">
        <v>180</v>
      </c>
      <c r="S128" s="53" t="n">
        <v>1</v>
      </c>
      <c r="T128" s="53" t="n">
        <v>5</v>
      </c>
      <c r="U128" s="53" t="n">
        <v>120</v>
      </c>
      <c r="V128" s="53" t="n">
        <v>5</v>
      </c>
      <c r="W128" s="53" t="n">
        <v>1200</v>
      </c>
      <c r="X128" s="53" t="n">
        <v>5.346</v>
      </c>
    </row>
    <row r="129">
      <c r="A129" s="53" t="inlineStr">
        <is>
          <t>Hemp hurd</t>
        </is>
      </c>
      <c r="B129" s="53" t="n">
        <v>32</v>
      </c>
      <c r="C129" s="53" t="n">
        <v>38.1</v>
      </c>
      <c r="D129" s="53" t="n">
        <v>23.8</v>
      </c>
      <c r="E129" s="53" t="n">
        <v>81.3</v>
      </c>
      <c r="F129" s="53" t="n">
        <v>3</v>
      </c>
      <c r="G129" s="53" t="n">
        <v>15.7</v>
      </c>
      <c r="H129" s="53" t="n">
        <v>46.3</v>
      </c>
      <c r="I129" s="53" t="n">
        <v>44.5</v>
      </c>
      <c r="J129" s="53" t="n">
        <v>5.7</v>
      </c>
      <c r="K129" s="53" t="n">
        <v>4</v>
      </c>
      <c r="L129" s="53" t="n">
        <v>1</v>
      </c>
      <c r="M129" s="53" t="n">
        <v>1</v>
      </c>
      <c r="N129" s="53" t="n">
        <v>0</v>
      </c>
      <c r="O129" s="53" t="n">
        <v>0</v>
      </c>
      <c r="P129" s="53" t="n">
        <v>720</v>
      </c>
      <c r="Q129" s="53" t="n">
        <v>5</v>
      </c>
      <c r="R129" s="53" t="n">
        <v>180</v>
      </c>
      <c r="S129" s="53" t="n">
        <v>1</v>
      </c>
      <c r="T129" s="53" t="n">
        <v>5</v>
      </c>
      <c r="U129" s="53" t="n">
        <v>120</v>
      </c>
      <c r="V129" s="53" t="n">
        <v>5</v>
      </c>
      <c r="W129" s="53" t="n">
        <v>1200</v>
      </c>
      <c r="X129" s="53" t="n">
        <v>3.333</v>
      </c>
    </row>
    <row r="130">
      <c r="A130" s="53" t="inlineStr">
        <is>
          <t>Kapok fiber</t>
        </is>
      </c>
      <c r="B130" s="53" t="n">
        <v>53.4</v>
      </c>
      <c r="C130" s="53" t="n">
        <v>29.63</v>
      </c>
      <c r="D130" s="53" t="n">
        <v>20.73</v>
      </c>
      <c r="E130" s="53" t="n">
        <v>83.39074162080711</v>
      </c>
      <c r="F130" s="53" t="n">
        <v>2.64334877558757</v>
      </c>
      <c r="G130" s="53" t="n">
        <v>13.3531519553555</v>
      </c>
      <c r="H130" s="53" t="n">
        <v>46.9836807397435</v>
      </c>
      <c r="I130" s="53" t="n">
        <v>43.0919936922057</v>
      </c>
      <c r="J130" s="53" t="n">
        <v>6.11949784761262</v>
      </c>
      <c r="K130" s="53" t="n">
        <v>4</v>
      </c>
      <c r="L130" s="53" t="n">
        <v>5</v>
      </c>
      <c r="M130" s="53" t="n">
        <v>0</v>
      </c>
      <c r="N130" s="53" t="n">
        <v>1</v>
      </c>
      <c r="O130" s="53" t="n">
        <v>4</v>
      </c>
      <c r="P130" s="53" t="n">
        <v>139.166315398153</v>
      </c>
      <c r="Q130" s="53" t="n">
        <v>5</v>
      </c>
      <c r="R130" s="53" t="n">
        <v>1200</v>
      </c>
      <c r="S130" s="53" t="n">
        <v>0</v>
      </c>
      <c r="T130" s="53" t="n">
        <v>5</v>
      </c>
      <c r="U130" s="53" t="n">
        <v>0</v>
      </c>
      <c r="V130" s="53" t="n">
        <v>0</v>
      </c>
      <c r="W130" s="53" t="n">
        <v>0</v>
      </c>
      <c r="X130" s="53" t="n">
        <v>23.56</v>
      </c>
    </row>
    <row r="131">
      <c r="A131" s="53" t="inlineStr">
        <is>
          <t>Kapok fiber</t>
        </is>
      </c>
      <c r="B131" s="53" t="n">
        <v>53.4</v>
      </c>
      <c r="C131" s="53" t="n">
        <v>29.63</v>
      </c>
      <c r="D131" s="53" t="n">
        <v>20.73</v>
      </c>
      <c r="E131" s="53" t="n">
        <v>83.39074162080711</v>
      </c>
      <c r="F131" s="53" t="n">
        <v>2.64334877558757</v>
      </c>
      <c r="G131" s="53" t="n">
        <v>13.3531519553555</v>
      </c>
      <c r="H131" s="53" t="n">
        <v>46.9836807397435</v>
      </c>
      <c r="I131" s="53" t="n">
        <v>43.0919936922057</v>
      </c>
      <c r="J131" s="53" t="n">
        <v>6.11949784761262</v>
      </c>
      <c r="K131" s="53" t="n">
        <v>4</v>
      </c>
      <c r="L131" s="53" t="n">
        <v>5</v>
      </c>
      <c r="M131" s="53" t="n">
        <v>0</v>
      </c>
      <c r="N131" s="53" t="n">
        <v>1</v>
      </c>
      <c r="O131" s="53" t="n">
        <v>4</v>
      </c>
      <c r="P131" s="53" t="n">
        <v>97.76292515657209</v>
      </c>
      <c r="Q131" s="53" t="n">
        <v>5</v>
      </c>
      <c r="R131" s="53" t="n">
        <v>1400</v>
      </c>
      <c r="S131" s="53" t="n">
        <v>0</v>
      </c>
      <c r="T131" s="53" t="n">
        <v>5</v>
      </c>
      <c r="U131" s="53" t="n">
        <v>0</v>
      </c>
      <c r="V131" s="53" t="n">
        <v>0</v>
      </c>
      <c r="W131" s="53" t="n">
        <v>0</v>
      </c>
      <c r="X131" s="53" t="n">
        <v>22.49</v>
      </c>
    </row>
    <row r="132">
      <c r="A132" s="53" t="inlineStr">
        <is>
          <t>Lignin</t>
        </is>
      </c>
      <c r="B132" s="53" t="n">
        <v>0</v>
      </c>
      <c r="C132" s="53" t="n">
        <v>0</v>
      </c>
      <c r="D132" s="53" t="n">
        <v>100</v>
      </c>
      <c r="E132" s="53" t="n">
        <v>74.413547453817</v>
      </c>
      <c r="F132" s="53" t="n">
        <v>7.93957117369227</v>
      </c>
      <c r="G132" s="53" t="n">
        <v>16.0485850317427</v>
      </c>
      <c r="H132" s="53" t="n">
        <v>46.9552486099622</v>
      </c>
      <c r="I132" s="53" t="n">
        <v>44.8534837562515</v>
      </c>
      <c r="J132" s="53" t="n">
        <v>5.81999479571385</v>
      </c>
      <c r="K132" s="53" t="n">
        <v>1</v>
      </c>
      <c r="L132" s="53" t="n">
        <v>5</v>
      </c>
      <c r="M132" s="53" t="n">
        <v>0</v>
      </c>
      <c r="N132" s="53" t="n">
        <v>1</v>
      </c>
      <c r="O132" s="53" t="n">
        <v>4</v>
      </c>
      <c r="P132" s="53" t="n">
        <v>120</v>
      </c>
      <c r="Q132" s="53" t="n">
        <v>5</v>
      </c>
      <c r="R132" s="53" t="n">
        <v>1000</v>
      </c>
      <c r="S132" s="53" t="n">
        <v>0</v>
      </c>
      <c r="T132" s="53" t="n">
        <v>5</v>
      </c>
      <c r="U132" s="53" t="n">
        <v>0</v>
      </c>
      <c r="V132" s="53" t="n">
        <v>0</v>
      </c>
      <c r="W132" s="53" t="n">
        <v>0</v>
      </c>
      <c r="X132" s="53" t="n">
        <v>2</v>
      </c>
    </row>
    <row r="133">
      <c r="A133" s="53" t="inlineStr">
        <is>
          <t>Lignin</t>
        </is>
      </c>
      <c r="B133" s="53" t="n">
        <v>0</v>
      </c>
      <c r="C133" s="53" t="n">
        <v>0</v>
      </c>
      <c r="D133" s="53" t="n">
        <v>100</v>
      </c>
      <c r="E133" s="53" t="n">
        <v>74.413547453817</v>
      </c>
      <c r="F133" s="53" t="n">
        <v>7.93957117369227</v>
      </c>
      <c r="G133" s="53" t="n">
        <v>16.0485850317427</v>
      </c>
      <c r="H133" s="53" t="n">
        <v>46.9552486099622</v>
      </c>
      <c r="I133" s="53" t="n">
        <v>44.8534837562515</v>
      </c>
      <c r="J133" s="53" t="n">
        <v>5.81999479571385</v>
      </c>
      <c r="K133" s="53" t="n">
        <v>1</v>
      </c>
      <c r="L133" s="53" t="n">
        <v>5</v>
      </c>
      <c r="M133" s="53" t="n">
        <v>0</v>
      </c>
      <c r="N133" s="53" t="n">
        <v>1</v>
      </c>
      <c r="O133" s="53" t="n">
        <v>4</v>
      </c>
      <c r="P133" s="53" t="n">
        <v>120</v>
      </c>
      <c r="Q133" s="53" t="n">
        <v>5</v>
      </c>
      <c r="R133" s="53" t="n">
        <v>1200</v>
      </c>
      <c r="S133" s="53" t="n">
        <v>0</v>
      </c>
      <c r="T133" s="53" t="n">
        <v>5</v>
      </c>
      <c r="U133" s="53" t="n">
        <v>0</v>
      </c>
      <c r="V133" s="53" t="n">
        <v>0</v>
      </c>
      <c r="W133" s="53" t="n">
        <v>0</v>
      </c>
      <c r="X133" s="53" t="n">
        <v>2.16</v>
      </c>
    </row>
    <row r="134">
      <c r="A134" s="53" t="inlineStr">
        <is>
          <t>Lignin</t>
        </is>
      </c>
      <c r="B134" s="53" t="n">
        <v>0</v>
      </c>
      <c r="C134" s="53" t="n">
        <v>0</v>
      </c>
      <c r="D134" s="53" t="n">
        <v>100</v>
      </c>
      <c r="E134" s="53" t="n">
        <v>74.413547453817</v>
      </c>
      <c r="F134" s="53" t="n">
        <v>7.93957117369227</v>
      </c>
      <c r="G134" s="53" t="n">
        <v>16.0485850317427</v>
      </c>
      <c r="H134" s="53" t="n">
        <v>46.9552486099622</v>
      </c>
      <c r="I134" s="53" t="n">
        <v>44.8534837562515</v>
      </c>
      <c r="J134" s="53" t="n">
        <v>5.81999479571385</v>
      </c>
      <c r="K134" s="53" t="n">
        <v>1</v>
      </c>
      <c r="L134" s="53" t="n">
        <v>5</v>
      </c>
      <c r="M134" s="53" t="n">
        <v>0</v>
      </c>
      <c r="N134" s="53" t="n">
        <v>1</v>
      </c>
      <c r="O134" s="53" t="n">
        <v>4</v>
      </c>
      <c r="P134" s="53" t="n">
        <v>120</v>
      </c>
      <c r="Q134" s="53" t="n">
        <v>5</v>
      </c>
      <c r="R134" s="53" t="n">
        <v>1400</v>
      </c>
      <c r="S134" s="53" t="n">
        <v>0</v>
      </c>
      <c r="T134" s="53" t="n">
        <v>5</v>
      </c>
      <c r="U134" s="53" t="n">
        <v>0</v>
      </c>
      <c r="V134" s="53" t="n">
        <v>0</v>
      </c>
      <c r="W134" s="53" t="n">
        <v>0</v>
      </c>
      <c r="X134" s="53" t="n">
        <v>2.27</v>
      </c>
    </row>
    <row r="135">
      <c r="A135" s="53" t="inlineStr">
        <is>
          <t>Lignin</t>
        </is>
      </c>
      <c r="B135" s="53" t="n">
        <v>0</v>
      </c>
      <c r="C135" s="53" t="n">
        <v>0</v>
      </c>
      <c r="D135" s="53" t="n">
        <v>100</v>
      </c>
      <c r="E135" s="53" t="n">
        <v>74.413547453817</v>
      </c>
      <c r="F135" s="53" t="n">
        <v>7.93957117369227</v>
      </c>
      <c r="G135" s="53" t="n">
        <v>16.0485850317427</v>
      </c>
      <c r="H135" s="53" t="n">
        <v>46.9552486099622</v>
      </c>
      <c r="I135" s="53" t="n">
        <v>44.8534837562515</v>
      </c>
      <c r="J135" s="53" t="n">
        <v>5.81999479571385</v>
      </c>
      <c r="K135" s="53" t="n">
        <v>1</v>
      </c>
      <c r="L135" s="53" t="n">
        <v>5</v>
      </c>
      <c r="M135" s="53" t="n">
        <v>0</v>
      </c>
      <c r="N135" s="53" t="n">
        <v>1</v>
      </c>
      <c r="O135" s="53" t="n">
        <v>4</v>
      </c>
      <c r="P135" s="53" t="n">
        <v>120</v>
      </c>
      <c r="Q135" s="53" t="n">
        <v>5</v>
      </c>
      <c r="R135" s="53" t="n">
        <v>1600</v>
      </c>
      <c r="S135" s="53" t="n">
        <v>0</v>
      </c>
      <c r="T135" s="53" t="n">
        <v>5</v>
      </c>
      <c r="U135" s="53" t="n">
        <v>0</v>
      </c>
      <c r="V135" s="53" t="n">
        <v>0</v>
      </c>
      <c r="W135" s="53" t="n">
        <v>0</v>
      </c>
      <c r="X135" s="53" t="n">
        <v>2.57</v>
      </c>
    </row>
    <row r="136">
      <c r="A136" s="53" t="inlineStr">
        <is>
          <t>Lignin</t>
        </is>
      </c>
      <c r="B136" s="53" t="n">
        <v>0</v>
      </c>
      <c r="C136" s="53" t="n">
        <v>0</v>
      </c>
      <c r="D136" s="53" t="n">
        <v>100</v>
      </c>
      <c r="E136" s="53" t="n">
        <v>74.413547453817</v>
      </c>
      <c r="F136" s="53" t="n">
        <v>7.93957117369227</v>
      </c>
      <c r="G136" s="53" t="n">
        <v>16.0485850317427</v>
      </c>
      <c r="H136" s="53" t="n">
        <v>46.9552486099622</v>
      </c>
      <c r="I136" s="53" t="n">
        <v>44.8534837562515</v>
      </c>
      <c r="J136" s="53" t="n">
        <v>5.81999479571385</v>
      </c>
      <c r="K136" s="53" t="n">
        <v>1</v>
      </c>
      <c r="L136" s="53" t="n">
        <v>5</v>
      </c>
      <c r="M136" s="53" t="n">
        <v>0</v>
      </c>
      <c r="N136" s="53" t="n">
        <v>1</v>
      </c>
      <c r="O136" s="53" t="n">
        <v>4</v>
      </c>
      <c r="P136" s="53" t="n">
        <v>120</v>
      </c>
      <c r="Q136" s="53" t="n">
        <v>5</v>
      </c>
      <c r="R136" s="53" t="n">
        <v>1800</v>
      </c>
      <c r="S136" s="53" t="n">
        <v>0</v>
      </c>
      <c r="T136" s="53" t="n">
        <v>5</v>
      </c>
      <c r="U136" s="53" t="n">
        <v>0</v>
      </c>
      <c r="V136" s="53" t="n">
        <v>0</v>
      </c>
      <c r="W136" s="53" t="n">
        <v>0</v>
      </c>
      <c r="X136" s="53" t="n">
        <v>3.75</v>
      </c>
    </row>
    <row r="137">
      <c r="A137" s="53" t="inlineStr">
        <is>
          <t>lignin</t>
        </is>
      </c>
      <c r="B137" s="53" t="n">
        <v>0</v>
      </c>
      <c r="C137" s="53" t="n">
        <v>0</v>
      </c>
      <c r="D137" s="53" t="n">
        <v>100</v>
      </c>
      <c r="E137" s="53" t="n">
        <v>74.413547453817</v>
      </c>
      <c r="F137" s="53" t="n">
        <v>7.93957117369227</v>
      </c>
      <c r="G137" s="53" t="n">
        <v>16.0485850317427</v>
      </c>
      <c r="H137" s="53" t="n">
        <v>46.9552486099622</v>
      </c>
      <c r="I137" s="53" t="n">
        <v>44.8534837562515</v>
      </c>
      <c r="J137" s="53" t="n">
        <v>5.81999479571385</v>
      </c>
      <c r="K137" s="53" t="n">
        <v>4</v>
      </c>
      <c r="L137" s="53" t="n">
        <v>5</v>
      </c>
      <c r="M137" s="53" t="n">
        <v>0</v>
      </c>
      <c r="N137" s="53" t="n">
        <v>1</v>
      </c>
      <c r="O137" s="53" t="n">
        <v>4</v>
      </c>
      <c r="P137" s="53" t="n">
        <v>240</v>
      </c>
      <c r="Q137" s="53" t="n">
        <v>5</v>
      </c>
      <c r="R137" s="53" t="n">
        <v>600</v>
      </c>
      <c r="S137" s="53" t="n">
        <v>0</v>
      </c>
      <c r="T137" s="53" t="n">
        <v>5</v>
      </c>
      <c r="U137" s="53" t="n">
        <v>0</v>
      </c>
      <c r="V137" s="53" t="n">
        <v>0</v>
      </c>
      <c r="W137" s="53" t="n">
        <v>0</v>
      </c>
      <c r="X137" s="53" t="n">
        <v>3.09</v>
      </c>
    </row>
    <row r="138">
      <c r="A138" s="53" t="inlineStr">
        <is>
          <t>lignin</t>
        </is>
      </c>
      <c r="B138" s="53" t="n">
        <v>0</v>
      </c>
      <c r="C138" s="53" t="n">
        <v>0</v>
      </c>
      <c r="D138" s="53" t="n">
        <v>100</v>
      </c>
      <c r="E138" s="53" t="n">
        <v>74.413547453817</v>
      </c>
      <c r="F138" s="53" t="n">
        <v>7.93957117369227</v>
      </c>
      <c r="G138" s="53" t="n">
        <v>16.0485850317427</v>
      </c>
      <c r="H138" s="53" t="n">
        <v>46.9552486099622</v>
      </c>
      <c r="I138" s="53" t="n">
        <v>44.8534837562515</v>
      </c>
      <c r="J138" s="53" t="n">
        <v>5.81999479571385</v>
      </c>
      <c r="K138" s="53" t="n">
        <v>4</v>
      </c>
      <c r="L138" s="53" t="n">
        <v>5</v>
      </c>
      <c r="M138" s="53" t="n">
        <v>0</v>
      </c>
      <c r="N138" s="53" t="n">
        <v>1</v>
      </c>
      <c r="O138" s="53" t="n">
        <v>4</v>
      </c>
      <c r="P138" s="53" t="n">
        <v>240</v>
      </c>
      <c r="Q138" s="53" t="n">
        <v>5</v>
      </c>
      <c r="R138" s="53" t="n">
        <v>800</v>
      </c>
      <c r="S138" s="53" t="n">
        <v>0</v>
      </c>
      <c r="T138" s="53" t="n">
        <v>5</v>
      </c>
      <c r="U138" s="53" t="n">
        <v>0</v>
      </c>
      <c r="V138" s="53" t="n">
        <v>0</v>
      </c>
      <c r="W138" s="53" t="n">
        <v>0</v>
      </c>
      <c r="X138" s="53" t="n">
        <v>3.6</v>
      </c>
    </row>
    <row r="139">
      <c r="A139" s="53" t="inlineStr">
        <is>
          <t>lignin</t>
        </is>
      </c>
      <c r="B139" s="53" t="n">
        <v>0</v>
      </c>
      <c r="C139" s="53" t="n">
        <v>0</v>
      </c>
      <c r="D139" s="53" t="n">
        <v>100</v>
      </c>
      <c r="E139" s="53" t="n">
        <v>74.413547453817</v>
      </c>
      <c r="F139" s="53" t="n">
        <v>7.93957117369227</v>
      </c>
      <c r="G139" s="53" t="n">
        <v>16.0485850317427</v>
      </c>
      <c r="H139" s="53" t="n">
        <v>46.9552486099622</v>
      </c>
      <c r="I139" s="53" t="n">
        <v>44.8534837562515</v>
      </c>
      <c r="J139" s="53" t="n">
        <v>5.81999479571385</v>
      </c>
      <c r="K139" s="53" t="n">
        <v>4</v>
      </c>
      <c r="L139" s="53" t="n">
        <v>5</v>
      </c>
      <c r="M139" s="53" t="n">
        <v>0</v>
      </c>
      <c r="N139" s="53" t="n">
        <v>1</v>
      </c>
      <c r="O139" s="53" t="n">
        <v>4</v>
      </c>
      <c r="P139" s="53" t="n">
        <v>240</v>
      </c>
      <c r="Q139" s="53" t="n">
        <v>5</v>
      </c>
      <c r="R139" s="53" t="n">
        <v>1000</v>
      </c>
      <c r="S139" s="53" t="n">
        <v>0</v>
      </c>
      <c r="T139" s="53" t="n">
        <v>5</v>
      </c>
      <c r="U139" s="53" t="n">
        <v>0</v>
      </c>
      <c r="V139" s="53" t="n">
        <v>0</v>
      </c>
      <c r="W139" s="53" t="n">
        <v>0</v>
      </c>
      <c r="X139" s="53" t="n">
        <v>4.13</v>
      </c>
    </row>
    <row r="140">
      <c r="A140" s="53" t="inlineStr">
        <is>
          <t>lignin</t>
        </is>
      </c>
      <c r="B140" s="53" t="n">
        <v>0</v>
      </c>
      <c r="C140" s="53" t="n">
        <v>0</v>
      </c>
      <c r="D140" s="53" t="n">
        <v>100</v>
      </c>
      <c r="E140" s="53" t="n">
        <v>74.413547453817</v>
      </c>
      <c r="F140" s="53" t="n">
        <v>7.93957117369227</v>
      </c>
      <c r="G140" s="53" t="n">
        <v>16.0485850317427</v>
      </c>
      <c r="H140" s="53" t="n">
        <v>46.9552486099622</v>
      </c>
      <c r="I140" s="53" t="n">
        <v>44.8534837562515</v>
      </c>
      <c r="J140" s="53" t="n">
        <v>5.81999479571385</v>
      </c>
      <c r="K140" s="53" t="n">
        <v>4</v>
      </c>
      <c r="L140" s="53" t="n">
        <v>5</v>
      </c>
      <c r="M140" s="53" t="n">
        <v>0</v>
      </c>
      <c r="N140" s="53" t="n">
        <v>1</v>
      </c>
      <c r="O140" s="53" t="n">
        <v>4</v>
      </c>
      <c r="P140" s="53" t="n">
        <v>240</v>
      </c>
      <c r="Q140" s="53" t="n">
        <v>5</v>
      </c>
      <c r="R140" s="53" t="n">
        <v>1200</v>
      </c>
      <c r="S140" s="53" t="n">
        <v>0</v>
      </c>
      <c r="T140" s="53" t="n">
        <v>5</v>
      </c>
      <c r="U140" s="53" t="n">
        <v>0</v>
      </c>
      <c r="V140" s="53" t="n">
        <v>0</v>
      </c>
      <c r="W140" s="53" t="n">
        <v>0</v>
      </c>
      <c r="X140" s="53" t="n">
        <v>4.05</v>
      </c>
    </row>
    <row r="141">
      <c r="A141" s="53" t="inlineStr">
        <is>
          <t>lignin</t>
        </is>
      </c>
      <c r="B141" s="53" t="n">
        <v>0</v>
      </c>
      <c r="C141" s="53" t="n">
        <v>0</v>
      </c>
      <c r="D141" s="53" t="n">
        <v>100</v>
      </c>
      <c r="E141" s="53" t="n">
        <v>74.413547453817</v>
      </c>
      <c r="F141" s="53" t="n">
        <v>7.93957117369227</v>
      </c>
      <c r="G141" s="53" t="n">
        <v>16.0485850317427</v>
      </c>
      <c r="H141" s="53" t="n">
        <v>46.9552486099622</v>
      </c>
      <c r="I141" s="53" t="n">
        <v>44.8534837562515</v>
      </c>
      <c r="J141" s="53" t="n">
        <v>5.81999479571385</v>
      </c>
      <c r="K141" s="53" t="n">
        <v>4</v>
      </c>
      <c r="L141" s="53" t="n">
        <v>5</v>
      </c>
      <c r="M141" s="53" t="n">
        <v>0</v>
      </c>
      <c r="N141" s="53" t="n">
        <v>1</v>
      </c>
      <c r="O141" s="53" t="n">
        <v>4</v>
      </c>
      <c r="P141" s="53" t="n">
        <v>240</v>
      </c>
      <c r="Q141" s="53" t="n">
        <v>5</v>
      </c>
      <c r="R141" s="53" t="n">
        <v>1400</v>
      </c>
      <c r="S141" s="53" t="n">
        <v>0</v>
      </c>
      <c r="T141" s="53" t="n">
        <v>5</v>
      </c>
      <c r="U141" s="53" t="n">
        <v>0</v>
      </c>
      <c r="V141" s="53" t="n">
        <v>0</v>
      </c>
      <c r="W141" s="53" t="n">
        <v>0</v>
      </c>
      <c r="X141" s="53" t="n">
        <v>4.58</v>
      </c>
    </row>
    <row r="142">
      <c r="A142" s="53" t="inlineStr">
        <is>
          <t>lignin</t>
        </is>
      </c>
      <c r="B142" s="53" t="n">
        <v>0</v>
      </c>
      <c r="C142" s="53" t="n">
        <v>0</v>
      </c>
      <c r="D142" s="53" t="n">
        <v>100</v>
      </c>
      <c r="E142" s="53" t="n">
        <v>74.413547453817</v>
      </c>
      <c r="F142" s="53" t="n">
        <v>7.93957117369227</v>
      </c>
      <c r="G142" s="53" t="n">
        <v>16.0485850317427</v>
      </c>
      <c r="H142" s="53" t="n">
        <v>46.9552486099622</v>
      </c>
      <c r="I142" s="53" t="n">
        <v>44.8534837562515</v>
      </c>
      <c r="J142" s="53" t="n">
        <v>5.81999479571385</v>
      </c>
      <c r="K142" s="53" t="n">
        <v>4</v>
      </c>
      <c r="L142" s="53" t="n">
        <v>5</v>
      </c>
      <c r="M142" s="53" t="n">
        <v>0</v>
      </c>
      <c r="N142" s="53" t="n">
        <v>1</v>
      </c>
      <c r="O142" s="53" t="n">
        <v>4</v>
      </c>
      <c r="P142" s="53" t="n">
        <v>240</v>
      </c>
      <c r="Q142" s="53" t="n">
        <v>5</v>
      </c>
      <c r="R142" s="53" t="n">
        <v>1600</v>
      </c>
      <c r="S142" s="53" t="n">
        <v>0</v>
      </c>
      <c r="T142" s="53" t="n">
        <v>5</v>
      </c>
      <c r="U142" s="53" t="n">
        <v>0</v>
      </c>
      <c r="V142" s="53" t="n">
        <v>0</v>
      </c>
      <c r="W142" s="53" t="n">
        <v>0</v>
      </c>
      <c r="X142" s="53" t="n">
        <v>4.48</v>
      </c>
    </row>
    <row r="143">
      <c r="A143" s="53" t="inlineStr">
        <is>
          <t>Lignin</t>
        </is>
      </c>
      <c r="B143" s="53" t="n">
        <v>0</v>
      </c>
      <c r="C143" s="53" t="n">
        <v>0</v>
      </c>
      <c r="D143" s="53" t="n">
        <v>100</v>
      </c>
      <c r="E143" s="53" t="n">
        <v>74.413547453817</v>
      </c>
      <c r="F143" s="53" t="n">
        <v>7.93957117369227</v>
      </c>
      <c r="G143" s="53" t="n">
        <v>16.0485850317427</v>
      </c>
      <c r="H143" s="53" t="n">
        <v>46.9552486099622</v>
      </c>
      <c r="I143" s="53" t="n">
        <v>44.8534837562515</v>
      </c>
      <c r="J143" s="53" t="n">
        <v>5.81999479571385</v>
      </c>
      <c r="K143" s="53" t="n">
        <v>1</v>
      </c>
      <c r="L143" s="53" t="n">
        <v>5</v>
      </c>
      <c r="M143" s="53" t="n">
        <v>1</v>
      </c>
      <c r="N143" s="53" t="n">
        <v>1</v>
      </c>
      <c r="O143" s="53" t="n">
        <v>4</v>
      </c>
      <c r="P143" s="53" t="n">
        <v>60</v>
      </c>
      <c r="Q143" s="53" t="n">
        <v>10</v>
      </c>
      <c r="R143" s="53" t="n">
        <v>800</v>
      </c>
      <c r="S143" s="53" t="n">
        <v>1</v>
      </c>
      <c r="T143" s="53" t="n">
        <v>5</v>
      </c>
      <c r="U143" s="53" t="n">
        <v>480</v>
      </c>
      <c r="V143" s="53" t="n">
        <v>10</v>
      </c>
      <c r="W143" s="53" t="n">
        <v>1300</v>
      </c>
      <c r="X143" s="53" t="n">
        <v>3.38</v>
      </c>
    </row>
    <row r="144">
      <c r="A144" s="53" t="inlineStr">
        <is>
          <t>Lotus stem</t>
        </is>
      </c>
      <c r="B144" s="53" t="n">
        <v>34.6</v>
      </c>
      <c r="C144" s="53" t="n">
        <v>19.2</v>
      </c>
      <c r="D144" s="53" t="n">
        <v>25.4</v>
      </c>
      <c r="E144" s="53" t="n">
        <v>77.44065266469779</v>
      </c>
      <c r="F144" s="53" t="n">
        <v>6.01739941318613</v>
      </c>
      <c r="G144" s="53" t="n">
        <v>17.7960359441177</v>
      </c>
      <c r="H144" s="53" t="n">
        <v>48.1519093848142</v>
      </c>
      <c r="I144" s="53" t="n">
        <v>41.0827448296098</v>
      </c>
      <c r="J144" s="53" t="n">
        <v>5.25526048251373</v>
      </c>
      <c r="K144" s="53" t="n">
        <v>4</v>
      </c>
      <c r="L144" s="53" t="n">
        <v>0</v>
      </c>
      <c r="M144" s="53" t="n">
        <v>0</v>
      </c>
      <c r="N144" s="53" t="n">
        <v>1</v>
      </c>
      <c r="O144" s="53" t="n">
        <v>4</v>
      </c>
      <c r="P144" s="53" t="n">
        <v>142.382692282759</v>
      </c>
      <c r="Q144" s="53" t="n">
        <v>5</v>
      </c>
      <c r="R144" s="53" t="n">
        <v>1200</v>
      </c>
      <c r="S144" s="53" t="n">
        <v>0</v>
      </c>
      <c r="T144" s="53" t="n">
        <v>5</v>
      </c>
      <c r="U144" s="53" t="n">
        <v>0</v>
      </c>
      <c r="V144" s="53" t="n">
        <v>0</v>
      </c>
      <c r="W144" s="53" t="n">
        <v>0</v>
      </c>
      <c r="X144" s="53" t="n">
        <v>15.95</v>
      </c>
    </row>
    <row r="145">
      <c r="A145" s="53" t="inlineStr">
        <is>
          <t>Lotus stem</t>
        </is>
      </c>
      <c r="B145" s="53" t="n">
        <v>34.6</v>
      </c>
      <c r="C145" s="53" t="n">
        <v>19.2</v>
      </c>
      <c r="D145" s="53" t="n">
        <v>25.4</v>
      </c>
      <c r="E145" s="53" t="n">
        <v>77.44065266469779</v>
      </c>
      <c r="F145" s="53" t="n">
        <v>6.01739941318613</v>
      </c>
      <c r="G145" s="53" t="n">
        <v>17.7960359441177</v>
      </c>
      <c r="H145" s="53" t="n">
        <v>48.1519093848142</v>
      </c>
      <c r="I145" s="53" t="n">
        <v>41.0827448296098</v>
      </c>
      <c r="J145" s="53" t="n">
        <v>5.25526048251373</v>
      </c>
      <c r="K145" s="53" t="n">
        <v>4</v>
      </c>
      <c r="L145" s="53" t="n">
        <v>0</v>
      </c>
      <c r="M145" s="53" t="n">
        <v>0</v>
      </c>
      <c r="N145" s="53" t="n">
        <v>1</v>
      </c>
      <c r="O145" s="53" t="n">
        <v>4</v>
      </c>
      <c r="P145" s="53" t="n">
        <v>87.684466777146</v>
      </c>
      <c r="Q145" s="53" t="n">
        <v>5</v>
      </c>
      <c r="R145" s="53" t="n">
        <v>1400</v>
      </c>
      <c r="S145" s="53" t="n">
        <v>0</v>
      </c>
      <c r="T145" s="53" t="n">
        <v>5</v>
      </c>
      <c r="U145" s="53" t="n">
        <v>0</v>
      </c>
      <c r="V145" s="53" t="n">
        <v>0</v>
      </c>
      <c r="W145" s="53" t="n">
        <v>0</v>
      </c>
      <c r="X145" s="53" t="n">
        <v>14.35</v>
      </c>
    </row>
    <row r="146">
      <c r="A146" s="53" t="inlineStr">
        <is>
          <t>Lotus stem</t>
        </is>
      </c>
      <c r="B146" s="53" t="n">
        <v>34.6</v>
      </c>
      <c r="C146" s="53" t="n">
        <v>19.2</v>
      </c>
      <c r="D146" s="53" t="n">
        <v>25.4</v>
      </c>
      <c r="E146" s="53" t="n">
        <v>77.44065266469779</v>
      </c>
      <c r="F146" s="53" t="n">
        <v>6.01739941318613</v>
      </c>
      <c r="G146" s="53" t="n">
        <v>17.7960359441177</v>
      </c>
      <c r="H146" s="53" t="n">
        <v>48.1519093848142</v>
      </c>
      <c r="I146" s="53" t="n">
        <v>41.0827448296098</v>
      </c>
      <c r="J146" s="53" t="n">
        <v>5.25526048251373</v>
      </c>
      <c r="K146" s="53" t="n">
        <v>4</v>
      </c>
      <c r="L146" s="53" t="n">
        <v>0</v>
      </c>
      <c r="M146" s="53" t="n">
        <v>0</v>
      </c>
      <c r="N146" s="53" t="n">
        <v>1</v>
      </c>
      <c r="O146" s="53" t="n">
        <v>4</v>
      </c>
      <c r="P146" s="53" t="n">
        <v>127.864903119767</v>
      </c>
      <c r="Q146" s="53" t="n">
        <v>3.82737909684301</v>
      </c>
      <c r="R146" s="53" t="n">
        <v>1600</v>
      </c>
      <c r="S146" s="53" t="n">
        <v>0</v>
      </c>
      <c r="T146" s="53" t="n">
        <v>5</v>
      </c>
      <c r="U146" s="53" t="n">
        <v>0</v>
      </c>
      <c r="V146" s="53" t="n">
        <v>0</v>
      </c>
      <c r="W146" s="53" t="n">
        <v>0</v>
      </c>
      <c r="X146" s="53" t="n">
        <v>13.19</v>
      </c>
    </row>
    <row r="147">
      <c r="A147" s="53" t="inlineStr">
        <is>
          <t>Mangosteen shell</t>
        </is>
      </c>
      <c r="B147" s="53" t="n">
        <v>26.22</v>
      </c>
      <c r="C147" s="53" t="n">
        <v>15.39</v>
      </c>
      <c r="D147" s="53" t="n">
        <v>48.52</v>
      </c>
      <c r="E147" s="53" t="n">
        <v>62.28</v>
      </c>
      <c r="F147" s="53" t="n">
        <v>1.85</v>
      </c>
      <c r="G147" s="53" t="n">
        <v>32.29</v>
      </c>
      <c r="H147" s="53" t="n">
        <v>48.81</v>
      </c>
      <c r="I147" s="53" t="n">
        <v>42.7</v>
      </c>
      <c r="J147" s="53" t="n">
        <v>5.73</v>
      </c>
      <c r="K147" s="53" t="n">
        <v>4</v>
      </c>
      <c r="L147" s="53" t="n">
        <v>5</v>
      </c>
      <c r="M147" s="53" t="n">
        <v>0</v>
      </c>
      <c r="N147" s="53" t="n">
        <v>1</v>
      </c>
      <c r="O147" s="53" t="n">
        <v>4</v>
      </c>
      <c r="P147" s="53" t="n">
        <v>120</v>
      </c>
      <c r="Q147" s="53" t="n">
        <v>3</v>
      </c>
      <c r="R147" s="53" t="n">
        <v>800</v>
      </c>
      <c r="S147" s="53" t="n">
        <v>0</v>
      </c>
      <c r="T147" s="53" t="n">
        <v>5</v>
      </c>
      <c r="U147" s="53" t="n">
        <v>0</v>
      </c>
      <c r="V147" s="53" t="n">
        <v>0</v>
      </c>
      <c r="W147" s="53" t="n">
        <v>0</v>
      </c>
      <c r="X147" s="53" t="n">
        <v>2.16</v>
      </c>
    </row>
    <row r="148">
      <c r="A148" s="53" t="inlineStr">
        <is>
          <t>Mangosteen shell</t>
        </is>
      </c>
      <c r="B148" s="53" t="n">
        <v>26.22</v>
      </c>
      <c r="C148" s="53" t="n">
        <v>15.39</v>
      </c>
      <c r="D148" s="53" t="n">
        <v>48.52</v>
      </c>
      <c r="E148" s="53" t="n">
        <v>62.28</v>
      </c>
      <c r="F148" s="53" t="n">
        <v>1.85</v>
      </c>
      <c r="G148" s="53" t="n">
        <v>32.29</v>
      </c>
      <c r="H148" s="53" t="n">
        <v>48.81</v>
      </c>
      <c r="I148" s="53" t="n">
        <v>42.7</v>
      </c>
      <c r="J148" s="53" t="n">
        <v>5.73</v>
      </c>
      <c r="K148" s="53" t="n">
        <v>4</v>
      </c>
      <c r="L148" s="53" t="n">
        <v>5</v>
      </c>
      <c r="M148" s="53" t="n">
        <v>0</v>
      </c>
      <c r="N148" s="53" t="n">
        <v>1</v>
      </c>
      <c r="O148" s="53" t="n">
        <v>4</v>
      </c>
      <c r="P148" s="53" t="n">
        <v>120</v>
      </c>
      <c r="Q148" s="53" t="n">
        <v>3</v>
      </c>
      <c r="R148" s="53" t="n">
        <v>900</v>
      </c>
      <c r="S148" s="53" t="n">
        <v>0</v>
      </c>
      <c r="T148" s="53" t="n">
        <v>5</v>
      </c>
      <c r="U148" s="53" t="n">
        <v>0</v>
      </c>
      <c r="V148" s="53" t="n">
        <v>0</v>
      </c>
      <c r="W148" s="53" t="n">
        <v>0</v>
      </c>
      <c r="X148" s="53" t="n">
        <v>2.23</v>
      </c>
    </row>
    <row r="149">
      <c r="A149" s="53" t="inlineStr">
        <is>
          <t>Mangosteen shell</t>
        </is>
      </c>
      <c r="B149" s="53" t="n">
        <v>26.22</v>
      </c>
      <c r="C149" s="53" t="n">
        <v>15.39</v>
      </c>
      <c r="D149" s="53" t="n">
        <v>48.52</v>
      </c>
      <c r="E149" s="53" t="n">
        <v>62.28</v>
      </c>
      <c r="F149" s="53" t="n">
        <v>1.85</v>
      </c>
      <c r="G149" s="53" t="n">
        <v>32.29</v>
      </c>
      <c r="H149" s="53" t="n">
        <v>48.81</v>
      </c>
      <c r="I149" s="53" t="n">
        <v>42.7</v>
      </c>
      <c r="J149" s="53" t="n">
        <v>5.73</v>
      </c>
      <c r="K149" s="53" t="n">
        <v>4</v>
      </c>
      <c r="L149" s="53" t="n">
        <v>5</v>
      </c>
      <c r="M149" s="53" t="n">
        <v>0</v>
      </c>
      <c r="N149" s="53" t="n">
        <v>1</v>
      </c>
      <c r="O149" s="53" t="n">
        <v>4</v>
      </c>
      <c r="P149" s="53" t="n">
        <v>120</v>
      </c>
      <c r="Q149" s="53" t="n">
        <v>3</v>
      </c>
      <c r="R149" s="53" t="n">
        <v>1000</v>
      </c>
      <c r="S149" s="53" t="n">
        <v>0</v>
      </c>
      <c r="T149" s="53" t="n">
        <v>5</v>
      </c>
      <c r="U149" s="53" t="n">
        <v>0</v>
      </c>
      <c r="V149" s="53" t="n">
        <v>0</v>
      </c>
      <c r="W149" s="53" t="n">
        <v>0</v>
      </c>
      <c r="X149" s="53" t="n">
        <v>2.35</v>
      </c>
    </row>
    <row r="150">
      <c r="A150" s="53" t="inlineStr">
        <is>
          <t>Mangosteen shell</t>
        </is>
      </c>
      <c r="B150" s="53" t="n">
        <v>26.22</v>
      </c>
      <c r="C150" s="53" t="n">
        <v>15.39</v>
      </c>
      <c r="D150" s="53" t="n">
        <v>48.52</v>
      </c>
      <c r="E150" s="53" t="n">
        <v>62.28</v>
      </c>
      <c r="F150" s="53" t="n">
        <v>1.85</v>
      </c>
      <c r="G150" s="53" t="n">
        <v>32.29</v>
      </c>
      <c r="H150" s="53" t="n">
        <v>48.81</v>
      </c>
      <c r="I150" s="53" t="n">
        <v>42.7</v>
      </c>
      <c r="J150" s="53" t="n">
        <v>5.73</v>
      </c>
      <c r="K150" s="53" t="n">
        <v>4</v>
      </c>
      <c r="L150" s="53" t="n">
        <v>5</v>
      </c>
      <c r="M150" s="53" t="n">
        <v>0</v>
      </c>
      <c r="N150" s="53" t="n">
        <v>1</v>
      </c>
      <c r="O150" s="53" t="n">
        <v>4</v>
      </c>
      <c r="P150" s="53" t="n">
        <v>120</v>
      </c>
      <c r="Q150" s="53" t="n">
        <v>3</v>
      </c>
      <c r="R150" s="53" t="n">
        <v>1100</v>
      </c>
      <c r="S150" s="53" t="n">
        <v>0</v>
      </c>
      <c r="T150" s="53" t="n">
        <v>5</v>
      </c>
      <c r="U150" s="53" t="n">
        <v>0</v>
      </c>
      <c r="V150" s="53" t="n">
        <v>0</v>
      </c>
      <c r="W150" s="53" t="n">
        <v>0</v>
      </c>
      <c r="X150" s="53" t="n">
        <v>2.5</v>
      </c>
    </row>
    <row r="151">
      <c r="A151" s="53" t="inlineStr">
        <is>
          <t>Mangosteen shell</t>
        </is>
      </c>
      <c r="B151" s="53" t="n">
        <v>26.22</v>
      </c>
      <c r="C151" s="53" t="n">
        <v>15.39</v>
      </c>
      <c r="D151" s="53" t="n">
        <v>48.52</v>
      </c>
      <c r="E151" s="53" t="n">
        <v>62.28</v>
      </c>
      <c r="F151" s="53" t="n">
        <v>1.85</v>
      </c>
      <c r="G151" s="53" t="n">
        <v>32.29</v>
      </c>
      <c r="H151" s="53" t="n">
        <v>48.81</v>
      </c>
      <c r="I151" s="53" t="n">
        <v>42.7</v>
      </c>
      <c r="J151" s="53" t="n">
        <v>5.73</v>
      </c>
      <c r="K151" s="53" t="n">
        <v>4</v>
      </c>
      <c r="L151" s="53" t="n">
        <v>5</v>
      </c>
      <c r="M151" s="53" t="n">
        <v>0</v>
      </c>
      <c r="N151" s="53" t="n">
        <v>1</v>
      </c>
      <c r="O151" s="53" t="n">
        <v>4</v>
      </c>
      <c r="P151" s="53" t="n">
        <v>120</v>
      </c>
      <c r="Q151" s="53" t="n">
        <v>3</v>
      </c>
      <c r="R151" s="53" t="n">
        <v>1200</v>
      </c>
      <c r="S151" s="53" t="n">
        <v>0</v>
      </c>
      <c r="T151" s="53" t="n">
        <v>5</v>
      </c>
      <c r="U151" s="53" t="n">
        <v>0</v>
      </c>
      <c r="V151" s="53" t="n">
        <v>0</v>
      </c>
      <c r="W151" s="53" t="n">
        <v>0</v>
      </c>
      <c r="X151" s="53" t="n">
        <v>2.57</v>
      </c>
    </row>
    <row r="152">
      <c r="A152" s="53" t="inlineStr">
        <is>
          <t>Mangosteen shell</t>
        </is>
      </c>
      <c r="B152" s="53" t="n">
        <v>26.22</v>
      </c>
      <c r="C152" s="53" t="n">
        <v>15.39</v>
      </c>
      <c r="D152" s="53" t="n">
        <v>48.52</v>
      </c>
      <c r="E152" s="53" t="n">
        <v>62.28</v>
      </c>
      <c r="F152" s="53" t="n">
        <v>1.85</v>
      </c>
      <c r="G152" s="53" t="n">
        <v>32.29</v>
      </c>
      <c r="H152" s="53" t="n">
        <v>48.81</v>
      </c>
      <c r="I152" s="53" t="n">
        <v>42.7</v>
      </c>
      <c r="J152" s="53" t="n">
        <v>5.73</v>
      </c>
      <c r="K152" s="53" t="n">
        <v>4</v>
      </c>
      <c r="L152" s="53" t="n">
        <v>5</v>
      </c>
      <c r="M152" s="53" t="n">
        <v>0</v>
      </c>
      <c r="N152" s="53" t="n">
        <v>1</v>
      </c>
      <c r="O152" s="53" t="n">
        <v>4</v>
      </c>
      <c r="P152" s="53" t="n">
        <v>120</v>
      </c>
      <c r="Q152" s="53" t="n">
        <v>3</v>
      </c>
      <c r="R152" s="53" t="n">
        <v>1300</v>
      </c>
      <c r="S152" s="53" t="n">
        <v>0</v>
      </c>
      <c r="T152" s="53" t="n">
        <v>5</v>
      </c>
      <c r="U152" s="53" t="n">
        <v>0</v>
      </c>
      <c r="V152" s="53" t="n">
        <v>0</v>
      </c>
      <c r="W152" s="53" t="n">
        <v>0</v>
      </c>
      <c r="X152" s="53" t="n">
        <v>2.63</v>
      </c>
    </row>
    <row r="153">
      <c r="A153" s="53" t="inlineStr">
        <is>
          <t>Mangosteen shell</t>
        </is>
      </c>
      <c r="B153" s="53" t="n">
        <v>26.22</v>
      </c>
      <c r="C153" s="53" t="n">
        <v>15.39</v>
      </c>
      <c r="D153" s="53" t="n">
        <v>48.52</v>
      </c>
      <c r="E153" s="53" t="n">
        <v>62.28</v>
      </c>
      <c r="F153" s="53" t="n">
        <v>1.85</v>
      </c>
      <c r="G153" s="53" t="n">
        <v>32.29</v>
      </c>
      <c r="H153" s="53" t="n">
        <v>48.81</v>
      </c>
      <c r="I153" s="53" t="n">
        <v>42.7</v>
      </c>
      <c r="J153" s="53" t="n">
        <v>5.73</v>
      </c>
      <c r="K153" s="53" t="n">
        <v>4</v>
      </c>
      <c r="L153" s="53" t="n">
        <v>5</v>
      </c>
      <c r="M153" s="53" t="n">
        <v>0</v>
      </c>
      <c r="N153" s="53" t="n">
        <v>1</v>
      </c>
      <c r="O153" s="53" t="n">
        <v>4</v>
      </c>
      <c r="P153" s="53" t="n">
        <v>120</v>
      </c>
      <c r="Q153" s="53" t="n">
        <v>3</v>
      </c>
      <c r="R153" s="53" t="n">
        <v>1400</v>
      </c>
      <c r="S153" s="53" t="n">
        <v>0</v>
      </c>
      <c r="T153" s="53" t="n">
        <v>5</v>
      </c>
      <c r="U153" s="53" t="n">
        <v>0</v>
      </c>
      <c r="V153" s="53" t="n">
        <v>0</v>
      </c>
      <c r="W153" s="53" t="n">
        <v>0</v>
      </c>
      <c r="X153" s="53" t="n">
        <v>2.75</v>
      </c>
    </row>
    <row r="154">
      <c r="A154" s="53" t="inlineStr">
        <is>
          <t>Mangosteen shell</t>
        </is>
      </c>
      <c r="B154" s="53" t="n">
        <v>26.22</v>
      </c>
      <c r="C154" s="53" t="n">
        <v>15.39</v>
      </c>
      <c r="D154" s="53" t="n">
        <v>48.52</v>
      </c>
      <c r="E154" s="53" t="n">
        <v>62.28</v>
      </c>
      <c r="F154" s="53" t="n">
        <v>1.85</v>
      </c>
      <c r="G154" s="53" t="n">
        <v>32.29</v>
      </c>
      <c r="H154" s="53" t="n">
        <v>48.81</v>
      </c>
      <c r="I154" s="53" t="n">
        <v>42.7</v>
      </c>
      <c r="J154" s="53" t="n">
        <v>5.73</v>
      </c>
      <c r="K154" s="53" t="n">
        <v>4</v>
      </c>
      <c r="L154" s="53" t="n">
        <v>5</v>
      </c>
      <c r="M154" s="53" t="n">
        <v>0</v>
      </c>
      <c r="N154" s="53" t="n">
        <v>1</v>
      </c>
      <c r="O154" s="53" t="n">
        <v>4</v>
      </c>
      <c r="P154" s="53" t="n">
        <v>120</v>
      </c>
      <c r="Q154" s="53" t="n">
        <v>3</v>
      </c>
      <c r="R154" s="53" t="n">
        <v>1500</v>
      </c>
      <c r="S154" s="53" t="n">
        <v>0</v>
      </c>
      <c r="T154" s="53" t="n">
        <v>5</v>
      </c>
      <c r="U154" s="53" t="n">
        <v>0</v>
      </c>
      <c r="V154" s="53" t="n">
        <v>0</v>
      </c>
      <c r="W154" s="53" t="n">
        <v>0</v>
      </c>
      <c r="X154" s="53" t="n">
        <v>2.93</v>
      </c>
    </row>
    <row r="155">
      <c r="A155" s="53" t="inlineStr">
        <is>
          <t>Mangosteen shell</t>
        </is>
      </c>
      <c r="B155" s="53" t="n">
        <v>26.22</v>
      </c>
      <c r="C155" s="53" t="n">
        <v>15.39</v>
      </c>
      <c r="D155" s="53" t="n">
        <v>48.52</v>
      </c>
      <c r="E155" s="53" t="n">
        <v>62.28</v>
      </c>
      <c r="F155" s="53" t="n">
        <v>1.85</v>
      </c>
      <c r="G155" s="53" t="n">
        <v>32.29</v>
      </c>
      <c r="H155" s="53" t="n">
        <v>48.81</v>
      </c>
      <c r="I155" s="53" t="n">
        <v>42.7</v>
      </c>
      <c r="J155" s="53" t="n">
        <v>5.73</v>
      </c>
      <c r="K155" s="53" t="n">
        <v>4</v>
      </c>
      <c r="L155" s="53" t="n">
        <v>5</v>
      </c>
      <c r="M155" s="53" t="n">
        <v>0</v>
      </c>
      <c r="N155" s="53" t="n">
        <v>1</v>
      </c>
      <c r="O155" s="53" t="n">
        <v>4</v>
      </c>
      <c r="P155" s="53" t="n">
        <v>120</v>
      </c>
      <c r="Q155" s="53" t="n">
        <v>3</v>
      </c>
      <c r="R155" s="53" t="n">
        <v>1600</v>
      </c>
      <c r="S155" s="53" t="n">
        <v>0</v>
      </c>
      <c r="T155" s="53" t="n">
        <v>5</v>
      </c>
      <c r="U155" s="53" t="n">
        <v>0</v>
      </c>
      <c r="V155" s="53" t="n">
        <v>0</v>
      </c>
      <c r="W155" s="53" t="n">
        <v>0</v>
      </c>
      <c r="X155" s="53" t="n">
        <v>2.94</v>
      </c>
    </row>
    <row r="156">
      <c r="A156" s="53" t="inlineStr">
        <is>
          <t>Olive Shells</t>
        </is>
      </c>
      <c r="B156" s="53" t="n">
        <v>53.5</v>
      </c>
      <c r="C156" s="53" t="n">
        <v>22.3</v>
      </c>
      <c r="D156" s="53" t="n">
        <v>22.5</v>
      </c>
      <c r="E156" s="53" t="n">
        <v>89.3</v>
      </c>
      <c r="F156" s="53" t="n">
        <v>0.6</v>
      </c>
      <c r="G156" s="53" t="n">
        <v>10</v>
      </c>
      <c r="H156" s="53" t="n">
        <v>49.5</v>
      </c>
      <c r="I156" s="53" t="n">
        <v>40.7</v>
      </c>
      <c r="J156" s="53" t="n">
        <v>6.4</v>
      </c>
      <c r="K156" s="53" t="n">
        <v>4</v>
      </c>
      <c r="L156" s="53" t="n">
        <v>5</v>
      </c>
      <c r="M156" s="53" t="n">
        <v>0</v>
      </c>
      <c r="N156" s="53" t="n">
        <v>1</v>
      </c>
      <c r="O156" s="53" t="n">
        <v>4</v>
      </c>
      <c r="P156" s="53" t="n">
        <v>120</v>
      </c>
      <c r="Q156" s="53" t="n">
        <v>5</v>
      </c>
      <c r="R156" s="53" t="n">
        <v>1200</v>
      </c>
      <c r="S156" s="53" t="n">
        <v>0</v>
      </c>
      <c r="T156" s="53" t="n">
        <v>5</v>
      </c>
      <c r="U156" s="53" t="n">
        <v>0</v>
      </c>
      <c r="V156" s="53" t="n">
        <v>0</v>
      </c>
      <c r="W156" s="53" t="n">
        <v>0</v>
      </c>
      <c r="X156" s="53" t="n">
        <v>0.35</v>
      </c>
    </row>
    <row r="157">
      <c r="A157" s="53" t="inlineStr">
        <is>
          <t>Olive Shells</t>
        </is>
      </c>
      <c r="B157" s="53" t="n">
        <v>53.5</v>
      </c>
      <c r="C157" s="53" t="n">
        <v>22.3</v>
      </c>
      <c r="D157" s="53" t="n">
        <v>22.5</v>
      </c>
      <c r="E157" s="53" t="n">
        <v>89.3</v>
      </c>
      <c r="F157" s="53" t="n">
        <v>0.6</v>
      </c>
      <c r="G157" s="53" t="n">
        <v>10</v>
      </c>
      <c r="H157" s="53" t="n">
        <v>49.5</v>
      </c>
      <c r="I157" s="53" t="n">
        <v>40.7</v>
      </c>
      <c r="J157" s="53" t="n">
        <v>6.4</v>
      </c>
      <c r="K157" s="53" t="n">
        <v>4</v>
      </c>
      <c r="L157" s="53" t="n">
        <v>5</v>
      </c>
      <c r="M157" s="53" t="n">
        <v>0</v>
      </c>
      <c r="N157" s="53" t="n">
        <v>1</v>
      </c>
      <c r="O157" s="53" t="n">
        <v>4</v>
      </c>
      <c r="P157" s="53" t="n">
        <v>120</v>
      </c>
      <c r="Q157" s="53" t="n">
        <v>5</v>
      </c>
      <c r="R157" s="53" t="n">
        <v>1300</v>
      </c>
      <c r="S157" s="53" t="n">
        <v>0</v>
      </c>
      <c r="T157" s="53" t="n">
        <v>5</v>
      </c>
      <c r="U157" s="53" t="n">
        <v>0</v>
      </c>
      <c r="V157" s="53" t="n">
        <v>0</v>
      </c>
      <c r="W157" s="53" t="n">
        <v>0</v>
      </c>
      <c r="X157" s="53" t="n">
        <v>0.38</v>
      </c>
    </row>
    <row r="158">
      <c r="A158" s="53" t="inlineStr">
        <is>
          <t>Olive Shells</t>
        </is>
      </c>
      <c r="B158" s="53" t="n">
        <v>53.5</v>
      </c>
      <c r="C158" s="53" t="n">
        <v>22.3</v>
      </c>
      <c r="D158" s="53" t="n">
        <v>22.5</v>
      </c>
      <c r="E158" s="53" t="n">
        <v>89.3</v>
      </c>
      <c r="F158" s="53" t="n">
        <v>0.6</v>
      </c>
      <c r="G158" s="53" t="n">
        <v>10</v>
      </c>
      <c r="H158" s="53" t="n">
        <v>49.5</v>
      </c>
      <c r="I158" s="53" t="n">
        <v>40.7</v>
      </c>
      <c r="J158" s="53" t="n">
        <v>6.4</v>
      </c>
      <c r="K158" s="53" t="n">
        <v>4</v>
      </c>
      <c r="L158" s="53" t="n">
        <v>5</v>
      </c>
      <c r="M158" s="53" t="n">
        <v>0</v>
      </c>
      <c r="N158" s="53" t="n">
        <v>1</v>
      </c>
      <c r="O158" s="53" t="n">
        <v>4</v>
      </c>
      <c r="P158" s="53" t="n">
        <v>120</v>
      </c>
      <c r="Q158" s="53" t="n">
        <v>5</v>
      </c>
      <c r="R158" s="53" t="n">
        <v>1400</v>
      </c>
      <c r="S158" s="53" t="n">
        <v>0</v>
      </c>
      <c r="T158" s="53" t="n">
        <v>5</v>
      </c>
      <c r="U158" s="53" t="n">
        <v>0</v>
      </c>
      <c r="V158" s="53" t="n">
        <v>0</v>
      </c>
      <c r="W158" s="53" t="n">
        <v>0</v>
      </c>
      <c r="X158" s="53" t="n">
        <v>0.336</v>
      </c>
    </row>
    <row r="159">
      <c r="A159" s="53" t="inlineStr">
        <is>
          <t>Olive Shells</t>
        </is>
      </c>
      <c r="B159" s="53" t="n">
        <v>53.5</v>
      </c>
      <c r="C159" s="53" t="n">
        <v>22.3</v>
      </c>
      <c r="D159" s="53" t="n">
        <v>22.5</v>
      </c>
      <c r="E159" s="53" t="n">
        <v>89.3</v>
      </c>
      <c r="F159" s="53" t="n">
        <v>0.6</v>
      </c>
      <c r="G159" s="53" t="n">
        <v>10</v>
      </c>
      <c r="H159" s="53" t="n">
        <v>49.5</v>
      </c>
      <c r="I159" s="53" t="n">
        <v>40.7</v>
      </c>
      <c r="J159" s="53" t="n">
        <v>6.4</v>
      </c>
      <c r="K159" s="53" t="n">
        <v>4</v>
      </c>
      <c r="L159" s="53" t="n">
        <v>5</v>
      </c>
      <c r="M159" s="53" t="n">
        <v>1</v>
      </c>
      <c r="N159" s="53" t="n">
        <v>1</v>
      </c>
      <c r="O159" s="53" t="n">
        <v>4</v>
      </c>
      <c r="P159" s="53" t="n">
        <v>120</v>
      </c>
      <c r="Q159" s="53" t="n">
        <v>5</v>
      </c>
      <c r="R159" s="53" t="n">
        <v>300</v>
      </c>
      <c r="S159" s="53" t="n">
        <v>1</v>
      </c>
      <c r="T159" s="53" t="n">
        <v>5</v>
      </c>
      <c r="U159" s="53" t="n">
        <v>120</v>
      </c>
      <c r="V159" s="53" t="n">
        <v>5</v>
      </c>
      <c r="W159" s="53" t="n">
        <v>1300</v>
      </c>
      <c r="X159" s="53" t="n">
        <v>0.4</v>
      </c>
    </row>
    <row r="160">
      <c r="A160" s="53" t="inlineStr">
        <is>
          <t>Olive Shells</t>
        </is>
      </c>
      <c r="B160" s="53" t="n">
        <v>53.5</v>
      </c>
      <c r="C160" s="53" t="n">
        <v>22.3</v>
      </c>
      <c r="D160" s="53" t="n">
        <v>22.5</v>
      </c>
      <c r="E160" s="53" t="n">
        <v>89.3</v>
      </c>
      <c r="F160" s="53" t="n">
        <v>0.6</v>
      </c>
      <c r="G160" s="53" t="n">
        <v>10</v>
      </c>
      <c r="H160" s="53" t="n">
        <v>49.5</v>
      </c>
      <c r="I160" s="53" t="n">
        <v>40.7</v>
      </c>
      <c r="J160" s="53" t="n">
        <v>6.4</v>
      </c>
      <c r="K160" s="53" t="n">
        <v>4</v>
      </c>
      <c r="L160" s="53" t="n">
        <v>5</v>
      </c>
      <c r="M160" s="53" t="n">
        <v>1</v>
      </c>
      <c r="N160" s="53" t="n">
        <v>1</v>
      </c>
      <c r="O160" s="53" t="n">
        <v>4</v>
      </c>
      <c r="P160" s="53" t="n">
        <v>120</v>
      </c>
      <c r="Q160" s="53" t="n">
        <v>5</v>
      </c>
      <c r="R160" s="53" t="n">
        <v>300</v>
      </c>
      <c r="S160" s="53" t="n">
        <v>1</v>
      </c>
      <c r="T160" s="53" t="n">
        <v>5</v>
      </c>
      <c r="U160" s="53" t="n">
        <v>120</v>
      </c>
      <c r="V160" s="53" t="n">
        <v>5</v>
      </c>
      <c r="W160" s="53" t="n">
        <v>1300</v>
      </c>
      <c r="X160" s="53" t="n">
        <v>0.35</v>
      </c>
    </row>
    <row r="161">
      <c r="A161" s="53" t="inlineStr">
        <is>
          <t>Olive Shells</t>
        </is>
      </c>
      <c r="B161" s="53" t="n">
        <v>53.5</v>
      </c>
      <c r="C161" s="53" t="n">
        <v>22.3</v>
      </c>
      <c r="D161" s="53" t="n">
        <v>22.5</v>
      </c>
      <c r="E161" s="53" t="n">
        <v>89.3</v>
      </c>
      <c r="F161" s="53" t="n">
        <v>0.6</v>
      </c>
      <c r="G161" s="53" t="n">
        <v>10</v>
      </c>
      <c r="H161" s="53" t="n">
        <v>49.5</v>
      </c>
      <c r="I161" s="53" t="n">
        <v>40.7</v>
      </c>
      <c r="J161" s="53" t="n">
        <v>6.4</v>
      </c>
      <c r="K161" s="53" t="n">
        <v>4</v>
      </c>
      <c r="L161" s="53" t="n">
        <v>5</v>
      </c>
      <c r="M161" s="53" t="n">
        <v>1</v>
      </c>
      <c r="N161" s="53" t="n">
        <v>1</v>
      </c>
      <c r="O161" s="53" t="n">
        <v>4</v>
      </c>
      <c r="P161" s="53" t="n">
        <v>120</v>
      </c>
      <c r="Q161" s="53" t="n">
        <v>5</v>
      </c>
      <c r="R161" s="53" t="n">
        <v>300</v>
      </c>
      <c r="S161" s="53" t="n">
        <v>1</v>
      </c>
      <c r="T161" s="53" t="n">
        <v>5</v>
      </c>
      <c r="U161" s="53" t="n">
        <v>120</v>
      </c>
      <c r="V161" s="53" t="n">
        <v>5</v>
      </c>
      <c r="W161" s="53" t="n">
        <v>1300</v>
      </c>
      <c r="X161" s="53" t="n">
        <v>0.35</v>
      </c>
    </row>
    <row r="162">
      <c r="A162" s="53" t="inlineStr">
        <is>
          <t>Olive stone</t>
        </is>
      </c>
      <c r="B162" s="53" t="n">
        <v>53.5</v>
      </c>
      <c r="C162" s="53" t="n">
        <v>22.3</v>
      </c>
      <c r="D162" s="53" t="n">
        <v>22.5</v>
      </c>
      <c r="E162" s="53" t="n">
        <v>89.3</v>
      </c>
      <c r="F162" s="53" t="n">
        <v>0.6</v>
      </c>
      <c r="G162" s="53" t="n">
        <v>10</v>
      </c>
      <c r="H162" s="53" t="n">
        <v>49.5</v>
      </c>
      <c r="I162" s="53" t="n">
        <v>40.7</v>
      </c>
      <c r="J162" s="53" t="n">
        <v>6.4</v>
      </c>
      <c r="K162" s="53" t="n">
        <v>4</v>
      </c>
      <c r="L162" s="53" t="n">
        <v>5</v>
      </c>
      <c r="M162" s="53" t="n">
        <v>0</v>
      </c>
      <c r="N162" s="53" t="n">
        <v>1</v>
      </c>
      <c r="O162" s="53" t="n">
        <v>4</v>
      </c>
      <c r="P162" s="53" t="n">
        <v>181.664425218903</v>
      </c>
      <c r="Q162" s="53" t="n">
        <v>4.71802967142185</v>
      </c>
      <c r="R162" s="53" t="n">
        <v>800</v>
      </c>
      <c r="S162" s="53" t="n">
        <v>0</v>
      </c>
      <c r="T162" s="53" t="n">
        <v>5</v>
      </c>
      <c r="U162" s="53" t="n">
        <v>0</v>
      </c>
      <c r="V162" s="53" t="n">
        <v>0</v>
      </c>
      <c r="W162" s="53" t="n">
        <v>0</v>
      </c>
      <c r="X162" s="53" t="n">
        <v>15.2</v>
      </c>
    </row>
    <row r="163">
      <c r="A163" s="53" t="inlineStr">
        <is>
          <t>Olive stone</t>
        </is>
      </c>
      <c r="B163" s="53" t="n">
        <v>53.5</v>
      </c>
      <c r="C163" s="53" t="n">
        <v>22.3</v>
      </c>
      <c r="D163" s="53" t="n">
        <v>22.5</v>
      </c>
      <c r="E163" s="53" t="n">
        <v>89.3</v>
      </c>
      <c r="F163" s="53" t="n">
        <v>0.6</v>
      </c>
      <c r="G163" s="53" t="n">
        <v>10</v>
      </c>
      <c r="H163" s="53" t="n">
        <v>49.5</v>
      </c>
      <c r="I163" s="53" t="n">
        <v>40.7</v>
      </c>
      <c r="J163" s="53" t="n">
        <v>6.4</v>
      </c>
      <c r="K163" s="53" t="n">
        <v>4</v>
      </c>
      <c r="L163" s="53" t="n">
        <v>5</v>
      </c>
      <c r="M163" s="53" t="n">
        <v>0</v>
      </c>
      <c r="N163" s="53" t="n">
        <v>1</v>
      </c>
      <c r="O163" s="53" t="n">
        <v>4</v>
      </c>
      <c r="P163" s="53" t="n">
        <v>151.200728137374</v>
      </c>
      <c r="Q163" s="53" t="n">
        <v>4.75426310507278</v>
      </c>
      <c r="R163" s="53" t="n">
        <v>1000</v>
      </c>
      <c r="S163" s="53" t="n">
        <v>0</v>
      </c>
      <c r="T163" s="53" t="n">
        <v>5</v>
      </c>
      <c r="U163" s="53" t="n">
        <v>0</v>
      </c>
      <c r="V163" s="53" t="n">
        <v>0</v>
      </c>
      <c r="W163" s="53" t="n">
        <v>0</v>
      </c>
      <c r="X163" s="53" t="n">
        <v>16.9</v>
      </c>
    </row>
    <row r="164">
      <c r="A164" s="53" t="inlineStr">
        <is>
          <t>Olive stone</t>
        </is>
      </c>
      <c r="B164" s="53" t="n">
        <v>53.5</v>
      </c>
      <c r="C164" s="53" t="n">
        <v>22.3</v>
      </c>
      <c r="D164" s="53" t="n">
        <v>22.5</v>
      </c>
      <c r="E164" s="53" t="n">
        <v>89.3</v>
      </c>
      <c r="F164" s="53" t="n">
        <v>0.6</v>
      </c>
      <c r="G164" s="53" t="n">
        <v>10</v>
      </c>
      <c r="H164" s="53" t="n">
        <v>49.5</v>
      </c>
      <c r="I164" s="53" t="n">
        <v>40.7</v>
      </c>
      <c r="J164" s="53" t="n">
        <v>6.4</v>
      </c>
      <c r="K164" s="53" t="n">
        <v>4</v>
      </c>
      <c r="L164" s="53" t="n">
        <v>5</v>
      </c>
      <c r="M164" s="53" t="n">
        <v>0</v>
      </c>
      <c r="N164" s="53" t="n">
        <v>1</v>
      </c>
      <c r="O164" s="53" t="n">
        <v>4</v>
      </c>
      <c r="P164" s="53" t="n">
        <v>149.411135890115</v>
      </c>
      <c r="Q164" s="53" t="n">
        <v>4.77928127661594</v>
      </c>
      <c r="R164" s="53" t="n">
        <v>1200</v>
      </c>
      <c r="S164" s="53" t="n">
        <v>0</v>
      </c>
      <c r="T164" s="53" t="n">
        <v>5</v>
      </c>
      <c r="U164" s="53" t="n">
        <v>0</v>
      </c>
      <c r="V164" s="53" t="n">
        <v>0</v>
      </c>
      <c r="W164" s="53" t="n">
        <v>0</v>
      </c>
      <c r="X164" s="53" t="n">
        <v>18.9</v>
      </c>
    </row>
    <row r="165">
      <c r="A165" s="53" t="inlineStr">
        <is>
          <t>Olive stone</t>
        </is>
      </c>
      <c r="B165" s="53" t="n">
        <v>53.5</v>
      </c>
      <c r="C165" s="53" t="n">
        <v>22.3</v>
      </c>
      <c r="D165" s="53" t="n">
        <v>22.5</v>
      </c>
      <c r="E165" s="53" t="n">
        <v>89.3</v>
      </c>
      <c r="F165" s="53" t="n">
        <v>0.6</v>
      </c>
      <c r="G165" s="53" t="n">
        <v>10</v>
      </c>
      <c r="H165" s="53" t="n">
        <v>49.5</v>
      </c>
      <c r="I165" s="53" t="n">
        <v>40.7</v>
      </c>
      <c r="J165" s="53" t="n">
        <v>6.4</v>
      </c>
      <c r="K165" s="53" t="n">
        <v>4</v>
      </c>
      <c r="L165" s="53" t="n">
        <v>5</v>
      </c>
      <c r="M165" s="53" t="n">
        <v>0</v>
      </c>
      <c r="N165" s="53" t="n">
        <v>1</v>
      </c>
      <c r="O165" s="53" t="n">
        <v>4</v>
      </c>
      <c r="P165" s="53" t="n">
        <v>98.2428765713324</v>
      </c>
      <c r="Q165" s="53" t="n">
        <v>5</v>
      </c>
      <c r="R165" s="53" t="n">
        <v>1400</v>
      </c>
      <c r="S165" s="53" t="n">
        <v>0</v>
      </c>
      <c r="T165" s="53" t="n">
        <v>5</v>
      </c>
      <c r="U165" s="53" t="n">
        <v>0</v>
      </c>
      <c r="V165" s="53" t="n">
        <v>0</v>
      </c>
      <c r="W165" s="53" t="n">
        <v>0</v>
      </c>
      <c r="X165" s="53" t="n">
        <v>20.3</v>
      </c>
    </row>
    <row r="166">
      <c r="A166" s="53" t="inlineStr">
        <is>
          <t>Olive stone</t>
        </is>
      </c>
      <c r="B166" s="53" t="n">
        <v>53.5</v>
      </c>
      <c r="C166" s="53" t="n">
        <v>22.3</v>
      </c>
      <c r="D166" s="53" t="n">
        <v>22.5</v>
      </c>
      <c r="E166" s="53" t="n">
        <v>89.3</v>
      </c>
      <c r="F166" s="53" t="n">
        <v>0.6</v>
      </c>
      <c r="G166" s="53" t="n">
        <v>10</v>
      </c>
      <c r="H166" s="53" t="n">
        <v>49.5</v>
      </c>
      <c r="I166" s="53" t="n">
        <v>40.7</v>
      </c>
      <c r="J166" s="53" t="n">
        <v>6.4</v>
      </c>
      <c r="K166" s="53" t="n">
        <v>4</v>
      </c>
      <c r="L166" s="53" t="n">
        <v>5</v>
      </c>
      <c r="M166" s="53" t="n">
        <v>0</v>
      </c>
      <c r="N166" s="53" t="n">
        <v>1</v>
      </c>
      <c r="O166" s="53" t="n">
        <v>4</v>
      </c>
      <c r="P166" s="53" t="n">
        <v>134.943439116465</v>
      </c>
      <c r="Q166" s="53" t="n">
        <v>4.16265046788359</v>
      </c>
      <c r="R166" s="53" t="n">
        <v>1600</v>
      </c>
      <c r="S166" s="53" t="n">
        <v>0</v>
      </c>
      <c r="T166" s="53" t="n">
        <v>5</v>
      </c>
      <c r="U166" s="53" t="n">
        <v>0</v>
      </c>
      <c r="V166" s="53" t="n">
        <v>0</v>
      </c>
      <c r="W166" s="53" t="n">
        <v>0</v>
      </c>
      <c r="X166" s="53" t="n">
        <v>22.9</v>
      </c>
    </row>
    <row r="167">
      <c r="A167" s="53" t="inlineStr">
        <is>
          <t>Olive stone</t>
        </is>
      </c>
      <c r="B167" s="53" t="n">
        <v>53.5</v>
      </c>
      <c r="C167" s="53" t="n">
        <v>22.3</v>
      </c>
      <c r="D167" s="53" t="n">
        <v>22.5</v>
      </c>
      <c r="E167" s="53" t="n">
        <v>89.3</v>
      </c>
      <c r="F167" s="53" t="n">
        <v>0.6</v>
      </c>
      <c r="G167" s="53" t="n">
        <v>10</v>
      </c>
      <c r="H167" s="53" t="n">
        <v>49.5</v>
      </c>
      <c r="I167" s="53" t="n">
        <v>40.7</v>
      </c>
      <c r="J167" s="53" t="n">
        <v>6.4</v>
      </c>
      <c r="K167" s="53" t="n">
        <v>4</v>
      </c>
      <c r="L167" s="53" t="n">
        <v>5</v>
      </c>
      <c r="M167" s="53" t="n">
        <v>0</v>
      </c>
      <c r="N167" s="53" t="n">
        <v>1</v>
      </c>
      <c r="O167" s="53" t="n">
        <v>4</v>
      </c>
      <c r="P167" s="53" t="n">
        <v>120</v>
      </c>
      <c r="Q167" s="53" t="n">
        <v>5</v>
      </c>
      <c r="R167" s="53" t="n">
        <v>2000</v>
      </c>
      <c r="S167" s="53" t="n">
        <v>0</v>
      </c>
      <c r="T167" s="53" t="n">
        <v>5</v>
      </c>
      <c r="U167" s="53" t="n">
        <v>0</v>
      </c>
      <c r="V167" s="53" t="n">
        <v>0</v>
      </c>
      <c r="W167" s="53" t="n">
        <v>0</v>
      </c>
      <c r="X167" s="53" t="n">
        <v>28.2</v>
      </c>
    </row>
    <row r="168">
      <c r="A168" s="53" t="inlineStr">
        <is>
          <t>Paulownia wood</t>
        </is>
      </c>
      <c r="B168" s="53" t="n">
        <v>44.25</v>
      </c>
      <c r="C168" s="53" t="n">
        <v>24.8</v>
      </c>
      <c r="D168" s="53" t="n">
        <v>22.61</v>
      </c>
      <c r="E168" s="53" t="n">
        <v>71.8</v>
      </c>
      <c r="F168" s="53" t="n">
        <v>1.06</v>
      </c>
      <c r="G168" s="53" t="n">
        <v>20.6</v>
      </c>
      <c r="H168" s="53" t="n">
        <v>44.73</v>
      </c>
      <c r="I168" s="53" t="n">
        <v>48.28</v>
      </c>
      <c r="J168" s="53" t="n">
        <v>6.1</v>
      </c>
      <c r="K168" s="53" t="n">
        <v>1</v>
      </c>
      <c r="L168" s="53" t="n">
        <v>5</v>
      </c>
      <c r="M168" s="53" t="n">
        <v>1</v>
      </c>
      <c r="N168" s="53" t="n">
        <v>1</v>
      </c>
      <c r="O168" s="53" t="n">
        <v>4</v>
      </c>
      <c r="P168" s="53" t="n">
        <v>120</v>
      </c>
      <c r="Q168" s="53" t="n">
        <v>5</v>
      </c>
      <c r="R168" s="53" t="n">
        <v>600</v>
      </c>
      <c r="S168" s="53" t="n">
        <v>1</v>
      </c>
      <c r="T168" s="53" t="n">
        <v>5</v>
      </c>
      <c r="U168" s="53" t="n">
        <v>120</v>
      </c>
      <c r="V168" s="53" t="n">
        <v>5</v>
      </c>
      <c r="W168" s="53" t="n">
        <v>1000</v>
      </c>
      <c r="X168" s="53" t="n">
        <v>3.81</v>
      </c>
    </row>
    <row r="169">
      <c r="A169" s="53" t="inlineStr">
        <is>
          <t>Paulownia wood</t>
        </is>
      </c>
      <c r="B169" s="53" t="n">
        <v>44.25</v>
      </c>
      <c r="C169" s="53" t="n">
        <v>24.8</v>
      </c>
      <c r="D169" s="53" t="n">
        <v>22.61</v>
      </c>
      <c r="E169" s="53" t="n">
        <v>71.8</v>
      </c>
      <c r="F169" s="53" t="n">
        <v>1.06</v>
      </c>
      <c r="G169" s="53" t="n">
        <v>20.6</v>
      </c>
      <c r="H169" s="53" t="n">
        <v>44.73</v>
      </c>
      <c r="I169" s="53" t="n">
        <v>48.28</v>
      </c>
      <c r="J169" s="53" t="n">
        <v>6.1</v>
      </c>
      <c r="K169" s="53" t="n">
        <v>1</v>
      </c>
      <c r="L169" s="53" t="n">
        <v>5</v>
      </c>
      <c r="M169" s="53" t="n">
        <v>1</v>
      </c>
      <c r="N169" s="53" t="n">
        <v>1</v>
      </c>
      <c r="O169" s="53" t="n">
        <v>4</v>
      </c>
      <c r="P169" s="53" t="n">
        <v>120</v>
      </c>
      <c r="Q169" s="53" t="n">
        <v>5</v>
      </c>
      <c r="R169" s="53" t="n">
        <v>600</v>
      </c>
      <c r="S169" s="53" t="n">
        <v>1</v>
      </c>
      <c r="T169" s="53" t="n">
        <v>5</v>
      </c>
      <c r="U169" s="53" t="n">
        <v>120</v>
      </c>
      <c r="V169" s="53" t="n">
        <v>5</v>
      </c>
      <c r="W169" s="53" t="n">
        <v>1100</v>
      </c>
      <c r="X169" s="53" t="n">
        <v>3.95</v>
      </c>
    </row>
    <row r="170">
      <c r="A170" s="53" t="inlineStr">
        <is>
          <t>Paulownia wood</t>
        </is>
      </c>
      <c r="B170" s="53" t="n">
        <v>44.25</v>
      </c>
      <c r="C170" s="53" t="n">
        <v>24.8</v>
      </c>
      <c r="D170" s="53" t="n">
        <v>22.61</v>
      </c>
      <c r="E170" s="53" t="n">
        <v>71.8</v>
      </c>
      <c r="F170" s="53" t="n">
        <v>1.06</v>
      </c>
      <c r="G170" s="53" t="n">
        <v>20.6</v>
      </c>
      <c r="H170" s="53" t="n">
        <v>44.73</v>
      </c>
      <c r="I170" s="53" t="n">
        <v>48.28</v>
      </c>
      <c r="J170" s="53" t="n">
        <v>6.1</v>
      </c>
      <c r="K170" s="53" t="n">
        <v>1</v>
      </c>
      <c r="L170" s="53" t="n">
        <v>5</v>
      </c>
      <c r="M170" s="53" t="n">
        <v>1</v>
      </c>
      <c r="N170" s="53" t="n">
        <v>1</v>
      </c>
      <c r="O170" s="53" t="n">
        <v>4</v>
      </c>
      <c r="P170" s="53" t="n">
        <v>120</v>
      </c>
      <c r="Q170" s="53" t="n">
        <v>5</v>
      </c>
      <c r="R170" s="53" t="n">
        <v>600</v>
      </c>
      <c r="S170" s="53" t="n">
        <v>1</v>
      </c>
      <c r="T170" s="53" t="n">
        <v>5</v>
      </c>
      <c r="U170" s="53" t="n">
        <v>120</v>
      </c>
      <c r="V170" s="53" t="n">
        <v>5</v>
      </c>
      <c r="W170" s="53" t="n">
        <v>1200</v>
      </c>
      <c r="X170" s="53" t="n">
        <v>4.04</v>
      </c>
    </row>
    <row r="171">
      <c r="A171" s="53" t="inlineStr">
        <is>
          <t>Paulownia wood</t>
        </is>
      </c>
      <c r="B171" s="53" t="n">
        <v>44.25</v>
      </c>
      <c r="C171" s="53" t="n">
        <v>24.8</v>
      </c>
      <c r="D171" s="53" t="n">
        <v>22.61</v>
      </c>
      <c r="E171" s="53" t="n">
        <v>71.8</v>
      </c>
      <c r="F171" s="53" t="n">
        <v>1.06</v>
      </c>
      <c r="G171" s="53" t="n">
        <v>20.6</v>
      </c>
      <c r="H171" s="53" t="n">
        <v>44.73</v>
      </c>
      <c r="I171" s="53" t="n">
        <v>48.28</v>
      </c>
      <c r="J171" s="53" t="n">
        <v>6.1</v>
      </c>
      <c r="K171" s="53" t="n">
        <v>1</v>
      </c>
      <c r="L171" s="53" t="n">
        <v>5</v>
      </c>
      <c r="M171" s="53" t="n">
        <v>1</v>
      </c>
      <c r="N171" s="53" t="n">
        <v>1</v>
      </c>
      <c r="O171" s="53" t="n">
        <v>4</v>
      </c>
      <c r="P171" s="53" t="n">
        <v>120</v>
      </c>
      <c r="Q171" s="53" t="n">
        <v>5</v>
      </c>
      <c r="R171" s="53" t="n">
        <v>600</v>
      </c>
      <c r="S171" s="53" t="n">
        <v>1</v>
      </c>
      <c r="T171" s="53" t="n">
        <v>5</v>
      </c>
      <c r="U171" s="53" t="n">
        <v>120</v>
      </c>
      <c r="V171" s="53" t="n">
        <v>5</v>
      </c>
      <c r="W171" s="53" t="n">
        <v>1300</v>
      </c>
      <c r="X171" s="53" t="n">
        <v>4.11</v>
      </c>
    </row>
    <row r="172">
      <c r="A172" s="53" t="inlineStr">
        <is>
          <t>Paulownia wood</t>
        </is>
      </c>
      <c r="B172" s="53" t="n">
        <v>44.25</v>
      </c>
      <c r="C172" s="53" t="n">
        <v>24.8</v>
      </c>
      <c r="D172" s="53" t="n">
        <v>22.61</v>
      </c>
      <c r="E172" s="53" t="n">
        <v>71.8</v>
      </c>
      <c r="F172" s="53" t="n">
        <v>1.06</v>
      </c>
      <c r="G172" s="53" t="n">
        <v>20.6</v>
      </c>
      <c r="H172" s="53" t="n">
        <v>44.73</v>
      </c>
      <c r="I172" s="53" t="n">
        <v>48.28</v>
      </c>
      <c r="J172" s="53" t="n">
        <v>6.1</v>
      </c>
      <c r="K172" s="53" t="n">
        <v>1</v>
      </c>
      <c r="L172" s="53" t="n">
        <v>5</v>
      </c>
      <c r="M172" s="53" t="n">
        <v>1</v>
      </c>
      <c r="N172" s="53" t="n">
        <v>1</v>
      </c>
      <c r="O172" s="53" t="n">
        <v>4</v>
      </c>
      <c r="P172" s="53" t="n">
        <v>120</v>
      </c>
      <c r="Q172" s="53" t="n">
        <v>5</v>
      </c>
      <c r="R172" s="53" t="n">
        <v>600</v>
      </c>
      <c r="S172" s="53" t="n">
        <v>1</v>
      </c>
      <c r="T172" s="53" t="n">
        <v>5</v>
      </c>
      <c r="U172" s="53" t="n">
        <v>120</v>
      </c>
      <c r="V172" s="53" t="n">
        <v>5</v>
      </c>
      <c r="W172" s="53" t="n">
        <v>1400</v>
      </c>
      <c r="X172" s="53" t="n">
        <v>4.2</v>
      </c>
    </row>
    <row r="173">
      <c r="A173" s="53" t="inlineStr">
        <is>
          <t>Peat moss</t>
        </is>
      </c>
      <c r="B173" s="53" t="n">
        <v>55</v>
      </c>
      <c r="C173" s="53" t="n">
        <v>65</v>
      </c>
      <c r="D173" s="53" t="n">
        <v>3</v>
      </c>
      <c r="E173" s="53" t="n">
        <v>69.2</v>
      </c>
      <c r="F173" s="53" t="n">
        <v>5.16</v>
      </c>
      <c r="G173" s="53" t="n">
        <v>25.3</v>
      </c>
      <c r="H173" s="53" t="n">
        <v>53.6</v>
      </c>
      <c r="I173" s="53" t="n">
        <v>32.9</v>
      </c>
      <c r="J173" s="53" t="n">
        <v>5.7</v>
      </c>
      <c r="K173" s="53" t="n">
        <v>4</v>
      </c>
      <c r="L173" s="53" t="n">
        <v>2</v>
      </c>
      <c r="M173" s="53" t="n">
        <v>0</v>
      </c>
      <c r="N173" s="53" t="n">
        <v>1</v>
      </c>
      <c r="O173" s="53" t="n">
        <v>4</v>
      </c>
      <c r="P173" s="53" t="n">
        <v>60</v>
      </c>
      <c r="Q173" s="53" t="n">
        <v>5</v>
      </c>
      <c r="R173" s="53" t="n">
        <v>600</v>
      </c>
      <c r="S173" s="53" t="n">
        <v>0</v>
      </c>
      <c r="T173" s="53" t="n">
        <v>5</v>
      </c>
      <c r="U173" s="53" t="n">
        <v>0</v>
      </c>
      <c r="V173" s="53" t="n">
        <v>0</v>
      </c>
      <c r="W173" s="53" t="n">
        <v>0</v>
      </c>
      <c r="X173" s="53" t="n">
        <v>1.83</v>
      </c>
    </row>
    <row r="174">
      <c r="A174" s="53" t="inlineStr">
        <is>
          <t>Peat moss</t>
        </is>
      </c>
      <c r="B174" s="53" t="n">
        <v>55</v>
      </c>
      <c r="C174" s="53" t="n">
        <v>65</v>
      </c>
      <c r="D174" s="53" t="n">
        <v>3</v>
      </c>
      <c r="E174" s="53" t="n">
        <v>69.2</v>
      </c>
      <c r="F174" s="53" t="n">
        <v>5.16</v>
      </c>
      <c r="G174" s="53" t="n">
        <v>25.3</v>
      </c>
      <c r="H174" s="53" t="n">
        <v>53.6</v>
      </c>
      <c r="I174" s="53" t="n">
        <v>32.9</v>
      </c>
      <c r="J174" s="53" t="n">
        <v>5.7</v>
      </c>
      <c r="K174" s="53" t="n">
        <v>4</v>
      </c>
      <c r="L174" s="53" t="n">
        <v>2</v>
      </c>
      <c r="M174" s="53" t="n">
        <v>0</v>
      </c>
      <c r="N174" s="53" t="n">
        <v>1</v>
      </c>
      <c r="O174" s="53" t="n">
        <v>4</v>
      </c>
      <c r="P174" s="53" t="n">
        <v>60</v>
      </c>
      <c r="Q174" s="53" t="n">
        <v>5</v>
      </c>
      <c r="R174" s="53" t="n">
        <v>900</v>
      </c>
      <c r="S174" s="53" t="n">
        <v>0</v>
      </c>
      <c r="T174" s="53" t="n">
        <v>5</v>
      </c>
      <c r="U174" s="53" t="n">
        <v>0</v>
      </c>
      <c r="V174" s="53" t="n">
        <v>0</v>
      </c>
      <c r="W174" s="53" t="n">
        <v>0</v>
      </c>
      <c r="X174" s="53" t="n">
        <v>2.52</v>
      </c>
    </row>
    <row r="175">
      <c r="A175" s="53" t="inlineStr">
        <is>
          <t>Peat moss</t>
        </is>
      </c>
      <c r="B175" s="53" t="n">
        <v>55</v>
      </c>
      <c r="C175" s="53" t="n">
        <v>65</v>
      </c>
      <c r="D175" s="53" t="n">
        <v>3</v>
      </c>
      <c r="E175" s="53" t="n">
        <v>69.2</v>
      </c>
      <c r="F175" s="53" t="n">
        <v>5.16</v>
      </c>
      <c r="G175" s="53" t="n">
        <v>25.3</v>
      </c>
      <c r="H175" s="53" t="n">
        <v>53.6</v>
      </c>
      <c r="I175" s="53" t="n">
        <v>32.9</v>
      </c>
      <c r="J175" s="53" t="n">
        <v>5.7</v>
      </c>
      <c r="K175" s="53" t="n">
        <v>4</v>
      </c>
      <c r="L175" s="53" t="n">
        <v>2</v>
      </c>
      <c r="M175" s="53" t="n">
        <v>0</v>
      </c>
      <c r="N175" s="53" t="n">
        <v>1</v>
      </c>
      <c r="O175" s="53" t="n">
        <v>4</v>
      </c>
      <c r="P175" s="53" t="n">
        <v>60</v>
      </c>
      <c r="Q175" s="53" t="n">
        <v>5</v>
      </c>
      <c r="R175" s="53" t="n">
        <v>1100</v>
      </c>
      <c r="S175" s="53" t="n">
        <v>0</v>
      </c>
      <c r="T175" s="53" t="n">
        <v>5</v>
      </c>
      <c r="U175" s="53" t="n">
        <v>0</v>
      </c>
      <c r="V175" s="53" t="n">
        <v>0</v>
      </c>
      <c r="W175" s="53" t="n">
        <v>0</v>
      </c>
      <c r="X175" s="53" t="n">
        <v>5.11</v>
      </c>
    </row>
    <row r="176">
      <c r="A176" s="53" t="inlineStr">
        <is>
          <t>Peat moss</t>
        </is>
      </c>
      <c r="B176" s="53" t="n">
        <v>55</v>
      </c>
      <c r="C176" s="53" t="n">
        <v>65</v>
      </c>
      <c r="D176" s="53" t="n">
        <v>3</v>
      </c>
      <c r="E176" s="53" t="n">
        <v>69.2</v>
      </c>
      <c r="F176" s="53" t="n">
        <v>5.16</v>
      </c>
      <c r="G176" s="53" t="n">
        <v>25.3</v>
      </c>
      <c r="H176" s="53" t="n">
        <v>53.6</v>
      </c>
      <c r="I176" s="53" t="n">
        <v>32.9</v>
      </c>
      <c r="J176" s="53" t="n">
        <v>5.7</v>
      </c>
      <c r="K176" s="53" t="n">
        <v>4</v>
      </c>
      <c r="L176" s="53" t="n">
        <v>2</v>
      </c>
      <c r="M176" s="53" t="n">
        <v>0</v>
      </c>
      <c r="N176" s="53" t="n">
        <v>1</v>
      </c>
      <c r="O176" s="53" t="n">
        <v>4</v>
      </c>
      <c r="P176" s="53" t="n">
        <v>60</v>
      </c>
      <c r="Q176" s="53" t="n">
        <v>5</v>
      </c>
      <c r="R176" s="53" t="n">
        <v>1400</v>
      </c>
      <c r="S176" s="53" t="n">
        <v>0</v>
      </c>
      <c r="T176" s="53" t="n">
        <v>5</v>
      </c>
      <c r="U176" s="53" t="n">
        <v>0</v>
      </c>
      <c r="V176" s="53" t="n">
        <v>0</v>
      </c>
      <c r="W176" s="53" t="n">
        <v>0</v>
      </c>
      <c r="X176" s="53" t="n">
        <v>8.359999999999999</v>
      </c>
    </row>
    <row r="177">
      <c r="A177" s="53" t="inlineStr">
        <is>
          <t>Peat moss</t>
        </is>
      </c>
      <c r="B177" s="53" t="n">
        <v>55</v>
      </c>
      <c r="C177" s="53" t="n">
        <v>65</v>
      </c>
      <c r="D177" s="53" t="n">
        <v>3</v>
      </c>
      <c r="E177" s="53" t="n">
        <v>69.2</v>
      </c>
      <c r="F177" s="53" t="n">
        <v>5.16</v>
      </c>
      <c r="G177" s="53" t="n">
        <v>25.3</v>
      </c>
      <c r="H177" s="53" t="n">
        <v>53.6</v>
      </c>
      <c r="I177" s="53" t="n">
        <v>32.9</v>
      </c>
      <c r="J177" s="53" t="n">
        <v>5.7</v>
      </c>
      <c r="K177" s="53" t="n">
        <v>4</v>
      </c>
      <c r="L177" s="53" t="n">
        <v>2</v>
      </c>
      <c r="M177" s="53" t="n">
        <v>1</v>
      </c>
      <c r="N177" s="53" t="n">
        <v>1</v>
      </c>
      <c r="O177" s="53" t="n">
        <v>4</v>
      </c>
      <c r="P177" s="53" t="n">
        <v>60</v>
      </c>
      <c r="Q177" s="53" t="n">
        <v>5</v>
      </c>
      <c r="R177" s="53" t="n">
        <v>600</v>
      </c>
      <c r="S177" s="53" t="n">
        <v>1</v>
      </c>
      <c r="T177" s="53" t="n">
        <v>6</v>
      </c>
      <c r="U177" s="53" t="n">
        <v>3</v>
      </c>
      <c r="V177" s="53" t="n">
        <v>5</v>
      </c>
      <c r="W177" s="53" t="n">
        <v>300</v>
      </c>
      <c r="X177" s="53" t="n">
        <v>1.75</v>
      </c>
    </row>
    <row r="178">
      <c r="A178" s="53" t="inlineStr">
        <is>
          <t>Peat moss</t>
        </is>
      </c>
      <c r="B178" s="53" t="n">
        <v>55</v>
      </c>
      <c r="C178" s="53" t="n">
        <v>65</v>
      </c>
      <c r="D178" s="53" t="n">
        <v>3</v>
      </c>
      <c r="E178" s="53" t="n">
        <v>69.2</v>
      </c>
      <c r="F178" s="53" t="n">
        <v>5.16</v>
      </c>
      <c r="G178" s="53" t="n">
        <v>25.3</v>
      </c>
      <c r="H178" s="53" t="n">
        <v>53.6</v>
      </c>
      <c r="I178" s="53" t="n">
        <v>32.9</v>
      </c>
      <c r="J178" s="53" t="n">
        <v>5.7</v>
      </c>
      <c r="K178" s="53" t="n">
        <v>4</v>
      </c>
      <c r="L178" s="53" t="n">
        <v>2</v>
      </c>
      <c r="M178" s="53" t="n">
        <v>1</v>
      </c>
      <c r="N178" s="53" t="n">
        <v>1</v>
      </c>
      <c r="O178" s="53" t="n">
        <v>4</v>
      </c>
      <c r="P178" s="53" t="n">
        <v>60</v>
      </c>
      <c r="Q178" s="53" t="n">
        <v>5</v>
      </c>
      <c r="R178" s="53" t="n">
        <v>900</v>
      </c>
      <c r="S178" s="53" t="n">
        <v>1</v>
      </c>
      <c r="T178" s="53" t="n">
        <v>6</v>
      </c>
      <c r="U178" s="53" t="n">
        <v>3</v>
      </c>
      <c r="V178" s="53" t="n">
        <v>5</v>
      </c>
      <c r="W178" s="53" t="n">
        <v>300</v>
      </c>
      <c r="X178" s="53" t="n">
        <v>2.85</v>
      </c>
    </row>
    <row r="179">
      <c r="A179" s="53" t="inlineStr">
        <is>
          <t>Peat moss</t>
        </is>
      </c>
      <c r="B179" s="53" t="n">
        <v>55</v>
      </c>
      <c r="C179" s="53" t="n">
        <v>65</v>
      </c>
      <c r="D179" s="53" t="n">
        <v>3</v>
      </c>
      <c r="E179" s="53" t="n">
        <v>69.2</v>
      </c>
      <c r="F179" s="53" t="n">
        <v>5.16</v>
      </c>
      <c r="G179" s="53" t="n">
        <v>25.3</v>
      </c>
      <c r="H179" s="53" t="n">
        <v>53.6</v>
      </c>
      <c r="I179" s="53" t="n">
        <v>32.9</v>
      </c>
      <c r="J179" s="53" t="n">
        <v>5.7</v>
      </c>
      <c r="K179" s="53" t="n">
        <v>4</v>
      </c>
      <c r="L179" s="53" t="n">
        <v>2</v>
      </c>
      <c r="M179" s="53" t="n">
        <v>1</v>
      </c>
      <c r="N179" s="53" t="n">
        <v>1</v>
      </c>
      <c r="O179" s="53" t="n">
        <v>4</v>
      </c>
      <c r="P179" s="53" t="n">
        <v>60</v>
      </c>
      <c r="Q179" s="53" t="n">
        <v>5</v>
      </c>
      <c r="R179" s="53" t="n">
        <v>1100</v>
      </c>
      <c r="S179" s="53" t="n">
        <v>1</v>
      </c>
      <c r="T179" s="53" t="n">
        <v>6</v>
      </c>
      <c r="U179" s="53" t="n">
        <v>3</v>
      </c>
      <c r="V179" s="53" t="n">
        <v>5</v>
      </c>
      <c r="W179" s="53" t="n">
        <v>300</v>
      </c>
      <c r="X179" s="53" t="n">
        <v>5.39</v>
      </c>
    </row>
    <row r="180">
      <c r="A180" s="53" t="inlineStr">
        <is>
          <t>Peat moss</t>
        </is>
      </c>
      <c r="B180" s="53" t="n">
        <v>55</v>
      </c>
      <c r="C180" s="53" t="n">
        <v>65</v>
      </c>
      <c r="D180" s="53" t="n">
        <v>3</v>
      </c>
      <c r="E180" s="53" t="n">
        <v>69.2</v>
      </c>
      <c r="F180" s="53" t="n">
        <v>5.16</v>
      </c>
      <c r="G180" s="53" t="n">
        <v>25.3</v>
      </c>
      <c r="H180" s="53" t="n">
        <v>53.6</v>
      </c>
      <c r="I180" s="53" t="n">
        <v>32.9</v>
      </c>
      <c r="J180" s="53" t="n">
        <v>5.7</v>
      </c>
      <c r="K180" s="53" t="n">
        <v>4</v>
      </c>
      <c r="L180" s="53" t="n">
        <v>2</v>
      </c>
      <c r="M180" s="53" t="n">
        <v>1</v>
      </c>
      <c r="N180" s="53" t="n">
        <v>1</v>
      </c>
      <c r="O180" s="53" t="n">
        <v>4</v>
      </c>
      <c r="P180" s="53" t="n">
        <v>60</v>
      </c>
      <c r="Q180" s="53" t="n">
        <v>5</v>
      </c>
      <c r="R180" s="53" t="n">
        <v>1400</v>
      </c>
      <c r="S180" s="53" t="n">
        <v>1</v>
      </c>
      <c r="T180" s="53" t="n">
        <v>6</v>
      </c>
      <c r="U180" s="53" t="n">
        <v>3</v>
      </c>
      <c r="V180" s="53" t="n">
        <v>5</v>
      </c>
      <c r="W180" s="53" t="n">
        <v>300</v>
      </c>
      <c r="X180" s="53" t="n">
        <v>8.51</v>
      </c>
    </row>
    <row r="181">
      <c r="A181" s="53" t="inlineStr">
        <is>
          <t>Pinecone</t>
        </is>
      </c>
      <c r="B181" s="53" t="n">
        <v>32.91</v>
      </c>
      <c r="C181" s="53" t="n">
        <v>22.92</v>
      </c>
      <c r="D181" s="53" t="n">
        <v>30</v>
      </c>
      <c r="E181" s="53" t="n">
        <v>80.34999999999999</v>
      </c>
      <c r="F181" s="53" t="n">
        <v>1.41</v>
      </c>
      <c r="G181" s="53" t="n">
        <v>10.27</v>
      </c>
      <c r="H181" s="53" t="n">
        <v>48.62</v>
      </c>
      <c r="I181" s="53" t="n">
        <v>38.45</v>
      </c>
      <c r="J181" s="53" t="n">
        <v>5.31</v>
      </c>
      <c r="K181" s="53" t="n">
        <v>6</v>
      </c>
      <c r="L181" s="53" t="n">
        <v>7</v>
      </c>
      <c r="M181" s="53" t="n">
        <v>1</v>
      </c>
      <c r="N181" s="53" t="n">
        <v>1</v>
      </c>
      <c r="O181" s="53" t="n">
        <v>1</v>
      </c>
      <c r="P181" s="53" t="n">
        <v>120</v>
      </c>
      <c r="Q181" s="53" t="n">
        <v>4.01385528403345</v>
      </c>
      <c r="R181" s="53" t="n">
        <v>500</v>
      </c>
      <c r="S181" s="53" t="n">
        <v>1</v>
      </c>
      <c r="T181" s="53" t="n">
        <v>0</v>
      </c>
      <c r="U181" s="53" t="n">
        <v>120</v>
      </c>
      <c r="V181" s="53" t="n">
        <v>5</v>
      </c>
      <c r="W181" s="53" t="n">
        <v>800</v>
      </c>
      <c r="X181" s="53" t="n">
        <v>9.59</v>
      </c>
    </row>
    <row r="182">
      <c r="A182" s="53" t="inlineStr">
        <is>
          <t>Pinecone</t>
        </is>
      </c>
      <c r="B182" s="53" t="n">
        <v>32.91</v>
      </c>
      <c r="C182" s="53" t="n">
        <v>22.92</v>
      </c>
      <c r="D182" s="53" t="n">
        <v>30</v>
      </c>
      <c r="E182" s="53" t="n">
        <v>80.34999999999999</v>
      </c>
      <c r="F182" s="53" t="n">
        <v>1.41</v>
      </c>
      <c r="G182" s="53" t="n">
        <v>10.27</v>
      </c>
      <c r="H182" s="53" t="n">
        <v>48.62</v>
      </c>
      <c r="I182" s="53" t="n">
        <v>38.45</v>
      </c>
      <c r="J182" s="53" t="n">
        <v>5.31</v>
      </c>
      <c r="K182" s="53" t="n">
        <v>6</v>
      </c>
      <c r="L182" s="53" t="n">
        <v>7</v>
      </c>
      <c r="M182" s="53" t="n">
        <v>1</v>
      </c>
      <c r="N182" s="53" t="n">
        <v>1</v>
      </c>
      <c r="O182" s="53" t="n">
        <v>1</v>
      </c>
      <c r="P182" s="53" t="n">
        <v>120</v>
      </c>
      <c r="Q182" s="53" t="n">
        <v>4.11347334033503</v>
      </c>
      <c r="R182" s="53" t="n">
        <v>500</v>
      </c>
      <c r="S182" s="53" t="n">
        <v>1</v>
      </c>
      <c r="T182" s="53" t="n">
        <v>0</v>
      </c>
      <c r="U182" s="53" t="n">
        <v>120</v>
      </c>
      <c r="V182" s="53" t="n">
        <v>5</v>
      </c>
      <c r="W182" s="53" t="n">
        <v>850</v>
      </c>
      <c r="X182" s="53" t="n">
        <v>10.52</v>
      </c>
    </row>
    <row r="183">
      <c r="A183" s="53" t="inlineStr">
        <is>
          <t>Pinecone</t>
        </is>
      </c>
      <c r="B183" s="53" t="n">
        <v>32.91</v>
      </c>
      <c r="C183" s="53" t="n">
        <v>22.92</v>
      </c>
      <c r="D183" s="53" t="n">
        <v>30</v>
      </c>
      <c r="E183" s="53" t="n">
        <v>80.34999999999999</v>
      </c>
      <c r="F183" s="53" t="n">
        <v>1.41</v>
      </c>
      <c r="G183" s="53" t="n">
        <v>10.27</v>
      </c>
      <c r="H183" s="53" t="n">
        <v>48.62</v>
      </c>
      <c r="I183" s="53" t="n">
        <v>38.45</v>
      </c>
      <c r="J183" s="53" t="n">
        <v>5.31</v>
      </c>
      <c r="K183" s="53" t="n">
        <v>6</v>
      </c>
      <c r="L183" s="53" t="n">
        <v>7</v>
      </c>
      <c r="M183" s="53" t="n">
        <v>1</v>
      </c>
      <c r="N183" s="53" t="n">
        <v>1</v>
      </c>
      <c r="O183" s="53" t="n">
        <v>1</v>
      </c>
      <c r="P183" s="53" t="n">
        <v>120</v>
      </c>
      <c r="Q183" s="53" t="n">
        <v>4.25389453569287</v>
      </c>
      <c r="R183" s="53" t="n">
        <v>500</v>
      </c>
      <c r="S183" s="53" t="n">
        <v>1</v>
      </c>
      <c r="T183" s="53" t="n">
        <v>0</v>
      </c>
      <c r="U183" s="53" t="n">
        <v>120</v>
      </c>
      <c r="V183" s="53" t="n">
        <v>5</v>
      </c>
      <c r="W183" s="53" t="n">
        <v>900</v>
      </c>
      <c r="X183" s="53" t="n">
        <v>10.7</v>
      </c>
    </row>
    <row r="184">
      <c r="A184" s="53" t="inlineStr">
        <is>
          <t>Pinecone</t>
        </is>
      </c>
      <c r="B184" s="53" t="n">
        <v>32.91</v>
      </c>
      <c r="C184" s="53" t="n">
        <v>22.92</v>
      </c>
      <c r="D184" s="53" t="n">
        <v>30</v>
      </c>
      <c r="E184" s="53" t="n">
        <v>80.34999999999999</v>
      </c>
      <c r="F184" s="53" t="n">
        <v>1.41</v>
      </c>
      <c r="G184" s="53" t="n">
        <v>10.27</v>
      </c>
      <c r="H184" s="53" t="n">
        <v>48.62</v>
      </c>
      <c r="I184" s="53" t="n">
        <v>38.45</v>
      </c>
      <c r="J184" s="53" t="n">
        <v>5.31</v>
      </c>
      <c r="K184" s="53" t="n">
        <v>6</v>
      </c>
      <c r="L184" s="53" t="n">
        <v>7</v>
      </c>
      <c r="M184" s="53" t="n">
        <v>1</v>
      </c>
      <c r="N184" s="53" t="n">
        <v>1</v>
      </c>
      <c r="O184" s="53" t="n">
        <v>1</v>
      </c>
      <c r="P184" s="53" t="n">
        <v>120</v>
      </c>
      <c r="Q184" s="53" t="n">
        <v>4.74376344521001</v>
      </c>
      <c r="R184" s="53" t="n">
        <v>500</v>
      </c>
      <c r="S184" s="53" t="n">
        <v>1</v>
      </c>
      <c r="T184" s="53" t="n">
        <v>0</v>
      </c>
      <c r="U184" s="53" t="n">
        <v>120</v>
      </c>
      <c r="V184" s="53" t="n">
        <v>5</v>
      </c>
      <c r="W184" s="53" t="n">
        <v>1000</v>
      </c>
      <c r="X184" s="53" t="n">
        <v>11.14</v>
      </c>
    </row>
    <row r="185">
      <c r="A185" s="53" t="inlineStr">
        <is>
          <t>Pinecone</t>
        </is>
      </c>
      <c r="B185" s="53" t="n">
        <v>32.91</v>
      </c>
      <c r="C185" s="53" t="n">
        <v>22.92</v>
      </c>
      <c r="D185" s="53" t="n">
        <v>30</v>
      </c>
      <c r="E185" s="53" t="n">
        <v>80.34999999999999</v>
      </c>
      <c r="F185" s="53" t="n">
        <v>1.41</v>
      </c>
      <c r="G185" s="53" t="n">
        <v>10.27</v>
      </c>
      <c r="H185" s="53" t="n">
        <v>48.62</v>
      </c>
      <c r="I185" s="53" t="n">
        <v>38.45</v>
      </c>
      <c r="J185" s="53" t="n">
        <v>5.31</v>
      </c>
      <c r="K185" s="53" t="n">
        <v>6</v>
      </c>
      <c r="L185" s="53" t="n">
        <v>7</v>
      </c>
      <c r="M185" s="53" t="n">
        <v>1</v>
      </c>
      <c r="N185" s="53" t="n">
        <v>1</v>
      </c>
      <c r="O185" s="53" t="n">
        <v>1</v>
      </c>
      <c r="P185" s="53" t="n">
        <v>120</v>
      </c>
      <c r="Q185" s="53" t="n">
        <v>4.78904588604625</v>
      </c>
      <c r="R185" s="53" t="n">
        <v>500</v>
      </c>
      <c r="S185" s="53" t="n">
        <v>1</v>
      </c>
      <c r="T185" s="53" t="n">
        <v>0</v>
      </c>
      <c r="U185" s="53" t="n">
        <v>120</v>
      </c>
      <c r="V185" s="53" t="n">
        <v>5</v>
      </c>
      <c r="W185" s="53" t="n">
        <v>1200</v>
      </c>
      <c r="X185" s="53" t="n">
        <v>11.31</v>
      </c>
    </row>
    <row r="186">
      <c r="A186" s="53" t="inlineStr">
        <is>
          <t>Pinecone</t>
        </is>
      </c>
      <c r="B186" s="53" t="n">
        <v>32.91</v>
      </c>
      <c r="C186" s="53" t="n">
        <v>22.92</v>
      </c>
      <c r="D186" s="53" t="n">
        <v>30</v>
      </c>
      <c r="E186" s="53" t="n">
        <v>80.34999999999999</v>
      </c>
      <c r="F186" s="53" t="n">
        <v>1.41</v>
      </c>
      <c r="G186" s="53" t="n">
        <v>10.27</v>
      </c>
      <c r="H186" s="53" t="n">
        <v>48.62</v>
      </c>
      <c r="I186" s="53" t="n">
        <v>38.45</v>
      </c>
      <c r="J186" s="53" t="n">
        <v>5.31</v>
      </c>
      <c r="K186" s="53" t="n">
        <v>6</v>
      </c>
      <c r="L186" s="53" t="n">
        <v>7</v>
      </c>
      <c r="M186" s="53" t="n">
        <v>1</v>
      </c>
      <c r="N186" s="53" t="n">
        <v>1</v>
      </c>
      <c r="O186" s="53" t="n">
        <v>1</v>
      </c>
      <c r="P186" s="53" t="n">
        <v>120</v>
      </c>
      <c r="Q186" s="53" t="n">
        <v>5.55017349932251</v>
      </c>
      <c r="R186" s="53" t="n">
        <v>500</v>
      </c>
      <c r="S186" s="53" t="n">
        <v>1</v>
      </c>
      <c r="T186" s="53" t="n">
        <v>0</v>
      </c>
      <c r="U186" s="53" t="n">
        <v>120</v>
      </c>
      <c r="V186" s="53" t="n">
        <v>5</v>
      </c>
      <c r="W186" s="53" t="n">
        <v>1400</v>
      </c>
      <c r="X186" s="53" t="n">
        <v>11.48</v>
      </c>
    </row>
    <row r="187">
      <c r="A187" s="53" t="inlineStr">
        <is>
          <t>Pinecone</t>
        </is>
      </c>
      <c r="B187" s="53" t="n">
        <v>32.91</v>
      </c>
      <c r="C187" s="53" t="n">
        <v>22.92</v>
      </c>
      <c r="D187" s="53" t="n">
        <v>30</v>
      </c>
      <c r="E187" s="53" t="n">
        <v>80.34999999999999</v>
      </c>
      <c r="F187" s="53" t="n">
        <v>1.41</v>
      </c>
      <c r="G187" s="53" t="n">
        <v>10.27</v>
      </c>
      <c r="H187" s="53" t="n">
        <v>48.62</v>
      </c>
      <c r="I187" s="53" t="n">
        <v>38.45</v>
      </c>
      <c r="J187" s="53" t="n">
        <v>5.31</v>
      </c>
      <c r="K187" s="53" t="n">
        <v>6</v>
      </c>
      <c r="L187" s="53" t="n">
        <v>7</v>
      </c>
      <c r="M187" s="53" t="n">
        <v>1</v>
      </c>
      <c r="N187" s="53" t="n">
        <v>1</v>
      </c>
      <c r="O187" s="53" t="n">
        <v>1</v>
      </c>
      <c r="P187" s="53" t="n">
        <v>120</v>
      </c>
      <c r="Q187" s="53" t="n">
        <v>5.41804213025267</v>
      </c>
      <c r="R187" s="53" t="n">
        <v>500</v>
      </c>
      <c r="S187" s="53" t="n">
        <v>1</v>
      </c>
      <c r="T187" s="53" t="n">
        <v>0</v>
      </c>
      <c r="U187" s="53" t="n">
        <v>120</v>
      </c>
      <c r="V187" s="53" t="n">
        <v>5</v>
      </c>
      <c r="W187" s="53" t="n">
        <v>1600</v>
      </c>
      <c r="X187" s="53" t="n">
        <v>11.97</v>
      </c>
    </row>
    <row r="188">
      <c r="A188" s="53" t="inlineStr">
        <is>
          <t>Pistachio shells</t>
        </is>
      </c>
      <c r="B188" s="53" t="n">
        <v>74.56</v>
      </c>
      <c r="C188" s="53" t="n">
        <v>10.33</v>
      </c>
      <c r="D188" s="53" t="n">
        <v>27.02</v>
      </c>
      <c r="E188" s="53" t="n">
        <v>89.31</v>
      </c>
      <c r="F188" s="53" t="n">
        <v>0.33</v>
      </c>
      <c r="G188" s="53" t="n">
        <v>5.46</v>
      </c>
      <c r="H188" s="53" t="n">
        <v>44.58</v>
      </c>
      <c r="I188" s="53" t="n">
        <v>43.75</v>
      </c>
      <c r="J188" s="53" t="n">
        <v>5.68</v>
      </c>
      <c r="K188" s="53" t="n">
        <v>5</v>
      </c>
      <c r="L188" s="53" t="n">
        <v>5</v>
      </c>
      <c r="M188" s="53" t="n">
        <v>1</v>
      </c>
      <c r="N188" s="53" t="n">
        <v>0</v>
      </c>
      <c r="O188" s="53" t="n">
        <v>1</v>
      </c>
      <c r="P188" s="53" t="n">
        <v>360</v>
      </c>
      <c r="Q188" s="53" t="n">
        <v>5</v>
      </c>
      <c r="R188" s="53" t="n">
        <v>165</v>
      </c>
      <c r="S188" s="53" t="n">
        <v>1</v>
      </c>
      <c r="T188" s="53" t="n">
        <v>5</v>
      </c>
      <c r="U188" s="53" t="n">
        <v>120</v>
      </c>
      <c r="V188" s="53" t="n">
        <v>5</v>
      </c>
      <c r="W188" s="53" t="n">
        <v>800</v>
      </c>
      <c r="X188" s="53" t="n">
        <v>6.36</v>
      </c>
    </row>
    <row r="189">
      <c r="A189" s="53" t="inlineStr">
        <is>
          <t>Pistachio shells</t>
        </is>
      </c>
      <c r="B189" s="53" t="n">
        <v>74.56</v>
      </c>
      <c r="C189" s="53" t="n">
        <v>10.33</v>
      </c>
      <c r="D189" s="53" t="n">
        <v>27.02</v>
      </c>
      <c r="E189" s="53" t="n">
        <v>89.31</v>
      </c>
      <c r="F189" s="53" t="n">
        <v>0.33</v>
      </c>
      <c r="G189" s="53" t="n">
        <v>5.46</v>
      </c>
      <c r="H189" s="53" t="n">
        <v>44.58</v>
      </c>
      <c r="I189" s="53" t="n">
        <v>43.75</v>
      </c>
      <c r="J189" s="53" t="n">
        <v>5.68</v>
      </c>
      <c r="K189" s="53" t="n">
        <v>5</v>
      </c>
      <c r="L189" s="53" t="n">
        <v>5</v>
      </c>
      <c r="M189" s="53" t="n">
        <v>1</v>
      </c>
      <c r="N189" s="53" t="n">
        <v>0</v>
      </c>
      <c r="O189" s="53" t="n">
        <v>1</v>
      </c>
      <c r="P189" s="53" t="n">
        <v>360</v>
      </c>
      <c r="Q189" s="53" t="n">
        <v>5</v>
      </c>
      <c r="R189" s="53" t="n">
        <v>165</v>
      </c>
      <c r="S189" s="53" t="n">
        <v>1</v>
      </c>
      <c r="T189" s="53" t="n">
        <v>5</v>
      </c>
      <c r="U189" s="53" t="n">
        <v>120</v>
      </c>
      <c r="V189" s="53" t="n">
        <v>5</v>
      </c>
      <c r="W189" s="53" t="n">
        <v>900</v>
      </c>
      <c r="X189" s="53" t="n">
        <v>6.5</v>
      </c>
    </row>
    <row r="190">
      <c r="A190" s="53" t="inlineStr">
        <is>
          <t>Pistachio shells</t>
        </is>
      </c>
      <c r="B190" s="53" t="n">
        <v>74.56</v>
      </c>
      <c r="C190" s="53" t="n">
        <v>10.33</v>
      </c>
      <c r="D190" s="53" t="n">
        <v>27.02</v>
      </c>
      <c r="E190" s="53" t="n">
        <v>89.31</v>
      </c>
      <c r="F190" s="53" t="n">
        <v>0.33</v>
      </c>
      <c r="G190" s="53" t="n">
        <v>5.46</v>
      </c>
      <c r="H190" s="53" t="n">
        <v>44.58</v>
      </c>
      <c r="I190" s="53" t="n">
        <v>43.75</v>
      </c>
      <c r="J190" s="53" t="n">
        <v>5.68</v>
      </c>
      <c r="K190" s="53" t="n">
        <v>5</v>
      </c>
      <c r="L190" s="53" t="n">
        <v>5</v>
      </c>
      <c r="M190" s="53" t="n">
        <v>1</v>
      </c>
      <c r="N190" s="53" t="n">
        <v>0</v>
      </c>
      <c r="O190" s="53" t="n">
        <v>1</v>
      </c>
      <c r="P190" s="53" t="n">
        <v>360</v>
      </c>
      <c r="Q190" s="53" t="n">
        <v>5</v>
      </c>
      <c r="R190" s="53" t="n">
        <v>165</v>
      </c>
      <c r="S190" s="53" t="n">
        <v>1</v>
      </c>
      <c r="T190" s="53" t="n">
        <v>5</v>
      </c>
      <c r="U190" s="53" t="n">
        <v>120</v>
      </c>
      <c r="V190" s="53" t="n">
        <v>5</v>
      </c>
      <c r="W190" s="53" t="n">
        <v>1000</v>
      </c>
      <c r="X190" s="53" t="n">
        <v>6.77</v>
      </c>
    </row>
    <row r="191">
      <c r="A191" s="53" t="inlineStr">
        <is>
          <t>Pistachio shells</t>
        </is>
      </c>
      <c r="B191" s="53" t="n">
        <v>74.56</v>
      </c>
      <c r="C191" s="53" t="n">
        <v>10.33</v>
      </c>
      <c r="D191" s="53" t="n">
        <v>27.02</v>
      </c>
      <c r="E191" s="53" t="n">
        <v>89.31</v>
      </c>
      <c r="F191" s="53" t="n">
        <v>0.33</v>
      </c>
      <c r="G191" s="53" t="n">
        <v>5.46</v>
      </c>
      <c r="H191" s="53" t="n">
        <v>44.58</v>
      </c>
      <c r="I191" s="53" t="n">
        <v>43.75</v>
      </c>
      <c r="J191" s="53" t="n">
        <v>5.68</v>
      </c>
      <c r="K191" s="53" t="n">
        <v>5</v>
      </c>
      <c r="L191" s="53" t="n">
        <v>5</v>
      </c>
      <c r="M191" s="53" t="n">
        <v>1</v>
      </c>
      <c r="N191" s="53" t="n">
        <v>0</v>
      </c>
      <c r="O191" s="53" t="n">
        <v>1</v>
      </c>
      <c r="P191" s="53" t="n">
        <v>360</v>
      </c>
      <c r="Q191" s="53" t="n">
        <v>5</v>
      </c>
      <c r="R191" s="53" t="n">
        <v>165</v>
      </c>
      <c r="S191" s="53" t="n">
        <v>1</v>
      </c>
      <c r="T191" s="53" t="n">
        <v>5</v>
      </c>
      <c r="U191" s="53" t="n">
        <v>120</v>
      </c>
      <c r="V191" s="53" t="n">
        <v>5</v>
      </c>
      <c r="W191" s="53" t="n">
        <v>1100</v>
      </c>
      <c r="X191" s="53" t="n">
        <v>6.81</v>
      </c>
    </row>
    <row r="192">
      <c r="A192" s="53" t="inlineStr">
        <is>
          <t>Reed straw</t>
        </is>
      </c>
      <c r="B192" s="53" t="n">
        <v>56</v>
      </c>
      <c r="C192" s="53" t="n">
        <v>14.5</v>
      </c>
      <c r="D192" s="53" t="n">
        <v>20.5</v>
      </c>
      <c r="E192" s="53" t="n">
        <v>79.73</v>
      </c>
      <c r="F192" s="53" t="n">
        <v>2</v>
      </c>
      <c r="G192" s="53" t="n">
        <v>14.47</v>
      </c>
      <c r="H192" s="53" t="n">
        <v>45.16</v>
      </c>
      <c r="I192" s="53" t="n">
        <v>48.78</v>
      </c>
      <c r="J192" s="53" t="n">
        <v>5.58</v>
      </c>
      <c r="K192" s="53" t="n">
        <v>6</v>
      </c>
      <c r="L192" s="53" t="n">
        <v>5</v>
      </c>
      <c r="M192" s="53" t="n">
        <v>1</v>
      </c>
      <c r="N192" s="53" t="n">
        <v>0</v>
      </c>
      <c r="O192" s="53" t="n">
        <v>4</v>
      </c>
      <c r="P192" s="53" t="n">
        <v>1440</v>
      </c>
      <c r="Q192" s="53" t="n">
        <v>10</v>
      </c>
      <c r="R192" s="53" t="n">
        <v>200</v>
      </c>
      <c r="S192" s="53" t="n">
        <v>1</v>
      </c>
      <c r="T192" s="53" t="n">
        <v>5</v>
      </c>
      <c r="U192" s="53" t="n">
        <v>120</v>
      </c>
      <c r="V192" s="53" t="n">
        <v>5</v>
      </c>
      <c r="W192" s="53" t="n">
        <v>900</v>
      </c>
      <c r="X192" s="53" t="n">
        <v>3.61</v>
      </c>
    </row>
    <row r="193">
      <c r="A193" s="53" t="inlineStr">
        <is>
          <t>Reed straw</t>
        </is>
      </c>
      <c r="B193" s="53" t="n">
        <v>56</v>
      </c>
      <c r="C193" s="53" t="n">
        <v>14.5</v>
      </c>
      <c r="D193" s="53" t="n">
        <v>20.5</v>
      </c>
      <c r="E193" s="53" t="n">
        <v>79.73</v>
      </c>
      <c r="F193" s="53" t="n">
        <v>2</v>
      </c>
      <c r="G193" s="53" t="n">
        <v>14.47</v>
      </c>
      <c r="H193" s="53" t="n">
        <v>45.16</v>
      </c>
      <c r="I193" s="53" t="n">
        <v>48.78</v>
      </c>
      <c r="J193" s="53" t="n">
        <v>5.58</v>
      </c>
      <c r="K193" s="53" t="n">
        <v>6</v>
      </c>
      <c r="L193" s="53" t="n">
        <v>5</v>
      </c>
      <c r="M193" s="53" t="n">
        <v>1</v>
      </c>
      <c r="N193" s="53" t="n">
        <v>0</v>
      </c>
      <c r="O193" s="53" t="n">
        <v>4</v>
      </c>
      <c r="P193" s="53" t="n">
        <v>1440</v>
      </c>
      <c r="Q193" s="53" t="n">
        <v>10</v>
      </c>
      <c r="R193" s="53" t="n">
        <v>200</v>
      </c>
      <c r="S193" s="53" t="n">
        <v>1</v>
      </c>
      <c r="T193" s="53" t="n">
        <v>5</v>
      </c>
      <c r="U193" s="53" t="n">
        <v>120</v>
      </c>
      <c r="V193" s="53" t="n">
        <v>5</v>
      </c>
      <c r="W193" s="53" t="n">
        <v>1100</v>
      </c>
      <c r="X193" s="53" t="n">
        <v>3.83</v>
      </c>
    </row>
    <row r="194">
      <c r="A194" s="53" t="inlineStr">
        <is>
          <t>Reed straw</t>
        </is>
      </c>
      <c r="B194" s="53" t="n">
        <v>56</v>
      </c>
      <c r="C194" s="53" t="n">
        <v>14.5</v>
      </c>
      <c r="D194" s="53" t="n">
        <v>20.5</v>
      </c>
      <c r="E194" s="53" t="n">
        <v>79.73</v>
      </c>
      <c r="F194" s="53" t="n">
        <v>2</v>
      </c>
      <c r="G194" s="53" t="n">
        <v>14.47</v>
      </c>
      <c r="H194" s="53" t="n">
        <v>45.16</v>
      </c>
      <c r="I194" s="53" t="n">
        <v>48.78</v>
      </c>
      <c r="J194" s="53" t="n">
        <v>5.58</v>
      </c>
      <c r="K194" s="53" t="n">
        <v>6</v>
      </c>
      <c r="L194" s="53" t="n">
        <v>5</v>
      </c>
      <c r="M194" s="53" t="n">
        <v>1</v>
      </c>
      <c r="N194" s="53" t="n">
        <v>0</v>
      </c>
      <c r="O194" s="53" t="n">
        <v>4</v>
      </c>
      <c r="P194" s="53" t="n">
        <v>1440</v>
      </c>
      <c r="Q194" s="53" t="n">
        <v>10</v>
      </c>
      <c r="R194" s="53" t="n">
        <v>200</v>
      </c>
      <c r="S194" s="53" t="n">
        <v>1</v>
      </c>
      <c r="T194" s="53" t="n">
        <v>5</v>
      </c>
      <c r="U194" s="53" t="n">
        <v>120</v>
      </c>
      <c r="V194" s="53" t="n">
        <v>5</v>
      </c>
      <c r="W194" s="53" t="n">
        <v>1300</v>
      </c>
      <c r="X194" s="53" t="n">
        <v>4.52</v>
      </c>
    </row>
    <row r="195">
      <c r="A195" s="53" t="inlineStr">
        <is>
          <t>Reed straw</t>
        </is>
      </c>
      <c r="B195" s="53" t="n">
        <v>56</v>
      </c>
      <c r="C195" s="53" t="n">
        <v>14.5</v>
      </c>
      <c r="D195" s="53" t="n">
        <v>20.5</v>
      </c>
      <c r="E195" s="53" t="n">
        <v>79.73</v>
      </c>
      <c r="F195" s="53" t="n">
        <v>2</v>
      </c>
      <c r="G195" s="53" t="n">
        <v>14.47</v>
      </c>
      <c r="H195" s="53" t="n">
        <v>45.16</v>
      </c>
      <c r="I195" s="53" t="n">
        <v>48.78</v>
      </c>
      <c r="J195" s="53" t="n">
        <v>5.58</v>
      </c>
      <c r="K195" s="53" t="n">
        <v>6</v>
      </c>
      <c r="L195" s="53" t="n">
        <v>5</v>
      </c>
      <c r="M195" s="53" t="n">
        <v>1</v>
      </c>
      <c r="N195" s="53" t="n">
        <v>0</v>
      </c>
      <c r="O195" s="53" t="n">
        <v>4</v>
      </c>
      <c r="P195" s="53" t="n">
        <v>1440</v>
      </c>
      <c r="Q195" s="53" t="n">
        <v>10</v>
      </c>
      <c r="R195" s="53" t="n">
        <v>200</v>
      </c>
      <c r="S195" s="53" t="n">
        <v>1</v>
      </c>
      <c r="T195" s="53" t="n">
        <v>5</v>
      </c>
      <c r="U195" s="53" t="n">
        <v>120</v>
      </c>
      <c r="V195" s="53" t="n">
        <v>5</v>
      </c>
      <c r="W195" s="53" t="n">
        <v>1500</v>
      </c>
      <c r="X195" s="53" t="n">
        <v>6.18</v>
      </c>
    </row>
    <row r="196">
      <c r="A196" s="53" t="inlineStr">
        <is>
          <t>Reed straw</t>
        </is>
      </c>
      <c r="B196" s="53" t="n">
        <v>56</v>
      </c>
      <c r="C196" s="53" t="n">
        <v>14.5</v>
      </c>
      <c r="D196" s="53" t="n">
        <v>20.5</v>
      </c>
      <c r="E196" s="53" t="n">
        <v>79.73</v>
      </c>
      <c r="F196" s="53" t="n">
        <v>2</v>
      </c>
      <c r="G196" s="53" t="n">
        <v>14.47</v>
      </c>
      <c r="H196" s="53" t="n">
        <v>45.16</v>
      </c>
      <c r="I196" s="53" t="n">
        <v>48.78</v>
      </c>
      <c r="J196" s="53" t="n">
        <v>5.58</v>
      </c>
      <c r="K196" s="53" t="n">
        <v>2</v>
      </c>
      <c r="L196" s="53" t="n">
        <v>5</v>
      </c>
      <c r="M196" s="53" t="n">
        <v>1</v>
      </c>
      <c r="N196" s="53" t="n">
        <v>1</v>
      </c>
      <c r="O196" s="53" t="n">
        <v>4</v>
      </c>
      <c r="P196" s="53" t="n">
        <v>180</v>
      </c>
      <c r="Q196" s="53" t="n">
        <v>10</v>
      </c>
      <c r="R196" s="53" t="n">
        <v>400</v>
      </c>
      <c r="S196" s="53" t="n">
        <v>1</v>
      </c>
      <c r="T196" s="53" t="n">
        <v>5</v>
      </c>
      <c r="U196" s="53" t="n">
        <v>120</v>
      </c>
      <c r="V196" s="53" t="n">
        <v>5</v>
      </c>
      <c r="W196" s="53" t="n">
        <v>1400</v>
      </c>
      <c r="X196" s="53" t="n">
        <v>3.652</v>
      </c>
    </row>
    <row r="197">
      <c r="A197" s="53" t="inlineStr">
        <is>
          <t>Reed straw</t>
        </is>
      </c>
      <c r="B197" s="53" t="n">
        <v>56</v>
      </c>
      <c r="C197" s="53" t="n">
        <v>14.5</v>
      </c>
      <c r="D197" s="53" t="n">
        <v>20.5</v>
      </c>
      <c r="E197" s="53" t="n">
        <v>79.73</v>
      </c>
      <c r="F197" s="53" t="n">
        <v>2</v>
      </c>
      <c r="G197" s="53" t="n">
        <v>14.47</v>
      </c>
      <c r="H197" s="53" t="n">
        <v>45.16</v>
      </c>
      <c r="I197" s="53" t="n">
        <v>48.78</v>
      </c>
      <c r="J197" s="53" t="n">
        <v>5.58</v>
      </c>
      <c r="K197" s="53" t="n">
        <v>2</v>
      </c>
      <c r="L197" s="53" t="n">
        <v>5</v>
      </c>
      <c r="M197" s="53" t="n">
        <v>1</v>
      </c>
      <c r="N197" s="53" t="n">
        <v>1</v>
      </c>
      <c r="O197" s="53" t="n">
        <v>4</v>
      </c>
      <c r="P197" s="53" t="n">
        <v>180</v>
      </c>
      <c r="Q197" s="53" t="n">
        <v>10</v>
      </c>
      <c r="R197" s="53" t="n">
        <v>400</v>
      </c>
      <c r="S197" s="53" t="n">
        <v>1</v>
      </c>
      <c r="T197" s="53" t="n">
        <v>5</v>
      </c>
      <c r="U197" s="53" t="n">
        <v>120</v>
      </c>
      <c r="V197" s="53" t="n">
        <v>5</v>
      </c>
      <c r="W197" s="53" t="n">
        <v>1400</v>
      </c>
      <c r="X197" s="53" t="n">
        <v>3.883</v>
      </c>
    </row>
    <row r="198">
      <c r="A198" s="53" t="inlineStr">
        <is>
          <t>Reed straw</t>
        </is>
      </c>
      <c r="B198" s="53" t="n">
        <v>56</v>
      </c>
      <c r="C198" s="53" t="n">
        <v>14.5</v>
      </c>
      <c r="D198" s="53" t="n">
        <v>20.5</v>
      </c>
      <c r="E198" s="53" t="n">
        <v>79.73</v>
      </c>
      <c r="F198" s="53" t="n">
        <v>2</v>
      </c>
      <c r="G198" s="53" t="n">
        <v>14.47</v>
      </c>
      <c r="H198" s="53" t="n">
        <v>45.16</v>
      </c>
      <c r="I198" s="53" t="n">
        <v>48.78</v>
      </c>
      <c r="J198" s="53" t="n">
        <v>5.58</v>
      </c>
      <c r="K198" s="53" t="n">
        <v>2</v>
      </c>
      <c r="L198" s="53" t="n">
        <v>5</v>
      </c>
      <c r="M198" s="53" t="n">
        <v>1</v>
      </c>
      <c r="N198" s="53" t="n">
        <v>1</v>
      </c>
      <c r="O198" s="53" t="n">
        <v>4</v>
      </c>
      <c r="P198" s="53" t="n">
        <v>180</v>
      </c>
      <c r="Q198" s="53" t="n">
        <v>10</v>
      </c>
      <c r="R198" s="53" t="n">
        <v>400</v>
      </c>
      <c r="S198" s="53" t="n">
        <v>1</v>
      </c>
      <c r="T198" s="53" t="n">
        <v>5</v>
      </c>
      <c r="U198" s="53" t="n">
        <v>120</v>
      </c>
      <c r="V198" s="53" t="n">
        <v>5</v>
      </c>
      <c r="W198" s="53" t="n">
        <v>1400</v>
      </c>
      <c r="X198" s="53" t="n">
        <v>3.472</v>
      </c>
    </row>
    <row r="199">
      <c r="A199" s="53" t="inlineStr">
        <is>
          <t>Reed straw</t>
        </is>
      </c>
      <c r="B199" s="53" t="n">
        <v>56</v>
      </c>
      <c r="C199" s="53" t="n">
        <v>14.5</v>
      </c>
      <c r="D199" s="53" t="n">
        <v>20.5</v>
      </c>
      <c r="E199" s="53" t="n">
        <v>79.73</v>
      </c>
      <c r="F199" s="53" t="n">
        <v>2</v>
      </c>
      <c r="G199" s="53" t="n">
        <v>14.47</v>
      </c>
      <c r="H199" s="53" t="n">
        <v>45.16</v>
      </c>
      <c r="I199" s="53" t="n">
        <v>48.78</v>
      </c>
      <c r="J199" s="53" t="n">
        <v>5.58</v>
      </c>
      <c r="K199" s="53" t="n">
        <v>2</v>
      </c>
      <c r="L199" s="53" t="n">
        <v>5</v>
      </c>
      <c r="M199" s="53" t="n">
        <v>1</v>
      </c>
      <c r="N199" s="53" t="n">
        <v>1</v>
      </c>
      <c r="O199" s="53" t="n">
        <v>4</v>
      </c>
      <c r="P199" s="53" t="n">
        <v>180</v>
      </c>
      <c r="Q199" s="53" t="n">
        <v>10</v>
      </c>
      <c r="R199" s="53" t="n">
        <v>400</v>
      </c>
      <c r="S199" s="53" t="n">
        <v>1</v>
      </c>
      <c r="T199" s="53" t="n">
        <v>5</v>
      </c>
      <c r="U199" s="53" t="n">
        <v>120</v>
      </c>
      <c r="V199" s="53" t="n">
        <v>5</v>
      </c>
      <c r="W199" s="53" t="n">
        <v>1400</v>
      </c>
      <c r="X199" s="53" t="n">
        <v>3.299</v>
      </c>
    </row>
    <row r="200">
      <c r="A200" s="53" t="inlineStr">
        <is>
          <t>Reed straw</t>
        </is>
      </c>
      <c r="B200" s="53" t="n">
        <v>56</v>
      </c>
      <c r="C200" s="53" t="n">
        <v>14.5</v>
      </c>
      <c r="D200" s="53" t="n">
        <v>20.5</v>
      </c>
      <c r="E200" s="53" t="n">
        <v>79.73</v>
      </c>
      <c r="F200" s="53" t="n">
        <v>2</v>
      </c>
      <c r="G200" s="53" t="n">
        <v>14.47</v>
      </c>
      <c r="H200" s="53" t="n">
        <v>45.16</v>
      </c>
      <c r="I200" s="53" t="n">
        <v>48.78</v>
      </c>
      <c r="J200" s="53" t="n">
        <v>5.58</v>
      </c>
      <c r="K200" s="53" t="n">
        <v>2</v>
      </c>
      <c r="L200" s="53" t="n">
        <v>5</v>
      </c>
      <c r="M200" s="53" t="n">
        <v>1</v>
      </c>
      <c r="N200" s="53" t="n">
        <v>1</v>
      </c>
      <c r="O200" s="53" t="n">
        <v>4</v>
      </c>
      <c r="P200" s="53" t="n">
        <v>180</v>
      </c>
      <c r="Q200" s="53" t="n">
        <v>10</v>
      </c>
      <c r="R200" s="53" t="n">
        <v>400</v>
      </c>
      <c r="S200" s="53" t="n">
        <v>1</v>
      </c>
      <c r="T200" s="53" t="n">
        <v>5</v>
      </c>
      <c r="U200" s="53" t="n">
        <v>120</v>
      </c>
      <c r="V200" s="53" t="n">
        <v>5</v>
      </c>
      <c r="W200" s="53" t="n">
        <v>1400</v>
      </c>
      <c r="X200" s="53" t="n">
        <v>3.519</v>
      </c>
    </row>
    <row r="201">
      <c r="A201" s="53" t="inlineStr">
        <is>
          <t>Rice husk</t>
        </is>
      </c>
      <c r="B201" s="53" t="n">
        <v>38.3</v>
      </c>
      <c r="C201" s="53" t="n">
        <v>31.6</v>
      </c>
      <c r="D201" s="53" t="n">
        <v>11.8</v>
      </c>
      <c r="E201" s="53" t="n">
        <v>68.2</v>
      </c>
      <c r="F201" s="53" t="n">
        <v>16.1</v>
      </c>
      <c r="G201" s="53" t="n">
        <v>15.7</v>
      </c>
      <c r="H201" s="53" t="n">
        <v>45.2</v>
      </c>
      <c r="I201" s="53" t="n">
        <v>47.6</v>
      </c>
      <c r="J201" s="53" t="n">
        <v>5.8</v>
      </c>
      <c r="K201" s="53" t="n">
        <v>3</v>
      </c>
      <c r="L201" s="53" t="n">
        <v>5</v>
      </c>
      <c r="M201" s="53" t="n">
        <v>0</v>
      </c>
      <c r="N201" s="53" t="n">
        <v>1</v>
      </c>
      <c r="O201" s="53" t="n">
        <v>4</v>
      </c>
      <c r="P201" s="53" t="n">
        <v>120</v>
      </c>
      <c r="Q201" s="53" t="n">
        <v>5</v>
      </c>
      <c r="R201" s="53" t="n">
        <v>1100</v>
      </c>
      <c r="S201" s="53" t="n">
        <v>0</v>
      </c>
      <c r="T201" s="53" t="n">
        <v>5</v>
      </c>
      <c r="U201" s="53" t="n">
        <v>0</v>
      </c>
      <c r="V201" s="53" t="n">
        <v>0</v>
      </c>
      <c r="W201" s="53" t="n">
        <v>0</v>
      </c>
      <c r="X201" s="53" t="n">
        <v>11</v>
      </c>
    </row>
    <row r="202">
      <c r="A202" s="53" t="inlineStr">
        <is>
          <t>Rice husk</t>
        </is>
      </c>
      <c r="B202" s="53" t="n">
        <v>38.3</v>
      </c>
      <c r="C202" s="53" t="n">
        <v>31.6</v>
      </c>
      <c r="D202" s="53" t="n">
        <v>11.8</v>
      </c>
      <c r="E202" s="53" t="n">
        <v>68.2</v>
      </c>
      <c r="F202" s="53" t="n">
        <v>16.1</v>
      </c>
      <c r="G202" s="53" t="n">
        <v>15.7</v>
      </c>
      <c r="H202" s="53" t="n">
        <v>45.2</v>
      </c>
      <c r="I202" s="53" t="n">
        <v>47.6</v>
      </c>
      <c r="J202" s="53" t="n">
        <v>5.8</v>
      </c>
      <c r="K202" s="53" t="n">
        <v>3</v>
      </c>
      <c r="L202" s="53" t="n">
        <v>5</v>
      </c>
      <c r="M202" s="53" t="n">
        <v>0</v>
      </c>
      <c r="N202" s="53" t="n">
        <v>1</v>
      </c>
      <c r="O202" s="53" t="n">
        <v>4</v>
      </c>
      <c r="P202" s="53" t="n">
        <v>120</v>
      </c>
      <c r="Q202" s="53" t="n">
        <v>5</v>
      </c>
      <c r="R202" s="53" t="n">
        <v>1300</v>
      </c>
      <c r="S202" s="53" t="n">
        <v>0</v>
      </c>
      <c r="T202" s="53" t="n">
        <v>5</v>
      </c>
      <c r="U202" s="53" t="n">
        <v>0</v>
      </c>
      <c r="V202" s="53" t="n">
        <v>0</v>
      </c>
      <c r="W202" s="53" t="n">
        <v>0</v>
      </c>
      <c r="X202" s="53" t="n">
        <v>12</v>
      </c>
    </row>
    <row r="203">
      <c r="A203" s="53" t="inlineStr">
        <is>
          <t>Rice husk</t>
        </is>
      </c>
      <c r="B203" s="53" t="n">
        <v>38.3</v>
      </c>
      <c r="C203" s="53" t="n">
        <v>31.6</v>
      </c>
      <c r="D203" s="53" t="n">
        <v>11.8</v>
      </c>
      <c r="E203" s="53" t="n">
        <v>68.2</v>
      </c>
      <c r="F203" s="53" t="n">
        <v>16.1</v>
      </c>
      <c r="G203" s="53" t="n">
        <v>15.7</v>
      </c>
      <c r="H203" s="53" t="n">
        <v>45.2</v>
      </c>
      <c r="I203" s="53" t="n">
        <v>47.6</v>
      </c>
      <c r="J203" s="53" t="n">
        <v>5.8</v>
      </c>
      <c r="K203" s="53" t="n">
        <v>3</v>
      </c>
      <c r="L203" s="53" t="n">
        <v>5</v>
      </c>
      <c r="M203" s="53" t="n">
        <v>0</v>
      </c>
      <c r="N203" s="53" t="n">
        <v>1</v>
      </c>
      <c r="O203" s="53" t="n">
        <v>4</v>
      </c>
      <c r="P203" s="53" t="n">
        <v>120</v>
      </c>
      <c r="Q203" s="53" t="n">
        <v>5</v>
      </c>
      <c r="R203" s="53" t="n">
        <v>1500</v>
      </c>
      <c r="S203" s="53" t="n">
        <v>0</v>
      </c>
      <c r="T203" s="53" t="n">
        <v>5</v>
      </c>
      <c r="U203" s="53" t="n">
        <v>0</v>
      </c>
      <c r="V203" s="53" t="n">
        <v>0</v>
      </c>
      <c r="W203" s="53" t="n">
        <v>0</v>
      </c>
      <c r="X203" s="53" t="n">
        <v>12.5</v>
      </c>
    </row>
    <row r="204">
      <c r="A204" s="53" t="inlineStr">
        <is>
          <t>Rice husk</t>
        </is>
      </c>
      <c r="B204" s="53" t="n">
        <v>38.3</v>
      </c>
      <c r="C204" s="53" t="n">
        <v>31.6</v>
      </c>
      <c r="D204" s="53" t="n">
        <v>11.8</v>
      </c>
      <c r="E204" s="53" t="n">
        <v>68.2</v>
      </c>
      <c r="F204" s="53" t="n">
        <v>16.1</v>
      </c>
      <c r="G204" s="53" t="n">
        <v>15.7</v>
      </c>
      <c r="H204" s="53" t="n">
        <v>45.2</v>
      </c>
      <c r="I204" s="53" t="n">
        <v>47.6</v>
      </c>
      <c r="J204" s="53" t="n">
        <v>5.8</v>
      </c>
      <c r="K204" s="53" t="n">
        <v>4</v>
      </c>
      <c r="L204" s="53" t="n">
        <v>1</v>
      </c>
      <c r="M204" s="53" t="n">
        <v>0</v>
      </c>
      <c r="N204" s="53" t="n">
        <v>1</v>
      </c>
      <c r="O204" s="53" t="n">
        <v>4</v>
      </c>
      <c r="P204" s="53" t="n">
        <v>120</v>
      </c>
      <c r="Q204" s="53" t="n">
        <v>3</v>
      </c>
      <c r="R204" s="53" t="n">
        <v>900</v>
      </c>
      <c r="S204" s="53" t="n">
        <v>0</v>
      </c>
      <c r="T204" s="53" t="n">
        <v>5</v>
      </c>
      <c r="U204" s="53" t="n">
        <v>0</v>
      </c>
      <c r="V204" s="53" t="n">
        <v>0</v>
      </c>
      <c r="W204" s="53" t="n">
        <v>0</v>
      </c>
      <c r="X204" s="53" t="n">
        <v>5.12</v>
      </c>
    </row>
    <row r="205">
      <c r="A205" s="53" t="inlineStr">
        <is>
          <t>Rice husk</t>
        </is>
      </c>
      <c r="B205" s="53" t="n">
        <v>38.3</v>
      </c>
      <c r="C205" s="53" t="n">
        <v>31.6</v>
      </c>
      <c r="D205" s="53" t="n">
        <v>11.8</v>
      </c>
      <c r="E205" s="53" t="n">
        <v>68.2</v>
      </c>
      <c r="F205" s="53" t="n">
        <v>16.1</v>
      </c>
      <c r="G205" s="53" t="n">
        <v>15.7</v>
      </c>
      <c r="H205" s="53" t="n">
        <v>45.2</v>
      </c>
      <c r="I205" s="53" t="n">
        <v>47.6</v>
      </c>
      <c r="J205" s="53" t="n">
        <v>5.8</v>
      </c>
      <c r="K205" s="53" t="n">
        <v>4</v>
      </c>
      <c r="L205" s="53" t="n">
        <v>1</v>
      </c>
      <c r="M205" s="53" t="n">
        <v>0</v>
      </c>
      <c r="N205" s="53" t="n">
        <v>1</v>
      </c>
      <c r="O205" s="53" t="n">
        <v>4</v>
      </c>
      <c r="P205" s="53" t="n">
        <v>120</v>
      </c>
      <c r="Q205" s="53" t="n">
        <v>3</v>
      </c>
      <c r="R205" s="53" t="n">
        <v>1300</v>
      </c>
      <c r="S205" s="53" t="n">
        <v>0</v>
      </c>
      <c r="T205" s="53" t="n">
        <v>5</v>
      </c>
      <c r="U205" s="53" t="n">
        <v>0</v>
      </c>
      <c r="V205" s="53" t="n">
        <v>0</v>
      </c>
      <c r="W205" s="53" t="n">
        <v>0</v>
      </c>
      <c r="X205" s="53" t="n">
        <v>5.68</v>
      </c>
    </row>
    <row r="206">
      <c r="A206" s="53" t="inlineStr">
        <is>
          <t>Rice husk</t>
        </is>
      </c>
      <c r="B206" s="53" t="n">
        <v>38.3</v>
      </c>
      <c r="C206" s="53" t="n">
        <v>31.6</v>
      </c>
      <c r="D206" s="53" t="n">
        <v>11.8</v>
      </c>
      <c r="E206" s="53" t="n">
        <v>68.2</v>
      </c>
      <c r="F206" s="53" t="n">
        <v>16.1</v>
      </c>
      <c r="G206" s="53" t="n">
        <v>15.7</v>
      </c>
      <c r="H206" s="53" t="n">
        <v>45.2</v>
      </c>
      <c r="I206" s="53" t="n">
        <v>47.6</v>
      </c>
      <c r="J206" s="53" t="n">
        <v>5.8</v>
      </c>
      <c r="K206" s="53" t="n">
        <v>4</v>
      </c>
      <c r="L206" s="53" t="n">
        <v>1</v>
      </c>
      <c r="M206" s="53" t="n">
        <v>0</v>
      </c>
      <c r="N206" s="53" t="n">
        <v>1</v>
      </c>
      <c r="O206" s="53" t="n">
        <v>4</v>
      </c>
      <c r="P206" s="53" t="n">
        <v>120</v>
      </c>
      <c r="Q206" s="53" t="n">
        <v>3</v>
      </c>
      <c r="R206" s="53" t="n">
        <v>1600</v>
      </c>
      <c r="S206" s="53" t="n">
        <v>0</v>
      </c>
      <c r="T206" s="53" t="n">
        <v>5</v>
      </c>
      <c r="U206" s="53" t="n">
        <v>0</v>
      </c>
      <c r="V206" s="53" t="n">
        <v>0</v>
      </c>
      <c r="W206" s="53" t="n">
        <v>0</v>
      </c>
      <c r="X206" s="53" t="n">
        <v>7.14</v>
      </c>
    </row>
    <row r="207">
      <c r="A207" s="53" t="inlineStr">
        <is>
          <t>Rice husk</t>
        </is>
      </c>
      <c r="B207" s="53" t="n">
        <v>38.3</v>
      </c>
      <c r="C207" s="53" t="n">
        <v>31.6</v>
      </c>
      <c r="D207" s="53" t="n">
        <v>11.8</v>
      </c>
      <c r="E207" s="53" t="n">
        <v>68.2</v>
      </c>
      <c r="F207" s="53" t="n">
        <v>16.1</v>
      </c>
      <c r="G207" s="53" t="n">
        <v>15.7</v>
      </c>
      <c r="H207" s="53" t="n">
        <v>45.2</v>
      </c>
      <c r="I207" s="53" t="n">
        <v>47.6</v>
      </c>
      <c r="J207" s="53" t="n">
        <v>5.8</v>
      </c>
      <c r="K207" s="53" t="n">
        <v>1</v>
      </c>
      <c r="L207" s="53" t="n">
        <v>5</v>
      </c>
      <c r="M207" s="53" t="n">
        <v>0</v>
      </c>
      <c r="N207" s="53" t="n">
        <v>1</v>
      </c>
      <c r="O207" s="53" t="n">
        <v>4</v>
      </c>
      <c r="P207" s="53" t="n">
        <v>150</v>
      </c>
      <c r="Q207" s="53" t="n">
        <v>3</v>
      </c>
      <c r="R207" s="53" t="n">
        <v>600</v>
      </c>
      <c r="S207" s="53" t="n">
        <v>0</v>
      </c>
      <c r="T207" s="53" t="n">
        <v>5</v>
      </c>
      <c r="U207" s="53" t="n">
        <v>0</v>
      </c>
      <c r="V207" s="53" t="n">
        <v>0</v>
      </c>
      <c r="W207" s="53" t="n">
        <v>0</v>
      </c>
      <c r="X207" s="53" t="n">
        <v>20.38</v>
      </c>
    </row>
    <row r="208">
      <c r="A208" s="53" t="inlineStr">
        <is>
          <t>Rice husk</t>
        </is>
      </c>
      <c r="B208" s="53" t="n">
        <v>38.3</v>
      </c>
      <c r="C208" s="53" t="n">
        <v>31.6</v>
      </c>
      <c r="D208" s="53" t="n">
        <v>11.8</v>
      </c>
      <c r="E208" s="53" t="n">
        <v>68.2</v>
      </c>
      <c r="F208" s="53" t="n">
        <v>16.1</v>
      </c>
      <c r="G208" s="53" t="n">
        <v>15.7</v>
      </c>
      <c r="H208" s="53" t="n">
        <v>45.2</v>
      </c>
      <c r="I208" s="53" t="n">
        <v>47.6</v>
      </c>
      <c r="J208" s="53" t="n">
        <v>5.8</v>
      </c>
      <c r="K208" s="53" t="n">
        <v>1</v>
      </c>
      <c r="L208" s="53" t="n">
        <v>5</v>
      </c>
      <c r="M208" s="53" t="n">
        <v>1</v>
      </c>
      <c r="N208" s="53" t="n">
        <v>1</v>
      </c>
      <c r="O208" s="53" t="n">
        <v>4</v>
      </c>
      <c r="P208" s="53" t="n">
        <v>150</v>
      </c>
      <c r="Q208" s="53" t="n">
        <v>3</v>
      </c>
      <c r="R208" s="53" t="n">
        <v>600</v>
      </c>
      <c r="S208" s="53" t="n">
        <v>1</v>
      </c>
      <c r="T208" s="53" t="n">
        <v>1</v>
      </c>
      <c r="U208" s="53" t="n">
        <v>180</v>
      </c>
      <c r="V208" s="53" t="n">
        <v>0</v>
      </c>
      <c r="W208" s="53" t="n">
        <v>800</v>
      </c>
      <c r="X208" s="53" t="n">
        <v>26.34</v>
      </c>
    </row>
    <row r="209">
      <c r="A209" s="53" t="inlineStr">
        <is>
          <t>Rice husk</t>
        </is>
      </c>
      <c r="B209" s="53" t="n">
        <v>38.3</v>
      </c>
      <c r="C209" s="53" t="n">
        <v>31.6</v>
      </c>
      <c r="D209" s="53" t="n">
        <v>11.8</v>
      </c>
      <c r="E209" s="53" t="n">
        <v>68.2</v>
      </c>
      <c r="F209" s="53" t="n">
        <v>16.1</v>
      </c>
      <c r="G209" s="53" t="n">
        <v>15.7</v>
      </c>
      <c r="H209" s="53" t="n">
        <v>45.2</v>
      </c>
      <c r="I209" s="53" t="n">
        <v>47.6</v>
      </c>
      <c r="J209" s="53" t="n">
        <v>5.8</v>
      </c>
      <c r="K209" s="53" t="n">
        <v>1</v>
      </c>
      <c r="L209" s="53" t="n">
        <v>5</v>
      </c>
      <c r="M209" s="53" t="n">
        <v>1</v>
      </c>
      <c r="N209" s="53" t="n">
        <v>1</v>
      </c>
      <c r="O209" s="53" t="n">
        <v>4</v>
      </c>
      <c r="P209" s="53" t="n">
        <v>150</v>
      </c>
      <c r="Q209" s="53" t="n">
        <v>3</v>
      </c>
      <c r="R209" s="53" t="n">
        <v>600</v>
      </c>
      <c r="S209" s="53" t="n">
        <v>1</v>
      </c>
      <c r="T209" s="53" t="n">
        <v>1</v>
      </c>
      <c r="U209" s="53" t="n">
        <v>180</v>
      </c>
      <c r="V209" s="53" t="n">
        <v>0</v>
      </c>
      <c r="W209" s="53" t="n">
        <v>1000</v>
      </c>
      <c r="X209" s="53" t="n">
        <v>29.6</v>
      </c>
    </row>
    <row r="210">
      <c r="A210" s="53" t="inlineStr">
        <is>
          <t>Rice husk</t>
        </is>
      </c>
      <c r="B210" s="53" t="n">
        <v>38.3</v>
      </c>
      <c r="C210" s="53" t="n">
        <v>31.6</v>
      </c>
      <c r="D210" s="53" t="n">
        <v>11.8</v>
      </c>
      <c r="E210" s="53" t="n">
        <v>68.2</v>
      </c>
      <c r="F210" s="53" t="n">
        <v>16.1</v>
      </c>
      <c r="G210" s="53" t="n">
        <v>15.7</v>
      </c>
      <c r="H210" s="53" t="n">
        <v>45.2</v>
      </c>
      <c r="I210" s="53" t="n">
        <v>47.6</v>
      </c>
      <c r="J210" s="53" t="n">
        <v>5.8</v>
      </c>
      <c r="K210" s="53" t="n">
        <v>1</v>
      </c>
      <c r="L210" s="53" t="n">
        <v>5</v>
      </c>
      <c r="M210" s="53" t="n">
        <v>1</v>
      </c>
      <c r="N210" s="53" t="n">
        <v>1</v>
      </c>
      <c r="O210" s="53" t="n">
        <v>4</v>
      </c>
      <c r="P210" s="53" t="n">
        <v>150</v>
      </c>
      <c r="Q210" s="53" t="n">
        <v>3</v>
      </c>
      <c r="R210" s="53" t="n">
        <v>600</v>
      </c>
      <c r="S210" s="53" t="n">
        <v>1</v>
      </c>
      <c r="T210" s="53" t="n">
        <v>1</v>
      </c>
      <c r="U210" s="53" t="n">
        <v>180</v>
      </c>
      <c r="V210" s="53" t="n">
        <v>0</v>
      </c>
      <c r="W210" s="53" t="n">
        <v>1200</v>
      </c>
      <c r="X210" s="53" t="n">
        <v>34.41</v>
      </c>
    </row>
    <row r="211">
      <c r="A211" s="53" t="inlineStr">
        <is>
          <t>Rice husk</t>
        </is>
      </c>
      <c r="B211" s="53" t="n">
        <v>38.3</v>
      </c>
      <c r="C211" s="53" t="n">
        <v>31.6</v>
      </c>
      <c r="D211" s="53" t="n">
        <v>11.8</v>
      </c>
      <c r="E211" s="53" t="n">
        <v>68.2</v>
      </c>
      <c r="F211" s="53" t="n">
        <v>16.1</v>
      </c>
      <c r="G211" s="53" t="n">
        <v>15.7</v>
      </c>
      <c r="H211" s="53" t="n">
        <v>45.2</v>
      </c>
      <c r="I211" s="53" t="n">
        <v>47.6</v>
      </c>
      <c r="J211" s="53" t="n">
        <v>5.8</v>
      </c>
      <c r="K211" s="53" t="n">
        <v>1</v>
      </c>
      <c r="L211" s="53" t="n">
        <v>5</v>
      </c>
      <c r="M211" s="53" t="n">
        <v>1</v>
      </c>
      <c r="N211" s="53" t="n">
        <v>1</v>
      </c>
      <c r="O211" s="53" t="n">
        <v>4</v>
      </c>
      <c r="P211" s="53" t="n">
        <v>150</v>
      </c>
      <c r="Q211" s="53" t="n">
        <v>3</v>
      </c>
      <c r="R211" s="53" t="n">
        <v>600</v>
      </c>
      <c r="S211" s="53" t="n">
        <v>1</v>
      </c>
      <c r="T211" s="53" t="n">
        <v>1</v>
      </c>
      <c r="U211" s="53" t="n">
        <v>180</v>
      </c>
      <c r="V211" s="53" t="n">
        <v>0</v>
      </c>
      <c r="W211" s="53" t="n">
        <v>1400</v>
      </c>
      <c r="X211" s="53" t="n">
        <v>51.91</v>
      </c>
    </row>
    <row r="212">
      <c r="A212" s="53" t="inlineStr">
        <is>
          <t>Rice husk</t>
        </is>
      </c>
      <c r="B212" s="53" t="n">
        <v>38.3</v>
      </c>
      <c r="C212" s="53" t="n">
        <v>31.6</v>
      </c>
      <c r="D212" s="53" t="n">
        <v>11.8</v>
      </c>
      <c r="E212" s="53" t="n">
        <v>68.2</v>
      </c>
      <c r="F212" s="53" t="n">
        <v>16.1</v>
      </c>
      <c r="G212" s="53" t="n">
        <v>15.7</v>
      </c>
      <c r="H212" s="53" t="n">
        <v>45.2</v>
      </c>
      <c r="I212" s="53" t="n">
        <v>47.6</v>
      </c>
      <c r="J212" s="53" t="n">
        <v>5.8</v>
      </c>
      <c r="K212" s="53" t="n">
        <v>1</v>
      </c>
      <c r="L212" s="53" t="n">
        <v>5</v>
      </c>
      <c r="M212" s="53" t="n">
        <v>0</v>
      </c>
      <c r="N212" s="53" t="n">
        <v>1</v>
      </c>
      <c r="O212" s="53" t="n">
        <v>4</v>
      </c>
      <c r="P212" s="53" t="n">
        <v>120</v>
      </c>
      <c r="Q212" s="53" t="n">
        <v>5</v>
      </c>
      <c r="R212" s="53" t="n">
        <v>1100</v>
      </c>
      <c r="S212" s="53" t="n">
        <v>0</v>
      </c>
      <c r="T212" s="53" t="n">
        <v>5</v>
      </c>
      <c r="U212" s="53" t="n">
        <v>0</v>
      </c>
      <c r="V212" s="53" t="n">
        <v>0</v>
      </c>
      <c r="W212" s="53" t="n">
        <v>0</v>
      </c>
      <c r="X212" s="53" t="n">
        <v>11</v>
      </c>
    </row>
    <row r="213">
      <c r="A213" s="53" t="inlineStr">
        <is>
          <t>Rice husk</t>
        </is>
      </c>
      <c r="B213" s="53" t="n">
        <v>38.3</v>
      </c>
      <c r="C213" s="53" t="n">
        <v>31.6</v>
      </c>
      <c r="D213" s="53" t="n">
        <v>11.8</v>
      </c>
      <c r="E213" s="53" t="n">
        <v>68.2</v>
      </c>
      <c r="F213" s="53" t="n">
        <v>16.1</v>
      </c>
      <c r="G213" s="53" t="n">
        <v>15.7</v>
      </c>
      <c r="H213" s="53" t="n">
        <v>45.2</v>
      </c>
      <c r="I213" s="53" t="n">
        <v>47.6</v>
      </c>
      <c r="J213" s="53" t="n">
        <v>5.8</v>
      </c>
      <c r="K213" s="53" t="n">
        <v>1</v>
      </c>
      <c r="L213" s="53" t="n">
        <v>5</v>
      </c>
      <c r="M213" s="53" t="n">
        <v>0</v>
      </c>
      <c r="N213" s="53" t="n">
        <v>1</v>
      </c>
      <c r="O213" s="53" t="n">
        <v>4</v>
      </c>
      <c r="P213" s="53" t="n">
        <v>120</v>
      </c>
      <c r="Q213" s="53" t="n">
        <v>5</v>
      </c>
      <c r="R213" s="53" t="n">
        <v>1300</v>
      </c>
      <c r="S213" s="53" t="n">
        <v>0</v>
      </c>
      <c r="T213" s="53" t="n">
        <v>5</v>
      </c>
      <c r="U213" s="53" t="n">
        <v>0</v>
      </c>
      <c r="V213" s="53" t="n">
        <v>0</v>
      </c>
      <c r="W213" s="53" t="n">
        <v>0</v>
      </c>
      <c r="X213" s="53" t="n">
        <v>12</v>
      </c>
    </row>
    <row r="214">
      <c r="A214" s="53" t="inlineStr">
        <is>
          <t>Rice husk</t>
        </is>
      </c>
      <c r="B214" s="53" t="n">
        <v>38.3</v>
      </c>
      <c r="C214" s="53" t="n">
        <v>31.6</v>
      </c>
      <c r="D214" s="53" t="n">
        <v>11.8</v>
      </c>
      <c r="E214" s="53" t="n">
        <v>68.2</v>
      </c>
      <c r="F214" s="53" t="n">
        <v>16.1</v>
      </c>
      <c r="G214" s="53" t="n">
        <v>15.7</v>
      </c>
      <c r="H214" s="53" t="n">
        <v>45.2</v>
      </c>
      <c r="I214" s="53" t="n">
        <v>47.6</v>
      </c>
      <c r="J214" s="53" t="n">
        <v>5.8</v>
      </c>
      <c r="K214" s="53" t="n">
        <v>1</v>
      </c>
      <c r="L214" s="53" t="n">
        <v>5</v>
      </c>
      <c r="M214" s="53" t="n">
        <v>0</v>
      </c>
      <c r="N214" s="53" t="n">
        <v>1</v>
      </c>
      <c r="O214" s="53" t="n">
        <v>4</v>
      </c>
      <c r="P214" s="53" t="n">
        <v>120</v>
      </c>
      <c r="Q214" s="53" t="n">
        <v>5</v>
      </c>
      <c r="R214" s="53" t="n">
        <v>1500</v>
      </c>
      <c r="S214" s="53" t="n">
        <v>0</v>
      </c>
      <c r="T214" s="53" t="n">
        <v>5</v>
      </c>
      <c r="U214" s="53" t="n">
        <v>0</v>
      </c>
      <c r="V214" s="53" t="n">
        <v>0</v>
      </c>
      <c r="W214" s="53" t="n">
        <v>0</v>
      </c>
      <c r="X214" s="53" t="n">
        <v>12.5</v>
      </c>
    </row>
    <row r="215">
      <c r="A215" s="53" t="inlineStr">
        <is>
          <t>Snake fruit peal</t>
        </is>
      </c>
      <c r="B215" s="53" t="n">
        <v>33.2218304752774</v>
      </c>
      <c r="C215" s="53" t="n">
        <v>21.853398033426</v>
      </c>
      <c r="D215" s="53" t="n">
        <v>28.5436099393292</v>
      </c>
      <c r="E215" s="53" t="n">
        <v>63.5</v>
      </c>
      <c r="F215" s="53" t="n">
        <v>5.2</v>
      </c>
      <c r="G215" s="53" t="n">
        <v>25.5</v>
      </c>
      <c r="H215" s="53" t="n">
        <v>55.73</v>
      </c>
      <c r="I215" s="53" t="n">
        <v>23.28</v>
      </c>
      <c r="J215" s="53" t="n">
        <v>2.76242121690954</v>
      </c>
      <c r="K215" s="53" t="n">
        <v>6</v>
      </c>
      <c r="L215" s="53" t="n">
        <v>1</v>
      </c>
      <c r="M215" s="53" t="n">
        <v>1</v>
      </c>
      <c r="N215" s="53" t="n">
        <v>1</v>
      </c>
      <c r="O215" s="53" t="n">
        <v>4</v>
      </c>
      <c r="P215" s="53" t="n">
        <v>60</v>
      </c>
      <c r="Q215" s="53" t="n">
        <v>4.12679483693668</v>
      </c>
      <c r="R215" s="53" t="n">
        <v>500</v>
      </c>
      <c r="S215" s="53" t="n">
        <v>1</v>
      </c>
      <c r="T215" s="53" t="n">
        <v>3</v>
      </c>
      <c r="U215" s="53" t="n">
        <v>60</v>
      </c>
      <c r="V215" s="53" t="n">
        <v>5</v>
      </c>
      <c r="W215" s="53" t="n">
        <v>800</v>
      </c>
      <c r="X215" s="53" t="n">
        <v>0.87</v>
      </c>
    </row>
    <row r="216">
      <c r="A216" s="53" t="inlineStr">
        <is>
          <t>Snake fruit peal</t>
        </is>
      </c>
      <c r="B216" s="53" t="n">
        <v>33.2213311659527</v>
      </c>
      <c r="C216" s="53" t="n">
        <v>21.8551058982753</v>
      </c>
      <c r="D216" s="53" t="n">
        <v>28.5459419408344</v>
      </c>
      <c r="E216" s="53" t="n">
        <v>63.5</v>
      </c>
      <c r="F216" s="53" t="n">
        <v>5.2</v>
      </c>
      <c r="G216" s="53" t="n">
        <v>25.5</v>
      </c>
      <c r="H216" s="53" t="n">
        <v>55.73</v>
      </c>
      <c r="I216" s="53" t="n">
        <v>23.28</v>
      </c>
      <c r="J216" s="53" t="n">
        <v>2.76241916035237</v>
      </c>
      <c r="K216" s="53" t="n">
        <v>6</v>
      </c>
      <c r="L216" s="53" t="n">
        <v>1</v>
      </c>
      <c r="M216" s="53" t="n">
        <v>1</v>
      </c>
      <c r="N216" s="53" t="n">
        <v>1</v>
      </c>
      <c r="O216" s="53" t="n">
        <v>4</v>
      </c>
      <c r="P216" s="53" t="n">
        <v>60</v>
      </c>
      <c r="Q216" s="53" t="n">
        <v>4.12680504751291</v>
      </c>
      <c r="R216" s="53" t="n">
        <v>500</v>
      </c>
      <c r="S216" s="53" t="n">
        <v>1</v>
      </c>
      <c r="T216" s="53" t="n">
        <v>3</v>
      </c>
      <c r="U216" s="53" t="n">
        <v>60</v>
      </c>
      <c r="V216" s="53" t="n">
        <v>5</v>
      </c>
      <c r="W216" s="53" t="n">
        <v>800</v>
      </c>
      <c r="X216" s="53" t="n">
        <v>0.83</v>
      </c>
    </row>
    <row r="217">
      <c r="A217" s="53" t="inlineStr">
        <is>
          <t>Snake fruit peal</t>
        </is>
      </c>
      <c r="B217" s="53" t="n">
        <v>33.2213311624287</v>
      </c>
      <c r="C217" s="53" t="n">
        <v>21.855105910329</v>
      </c>
      <c r="D217" s="53" t="n">
        <v>28.5459419572931</v>
      </c>
      <c r="E217" s="53" t="n">
        <v>63.5</v>
      </c>
      <c r="F217" s="53" t="n">
        <v>5.2</v>
      </c>
      <c r="G217" s="53" t="n">
        <v>25.5</v>
      </c>
      <c r="H217" s="53" t="n">
        <v>55.73</v>
      </c>
      <c r="I217" s="53" t="n">
        <v>23.28</v>
      </c>
      <c r="J217" s="53" t="n">
        <v>2.76241916182452</v>
      </c>
      <c r="K217" s="53" t="n">
        <v>6</v>
      </c>
      <c r="L217" s="53" t="n">
        <v>1</v>
      </c>
      <c r="M217" s="53" t="n">
        <v>1</v>
      </c>
      <c r="N217" s="53" t="n">
        <v>1</v>
      </c>
      <c r="O217" s="53" t="n">
        <v>4</v>
      </c>
      <c r="P217" s="53" t="n">
        <v>60</v>
      </c>
      <c r="Q217" s="53" t="n">
        <v>4.12704819332993</v>
      </c>
      <c r="R217" s="53" t="n">
        <v>500</v>
      </c>
      <c r="S217" s="53" t="n">
        <v>1</v>
      </c>
      <c r="T217" s="53" t="n">
        <v>8</v>
      </c>
      <c r="U217" s="53" t="n">
        <v>60</v>
      </c>
      <c r="V217" s="53" t="n">
        <v>5</v>
      </c>
      <c r="W217" s="53" t="n">
        <v>800</v>
      </c>
      <c r="X217" s="53" t="n">
        <v>0.79</v>
      </c>
    </row>
    <row r="218">
      <c r="A218" s="53" t="inlineStr">
        <is>
          <t>Typha</t>
        </is>
      </c>
      <c r="B218" s="53" t="n">
        <v>34.5</v>
      </c>
      <c r="C218" s="53" t="n">
        <v>28</v>
      </c>
      <c r="D218" s="53" t="n">
        <v>8</v>
      </c>
      <c r="E218" s="53" t="n">
        <v>80.05</v>
      </c>
      <c r="F218" s="53" t="n">
        <v>3.81</v>
      </c>
      <c r="G218" s="53" t="n">
        <v>2.18</v>
      </c>
      <c r="H218" s="53" t="n">
        <v>52.89</v>
      </c>
      <c r="I218" s="53" t="n">
        <v>40.04</v>
      </c>
      <c r="J218" s="53" t="n">
        <v>5.84</v>
      </c>
      <c r="K218" s="53" t="n">
        <v>6</v>
      </c>
      <c r="L218" s="53" t="n">
        <v>1</v>
      </c>
      <c r="M218" s="53" t="n">
        <v>0</v>
      </c>
      <c r="N218" s="53" t="n">
        <v>1</v>
      </c>
      <c r="O218" s="53" t="n">
        <v>0</v>
      </c>
      <c r="P218" s="53" t="n">
        <v>171.657336872407</v>
      </c>
      <c r="Q218" s="53" t="n">
        <v>4.56150631180462</v>
      </c>
      <c r="R218" s="53" t="n">
        <v>500</v>
      </c>
      <c r="S218" s="53" t="n">
        <v>0</v>
      </c>
      <c r="T218" s="53" t="n">
        <v>5</v>
      </c>
      <c r="U218" s="53" t="n">
        <v>0</v>
      </c>
      <c r="V218" s="53" t="n">
        <v>0</v>
      </c>
      <c r="W218" s="53" t="n">
        <v>0</v>
      </c>
      <c r="X218" s="53" t="n">
        <v>4.81</v>
      </c>
    </row>
    <row r="219">
      <c r="A219" s="53" t="inlineStr">
        <is>
          <t>Vine Shoots</t>
        </is>
      </c>
      <c r="B219" s="53" t="n">
        <v>31.9</v>
      </c>
      <c r="C219" s="53" t="n">
        <v>23.2</v>
      </c>
      <c r="D219" s="53" t="n">
        <v>38.5</v>
      </c>
      <c r="E219" s="53" t="n">
        <v>71.40000000000001</v>
      </c>
      <c r="F219" s="53" t="n">
        <v>3.7</v>
      </c>
      <c r="G219" s="53" t="n">
        <v>14.6</v>
      </c>
      <c r="H219" s="53" t="n">
        <v>41.8</v>
      </c>
      <c r="I219" s="53" t="n">
        <v>51.6</v>
      </c>
      <c r="J219" s="53" t="n">
        <v>5.87</v>
      </c>
      <c r="K219" s="53" t="n">
        <v>4</v>
      </c>
      <c r="L219" s="53" t="n">
        <v>1</v>
      </c>
      <c r="M219" s="53" t="n">
        <v>1</v>
      </c>
      <c r="N219" s="53" t="n">
        <v>0</v>
      </c>
      <c r="O219" s="53" t="n">
        <v>4</v>
      </c>
      <c r="P219" s="53" t="n">
        <v>720</v>
      </c>
      <c r="Q219" s="53" t="n">
        <v>5</v>
      </c>
      <c r="R219" s="53" t="n">
        <v>180</v>
      </c>
      <c r="S219" s="53" t="n">
        <v>1</v>
      </c>
      <c r="T219" s="53" t="n">
        <v>5</v>
      </c>
      <c r="U219" s="53" t="n">
        <v>120</v>
      </c>
      <c r="V219" s="53" t="n">
        <v>5</v>
      </c>
      <c r="W219" s="53" t="n">
        <v>800</v>
      </c>
      <c r="X219" s="53" t="n">
        <v>2.875</v>
      </c>
    </row>
    <row r="220">
      <c r="A220" s="53" t="inlineStr">
        <is>
          <t>Vine Shoots</t>
        </is>
      </c>
      <c r="B220" s="53" t="n">
        <v>31.9</v>
      </c>
      <c r="C220" s="53" t="n">
        <v>23.2</v>
      </c>
      <c r="D220" s="53" t="n">
        <v>38.5</v>
      </c>
      <c r="E220" s="53" t="n">
        <v>71.40000000000001</v>
      </c>
      <c r="F220" s="53" t="n">
        <v>3.7</v>
      </c>
      <c r="G220" s="53" t="n">
        <v>14.6</v>
      </c>
      <c r="H220" s="53" t="n">
        <v>41.8</v>
      </c>
      <c r="I220" s="53" t="n">
        <v>51.6</v>
      </c>
      <c r="J220" s="53" t="n">
        <v>5.87</v>
      </c>
      <c r="K220" s="53" t="n">
        <v>4</v>
      </c>
      <c r="L220" s="53" t="n">
        <v>1</v>
      </c>
      <c r="M220" s="53" t="n">
        <v>1</v>
      </c>
      <c r="N220" s="53" t="n">
        <v>0</v>
      </c>
      <c r="O220" s="53" t="n">
        <v>4</v>
      </c>
      <c r="P220" s="53" t="n">
        <v>720</v>
      </c>
      <c r="Q220" s="53" t="n">
        <v>5</v>
      </c>
      <c r="R220" s="53" t="n">
        <v>180</v>
      </c>
      <c r="S220" s="53" t="n">
        <v>1</v>
      </c>
      <c r="T220" s="53" t="n">
        <v>5</v>
      </c>
      <c r="U220" s="53" t="n">
        <v>120</v>
      </c>
      <c r="V220" s="53" t="n">
        <v>5</v>
      </c>
      <c r="W220" s="53" t="n">
        <v>1000</v>
      </c>
      <c r="X220" s="53" t="n">
        <v>3.822</v>
      </c>
    </row>
    <row r="221">
      <c r="A221" s="53" t="inlineStr">
        <is>
          <t>Vine Shoots</t>
        </is>
      </c>
      <c r="B221" s="53" t="n">
        <v>31.9</v>
      </c>
      <c r="C221" s="53" t="n">
        <v>23.2</v>
      </c>
      <c r="D221" s="53" t="n">
        <v>38.5</v>
      </c>
      <c r="E221" s="53" t="n">
        <v>71.40000000000001</v>
      </c>
      <c r="F221" s="53" t="n">
        <v>3.7</v>
      </c>
      <c r="G221" s="53" t="n">
        <v>14.6</v>
      </c>
      <c r="H221" s="53" t="n">
        <v>41.8</v>
      </c>
      <c r="I221" s="53" t="n">
        <v>51.6</v>
      </c>
      <c r="J221" s="53" t="n">
        <v>5.87</v>
      </c>
      <c r="K221" s="53" t="n">
        <v>4</v>
      </c>
      <c r="L221" s="53" t="n">
        <v>1</v>
      </c>
      <c r="M221" s="53" t="n">
        <v>1</v>
      </c>
      <c r="N221" s="53" t="n">
        <v>0</v>
      </c>
      <c r="O221" s="53" t="n">
        <v>4</v>
      </c>
      <c r="P221" s="53" t="n">
        <v>720</v>
      </c>
      <c r="Q221" s="53" t="n">
        <v>5</v>
      </c>
      <c r="R221" s="53" t="n">
        <v>180</v>
      </c>
      <c r="S221" s="53" t="n">
        <v>1</v>
      </c>
      <c r="T221" s="53" t="n">
        <v>5</v>
      </c>
      <c r="U221" s="53" t="n">
        <v>120</v>
      </c>
      <c r="V221" s="53" t="n">
        <v>5</v>
      </c>
      <c r="W221" s="53" t="n">
        <v>1200</v>
      </c>
      <c r="X221" s="53" t="n">
        <v>4.303</v>
      </c>
    </row>
    <row r="222">
      <c r="A222" s="53" t="inlineStr">
        <is>
          <t>Vine Shoots</t>
        </is>
      </c>
      <c r="B222" s="53" t="n">
        <v>31.9</v>
      </c>
      <c r="C222" s="53" t="n">
        <v>23.2</v>
      </c>
      <c r="D222" s="53" t="n">
        <v>38.5</v>
      </c>
      <c r="E222" s="53" t="n">
        <v>71.40000000000001</v>
      </c>
      <c r="F222" s="53" t="n">
        <v>3.7</v>
      </c>
      <c r="G222" s="53" t="n">
        <v>14.6</v>
      </c>
      <c r="H222" s="53" t="n">
        <v>41.8</v>
      </c>
      <c r="I222" s="53" t="n">
        <v>51.6</v>
      </c>
      <c r="J222" s="53" t="n">
        <v>5.87</v>
      </c>
      <c r="K222" s="53" t="n">
        <v>4</v>
      </c>
      <c r="L222" s="53" t="n">
        <v>1</v>
      </c>
      <c r="M222" s="53" t="n">
        <v>1</v>
      </c>
      <c r="N222" s="53" t="n">
        <v>0</v>
      </c>
      <c r="O222" s="53" t="n">
        <v>4</v>
      </c>
      <c r="P222" s="53" t="n">
        <v>720</v>
      </c>
      <c r="Q222" s="53" t="n">
        <v>5</v>
      </c>
      <c r="R222" s="53" t="n">
        <v>180</v>
      </c>
      <c r="S222" s="53" t="n">
        <v>1</v>
      </c>
      <c r="T222" s="53" t="n">
        <v>5</v>
      </c>
      <c r="U222" s="53" t="n">
        <v>120</v>
      </c>
      <c r="V222" s="53" t="n">
        <v>5</v>
      </c>
      <c r="W222" s="53" t="n">
        <v>1000</v>
      </c>
      <c r="X222" s="53" t="n">
        <v>3.653</v>
      </c>
    </row>
    <row r="223">
      <c r="A223" s="53" t="inlineStr">
        <is>
          <t>Walnut shell</t>
        </is>
      </c>
      <c r="B223" s="53" t="n">
        <v>42.36</v>
      </c>
      <c r="C223" s="53" t="n">
        <v>10.26</v>
      </c>
      <c r="D223" s="53" t="n">
        <v>27.19</v>
      </c>
      <c r="E223" s="53" t="n">
        <v>71.52</v>
      </c>
      <c r="F223" s="53" t="n">
        <v>1.65</v>
      </c>
      <c r="G223" s="53" t="n">
        <v>19.33</v>
      </c>
      <c r="H223" s="53" t="n">
        <v>46.65</v>
      </c>
      <c r="I223" s="53" t="n">
        <v>47.54</v>
      </c>
      <c r="J223" s="53" t="n">
        <v>5.8</v>
      </c>
      <c r="K223" s="53" t="n">
        <v>4</v>
      </c>
      <c r="L223" s="53" t="n">
        <v>2</v>
      </c>
      <c r="M223" s="53" t="n">
        <v>0</v>
      </c>
      <c r="N223" s="53" t="n">
        <v>1</v>
      </c>
      <c r="O223" s="53" t="n">
        <v>4</v>
      </c>
      <c r="P223" s="53" t="n">
        <v>300</v>
      </c>
      <c r="Q223" s="53" t="n">
        <v>5</v>
      </c>
      <c r="R223" s="53" t="n">
        <v>600</v>
      </c>
      <c r="S223" s="53" t="n">
        <v>0</v>
      </c>
      <c r="T223" s="53" t="n">
        <v>5</v>
      </c>
      <c r="U223" s="53" t="n">
        <v>0</v>
      </c>
      <c r="V223" s="53" t="n">
        <v>0</v>
      </c>
      <c r="W223" s="53" t="n">
        <v>0</v>
      </c>
      <c r="X223" s="53" t="n">
        <v>21</v>
      </c>
    </row>
    <row r="224">
      <c r="A224" s="53" t="inlineStr">
        <is>
          <t>Walnut shell</t>
        </is>
      </c>
      <c r="B224" s="53" t="n">
        <v>42.36</v>
      </c>
      <c r="C224" s="53" t="n">
        <v>10.26</v>
      </c>
      <c r="D224" s="53" t="n">
        <v>27.19</v>
      </c>
      <c r="E224" s="53" t="n">
        <v>71.52</v>
      </c>
      <c r="F224" s="53" t="n">
        <v>1.65</v>
      </c>
      <c r="G224" s="53" t="n">
        <v>19.33</v>
      </c>
      <c r="H224" s="53" t="n">
        <v>46.65</v>
      </c>
      <c r="I224" s="53" t="n">
        <v>47.54</v>
      </c>
      <c r="J224" s="53" t="n">
        <v>5.8</v>
      </c>
      <c r="K224" s="53" t="n">
        <v>4</v>
      </c>
      <c r="L224" s="53" t="n">
        <v>2</v>
      </c>
      <c r="M224" s="53" t="n">
        <v>0</v>
      </c>
      <c r="N224" s="53" t="n">
        <v>1</v>
      </c>
      <c r="O224" s="53" t="n">
        <v>4</v>
      </c>
      <c r="P224" s="53" t="n">
        <v>300</v>
      </c>
      <c r="Q224" s="53" t="n">
        <v>5</v>
      </c>
      <c r="R224" s="53" t="n">
        <v>800</v>
      </c>
      <c r="S224" s="53" t="n">
        <v>0</v>
      </c>
      <c r="T224" s="53" t="n">
        <v>5</v>
      </c>
      <c r="U224" s="53" t="n">
        <v>0</v>
      </c>
      <c r="V224" s="53" t="n">
        <v>0</v>
      </c>
      <c r="W224" s="53" t="n">
        <v>0</v>
      </c>
      <c r="X224" s="53" t="n">
        <v>17.7</v>
      </c>
    </row>
    <row r="225">
      <c r="A225" s="53" t="inlineStr">
        <is>
          <t>Walnut shell</t>
        </is>
      </c>
      <c r="B225" s="53" t="n">
        <v>42.36</v>
      </c>
      <c r="C225" s="53" t="n">
        <v>10.26</v>
      </c>
      <c r="D225" s="53" t="n">
        <v>27.19</v>
      </c>
      <c r="E225" s="53" t="n">
        <v>71.52</v>
      </c>
      <c r="F225" s="53" t="n">
        <v>1.65</v>
      </c>
      <c r="G225" s="53" t="n">
        <v>19.33</v>
      </c>
      <c r="H225" s="53" t="n">
        <v>46.65</v>
      </c>
      <c r="I225" s="53" t="n">
        <v>47.54</v>
      </c>
      <c r="J225" s="53" t="n">
        <v>5.8</v>
      </c>
      <c r="K225" s="53" t="n">
        <v>4</v>
      </c>
      <c r="L225" s="53" t="n">
        <v>2</v>
      </c>
      <c r="M225" s="53" t="n">
        <v>0</v>
      </c>
      <c r="N225" s="53" t="n">
        <v>1</v>
      </c>
      <c r="O225" s="53" t="n">
        <v>4</v>
      </c>
      <c r="P225" s="53" t="n">
        <v>300</v>
      </c>
      <c r="Q225" s="53" t="n">
        <v>5</v>
      </c>
      <c r="R225" s="53" t="n">
        <v>1000</v>
      </c>
      <c r="S225" s="53" t="n">
        <v>0</v>
      </c>
      <c r="T225" s="53" t="n">
        <v>5</v>
      </c>
      <c r="U225" s="53" t="n">
        <v>0</v>
      </c>
      <c r="V225" s="53" t="n">
        <v>0</v>
      </c>
      <c r="W225" s="53" t="n">
        <v>0</v>
      </c>
      <c r="X225" s="53" t="n">
        <v>15.4</v>
      </c>
    </row>
    <row r="226">
      <c r="A226" s="53" t="inlineStr">
        <is>
          <t>Walnut shell</t>
        </is>
      </c>
      <c r="B226" s="53" t="n">
        <v>42.36</v>
      </c>
      <c r="C226" s="53" t="n">
        <v>10.26</v>
      </c>
      <c r="D226" s="53" t="n">
        <v>27.19</v>
      </c>
      <c r="E226" s="53" t="n">
        <v>71.52</v>
      </c>
      <c r="F226" s="53" t="n">
        <v>1.65</v>
      </c>
      <c r="G226" s="53" t="n">
        <v>19.33</v>
      </c>
      <c r="H226" s="53" t="n">
        <v>46.65</v>
      </c>
      <c r="I226" s="53" t="n">
        <v>47.54</v>
      </c>
      <c r="J226" s="53" t="n">
        <v>5.8</v>
      </c>
      <c r="K226" s="53" t="n">
        <v>4</v>
      </c>
      <c r="L226" s="53" t="n">
        <v>2</v>
      </c>
      <c r="M226" s="53" t="n">
        <v>0</v>
      </c>
      <c r="N226" s="53" t="n">
        <v>1</v>
      </c>
      <c r="O226" s="53" t="n">
        <v>4</v>
      </c>
      <c r="P226" s="53" t="n">
        <v>300</v>
      </c>
      <c r="Q226" s="53" t="n">
        <v>5</v>
      </c>
      <c r="R226" s="53" t="n">
        <v>1200</v>
      </c>
      <c r="S226" s="53" t="n">
        <v>0</v>
      </c>
      <c r="T226" s="53" t="n">
        <v>5</v>
      </c>
      <c r="U226" s="53" t="n">
        <v>0</v>
      </c>
      <c r="V226" s="53" t="n">
        <v>0</v>
      </c>
      <c r="W226" s="53" t="n">
        <v>0</v>
      </c>
      <c r="X226" s="53" t="n">
        <v>16.2</v>
      </c>
    </row>
    <row r="227">
      <c r="A227" s="53" t="inlineStr">
        <is>
          <t>Walnut shell</t>
        </is>
      </c>
      <c r="B227" s="53" t="n">
        <v>42.36</v>
      </c>
      <c r="C227" s="53" t="n">
        <v>10.26</v>
      </c>
      <c r="D227" s="53" t="n">
        <v>27.19</v>
      </c>
      <c r="E227" s="53" t="n">
        <v>71.52</v>
      </c>
      <c r="F227" s="53" t="n">
        <v>1.65</v>
      </c>
      <c r="G227" s="53" t="n">
        <v>19.33</v>
      </c>
      <c r="H227" s="53" t="n">
        <v>46.65</v>
      </c>
      <c r="I227" s="53" t="n">
        <v>47.54</v>
      </c>
      <c r="J227" s="53" t="n">
        <v>5.8</v>
      </c>
      <c r="K227" s="53" t="n">
        <v>4</v>
      </c>
      <c r="L227" s="53" t="n">
        <v>3</v>
      </c>
      <c r="M227" s="53" t="n">
        <v>0</v>
      </c>
      <c r="N227" s="53" t="n">
        <v>1</v>
      </c>
      <c r="O227" s="53" t="n">
        <v>4</v>
      </c>
      <c r="P227" s="53" t="n">
        <v>300</v>
      </c>
      <c r="Q227" s="53" t="n">
        <v>5</v>
      </c>
      <c r="R227" s="53" t="n">
        <v>1300</v>
      </c>
      <c r="S227" s="53" t="n">
        <v>0</v>
      </c>
      <c r="T227" s="53" t="n">
        <v>5</v>
      </c>
      <c r="U227" s="53" t="n">
        <v>0</v>
      </c>
      <c r="V227" s="53" t="n">
        <v>0</v>
      </c>
      <c r="W227" s="53" t="n">
        <v>0</v>
      </c>
      <c r="X227" s="53" t="n">
        <v>33</v>
      </c>
    </row>
    <row r="228">
      <c r="A228" s="53" t="inlineStr">
        <is>
          <t>Walnut shells</t>
        </is>
      </c>
      <c r="B228" s="53" t="n">
        <v>42.36</v>
      </c>
      <c r="C228" s="53" t="n">
        <v>10.26</v>
      </c>
      <c r="D228" s="53" t="n">
        <v>27.19</v>
      </c>
      <c r="E228" s="53" t="n">
        <v>71.52</v>
      </c>
      <c r="F228" s="53" t="n">
        <v>1.65</v>
      </c>
      <c r="G228" s="53" t="n">
        <v>19.33</v>
      </c>
      <c r="H228" s="53" t="n">
        <v>46.65</v>
      </c>
      <c r="I228" s="53" t="n">
        <v>47.54</v>
      </c>
      <c r="J228" s="53" t="n">
        <v>5.8</v>
      </c>
      <c r="K228" s="53" t="n">
        <v>1</v>
      </c>
      <c r="L228" s="53" t="n">
        <v>5</v>
      </c>
      <c r="M228" s="53" t="n">
        <v>0</v>
      </c>
      <c r="N228" s="53" t="n">
        <v>1</v>
      </c>
      <c r="O228" s="53" t="n">
        <v>4</v>
      </c>
      <c r="P228" s="53" t="n">
        <v>120</v>
      </c>
      <c r="Q228" s="53" t="n">
        <v>5</v>
      </c>
      <c r="R228" s="53" t="n">
        <v>1400</v>
      </c>
      <c r="S228" s="53" t="n">
        <v>0</v>
      </c>
      <c r="T228" s="53" t="n">
        <v>5</v>
      </c>
      <c r="U228" s="53" t="n">
        <v>0</v>
      </c>
      <c r="V228" s="53" t="n">
        <v>0</v>
      </c>
      <c r="W228" s="53" t="n">
        <v>0</v>
      </c>
      <c r="X228" s="53" t="n">
        <v>2.03</v>
      </c>
    </row>
    <row r="229">
      <c r="A229" s="53" t="inlineStr">
        <is>
          <t>Walnut shells</t>
        </is>
      </c>
      <c r="B229" s="53" t="n">
        <v>42.36</v>
      </c>
      <c r="C229" s="53" t="n">
        <v>10.26</v>
      </c>
      <c r="D229" s="53" t="n">
        <v>27.19</v>
      </c>
      <c r="E229" s="53" t="n">
        <v>71.52</v>
      </c>
      <c r="F229" s="53" t="n">
        <v>1.65</v>
      </c>
      <c r="G229" s="53" t="n">
        <v>19.33</v>
      </c>
      <c r="H229" s="53" t="n">
        <v>46.65</v>
      </c>
      <c r="I229" s="53" t="n">
        <v>47.54</v>
      </c>
      <c r="J229" s="53" t="n">
        <v>5.8</v>
      </c>
      <c r="K229" s="53" t="n">
        <v>4</v>
      </c>
      <c r="L229" s="53" t="n">
        <v>1</v>
      </c>
      <c r="M229" s="53" t="n">
        <v>0</v>
      </c>
      <c r="N229" s="53" t="n">
        <v>1</v>
      </c>
      <c r="O229" s="53" t="n">
        <v>4</v>
      </c>
      <c r="P229" s="53" t="n">
        <v>60</v>
      </c>
      <c r="Q229" s="53" t="n">
        <v>5</v>
      </c>
      <c r="R229" s="53" t="n">
        <v>1300</v>
      </c>
      <c r="S229" s="53" t="n">
        <v>0</v>
      </c>
      <c r="T229" s="53" t="n">
        <v>5</v>
      </c>
      <c r="U229" s="53" t="n">
        <v>0</v>
      </c>
      <c r="V229" s="53" t="n">
        <v>0</v>
      </c>
      <c r="W229" s="53" t="n">
        <v>0</v>
      </c>
      <c r="X229" s="53" t="n">
        <v>0.34</v>
      </c>
    </row>
    <row r="230">
      <c r="A230" s="53" t="inlineStr">
        <is>
          <t>Water caltrop</t>
        </is>
      </c>
      <c r="B230" s="53" t="n">
        <v>34.55</v>
      </c>
      <c r="C230" s="53" t="n">
        <v>12.78</v>
      </c>
      <c r="D230" s="53" t="n">
        <v>22</v>
      </c>
      <c r="E230" s="53" t="n">
        <v>71</v>
      </c>
      <c r="F230" s="53" t="n">
        <v>6.32</v>
      </c>
      <c r="G230" s="53" t="n">
        <v>13.58</v>
      </c>
      <c r="H230" s="53" t="n">
        <v>40.05</v>
      </c>
      <c r="I230" s="53" t="n">
        <v>45.49</v>
      </c>
      <c r="J230" s="53" t="n">
        <v>6.13</v>
      </c>
      <c r="K230" s="53" t="n">
        <v>5</v>
      </c>
      <c r="L230" s="53" t="n">
        <v>1</v>
      </c>
      <c r="M230" s="53" t="n">
        <v>0</v>
      </c>
      <c r="N230" s="53" t="n">
        <v>1</v>
      </c>
      <c r="O230" s="53" t="n">
        <v>4</v>
      </c>
      <c r="P230" s="53" t="n">
        <v>180</v>
      </c>
      <c r="Q230" s="53" t="n">
        <v>5</v>
      </c>
      <c r="R230" s="53" t="n">
        <v>900</v>
      </c>
      <c r="S230" s="53" t="n">
        <v>0</v>
      </c>
      <c r="T230" s="53" t="n">
        <v>5</v>
      </c>
      <c r="U230" s="53" t="n">
        <v>0</v>
      </c>
      <c r="V230" s="53" t="n">
        <v>0</v>
      </c>
      <c r="W230" s="53" t="n">
        <v>0</v>
      </c>
      <c r="X230" s="53" t="n">
        <v>3.14</v>
      </c>
    </row>
    <row r="231">
      <c r="A231" s="53" t="inlineStr">
        <is>
          <t>Water caltrop</t>
        </is>
      </c>
      <c r="B231" s="53" t="n">
        <v>34.55</v>
      </c>
      <c r="C231" s="53" t="n">
        <v>12.78</v>
      </c>
      <c r="D231" s="53" t="n">
        <v>22</v>
      </c>
      <c r="E231" s="53" t="n">
        <v>71</v>
      </c>
      <c r="F231" s="53" t="n">
        <v>6.32</v>
      </c>
      <c r="G231" s="53" t="n">
        <v>13.58</v>
      </c>
      <c r="H231" s="53" t="n">
        <v>40.05</v>
      </c>
      <c r="I231" s="53" t="n">
        <v>45.49</v>
      </c>
      <c r="J231" s="53" t="n">
        <v>6.13</v>
      </c>
      <c r="K231" s="53" t="n">
        <v>5</v>
      </c>
      <c r="L231" s="53" t="n">
        <v>1</v>
      </c>
      <c r="M231" s="53" t="n">
        <v>0</v>
      </c>
      <c r="N231" s="53" t="n">
        <v>1</v>
      </c>
      <c r="O231" s="53" t="n">
        <v>4</v>
      </c>
      <c r="P231" s="53" t="n">
        <v>180</v>
      </c>
      <c r="Q231" s="53" t="n">
        <v>5</v>
      </c>
      <c r="R231" s="53" t="n">
        <v>1100</v>
      </c>
      <c r="S231" s="53" t="n">
        <v>0</v>
      </c>
      <c r="T231" s="53" t="n">
        <v>5</v>
      </c>
      <c r="U231" s="53" t="n">
        <v>0</v>
      </c>
      <c r="V231" s="53" t="n">
        <v>0</v>
      </c>
      <c r="W231" s="53" t="n">
        <v>0</v>
      </c>
      <c r="X231" s="53" t="n">
        <v>3.16</v>
      </c>
    </row>
    <row r="232">
      <c r="A232" s="53" t="inlineStr">
        <is>
          <t>Water caltrop</t>
        </is>
      </c>
      <c r="B232" s="53" t="n">
        <v>34.55</v>
      </c>
      <c r="C232" s="53" t="n">
        <v>12.78</v>
      </c>
      <c r="D232" s="53" t="n">
        <v>22</v>
      </c>
      <c r="E232" s="53" t="n">
        <v>71</v>
      </c>
      <c r="F232" s="53" t="n">
        <v>6.32</v>
      </c>
      <c r="G232" s="53" t="n">
        <v>13.58</v>
      </c>
      <c r="H232" s="53" t="n">
        <v>40.05</v>
      </c>
      <c r="I232" s="53" t="n">
        <v>45.49</v>
      </c>
      <c r="J232" s="53" t="n">
        <v>6.13</v>
      </c>
      <c r="K232" s="53" t="n">
        <v>5</v>
      </c>
      <c r="L232" s="53" t="n">
        <v>1</v>
      </c>
      <c r="M232" s="53" t="n">
        <v>0</v>
      </c>
      <c r="N232" s="53" t="n">
        <v>1</v>
      </c>
      <c r="O232" s="53" t="n">
        <v>4</v>
      </c>
      <c r="P232" s="53" t="n">
        <v>180</v>
      </c>
      <c r="Q232" s="53" t="n">
        <v>5</v>
      </c>
      <c r="R232" s="53" t="n">
        <v>1300</v>
      </c>
      <c r="S232" s="53" t="n">
        <v>0</v>
      </c>
      <c r="T232" s="53" t="n">
        <v>5</v>
      </c>
      <c r="U232" s="53" t="n">
        <v>0</v>
      </c>
      <c r="V232" s="53" t="n">
        <v>0</v>
      </c>
      <c r="W232" s="53" t="n">
        <v>0</v>
      </c>
      <c r="X232" s="53" t="n">
        <v>3.26</v>
      </c>
    </row>
    <row r="233">
      <c r="A233" s="53" t="inlineStr">
        <is>
          <t>Water caltrop</t>
        </is>
      </c>
      <c r="B233" s="53" t="n">
        <v>34.55</v>
      </c>
      <c r="C233" s="53" t="n">
        <v>12.78</v>
      </c>
      <c r="D233" s="53" t="n">
        <v>22</v>
      </c>
      <c r="E233" s="53" t="n">
        <v>71</v>
      </c>
      <c r="F233" s="53" t="n">
        <v>6.32</v>
      </c>
      <c r="G233" s="53" t="n">
        <v>13.58</v>
      </c>
      <c r="H233" s="53" t="n">
        <v>40.05</v>
      </c>
      <c r="I233" s="53" t="n">
        <v>45.49</v>
      </c>
      <c r="J233" s="53" t="n">
        <v>6.13</v>
      </c>
      <c r="K233" s="53" t="n">
        <v>5</v>
      </c>
      <c r="L233" s="53" t="n">
        <v>1</v>
      </c>
      <c r="M233" s="53" t="n">
        <v>0</v>
      </c>
      <c r="N233" s="53" t="n">
        <v>1</v>
      </c>
      <c r="O233" s="53" t="n">
        <v>4</v>
      </c>
      <c r="P233" s="53" t="n">
        <v>180</v>
      </c>
      <c r="Q233" s="53" t="n">
        <v>5</v>
      </c>
      <c r="R233" s="53" t="n">
        <v>1500</v>
      </c>
      <c r="S233" s="53" t="n">
        <v>0</v>
      </c>
      <c r="T233" s="53" t="n">
        <v>5</v>
      </c>
      <c r="U233" s="53" t="n">
        <v>0</v>
      </c>
      <c r="V233" s="53" t="n">
        <v>0</v>
      </c>
      <c r="W233" s="53" t="n">
        <v>0</v>
      </c>
      <c r="X233" s="53" t="n">
        <v>3.5</v>
      </c>
    </row>
    <row r="234">
      <c r="A234" s="53" t="inlineStr">
        <is>
          <t>Wheat straw</t>
        </is>
      </c>
      <c r="B234" s="53" t="n">
        <v>57.09</v>
      </c>
      <c r="C234" s="53" t="n">
        <v>16.81</v>
      </c>
      <c r="D234" s="53" t="n">
        <v>19.1</v>
      </c>
      <c r="E234" s="53" t="n">
        <v>68.23</v>
      </c>
      <c r="F234" s="53" t="n">
        <v>17.04</v>
      </c>
      <c r="G234" s="53" t="n">
        <v>14.72</v>
      </c>
      <c r="H234" s="53" t="n">
        <v>37.2</v>
      </c>
      <c r="I234" s="53" t="n">
        <v>37.3</v>
      </c>
      <c r="J234" s="53" t="n">
        <v>5.57</v>
      </c>
      <c r="K234" s="53" t="n">
        <v>1</v>
      </c>
      <c r="L234" s="53" t="n">
        <v>5</v>
      </c>
      <c r="M234" s="53" t="n">
        <v>0</v>
      </c>
      <c r="N234" s="53" t="n">
        <v>1</v>
      </c>
      <c r="O234" s="53" t="n">
        <v>4</v>
      </c>
      <c r="P234" s="53" t="n">
        <v>120</v>
      </c>
      <c r="Q234" s="53" t="n">
        <v>5</v>
      </c>
      <c r="R234" s="53" t="n">
        <v>1400</v>
      </c>
      <c r="S234" s="53" t="n">
        <v>0</v>
      </c>
      <c r="T234" s="53" t="n">
        <v>5</v>
      </c>
      <c r="U234" s="53" t="n">
        <v>0</v>
      </c>
      <c r="V234" s="53" t="n">
        <v>0</v>
      </c>
      <c r="W234" s="53" t="n">
        <v>0</v>
      </c>
      <c r="X234" s="53" t="n">
        <v>2.25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21"/>
  <sheetViews>
    <sheetView topLeftCell="E199" workbookViewId="0">
      <selection activeCell="N231" sqref="N231"/>
    </sheetView>
  </sheetViews>
  <sheetFormatPr baseColWidth="8" defaultRowHeight="14.4"/>
  <cols>
    <col width="19" customWidth="1" style="6" min="1" max="1"/>
    <col width="12.88671875" customWidth="1" style="6" min="2" max="2"/>
    <col width="16" customWidth="1" style="6" min="3" max="3"/>
    <col width="12.88671875" customWidth="1" style="6" min="4" max="4"/>
    <col width="16.44140625" customWidth="1" style="6" min="5" max="5"/>
    <col width="12.88671875" customWidth="1" style="6" min="6" max="6"/>
    <col width="14.5546875" customWidth="1" style="6" min="7" max="7"/>
    <col width="12.88671875" customWidth="1" style="6" min="8" max="10"/>
    <col width="8.77734375" customWidth="1" style="6" min="11" max="11"/>
    <col width="9.6640625" customWidth="1" style="6" min="12" max="12"/>
    <col width="5.77734375" customWidth="1" style="6" min="13" max="13"/>
    <col width="11.6640625" customWidth="1" style="6" min="14" max="14"/>
    <col width="12.6640625" customWidth="1" style="6" min="15" max="15"/>
    <col width="12.88671875" customWidth="1" style="6" min="16" max="16"/>
    <col width="15.5546875" customWidth="1" style="6" min="17" max="17"/>
    <col width="16.21875" customWidth="1" style="6" min="18" max="18"/>
    <col width="11.6640625" customWidth="1" style="6" min="19" max="19"/>
    <col width="12.6640625" customWidth="1" style="6" min="20" max="20"/>
    <col width="12.88671875" customWidth="1" style="6" min="21" max="21"/>
    <col width="15.5546875" customWidth="1" style="6" min="22" max="22"/>
    <col width="16.21875" customWidth="1" style="6" min="23" max="23"/>
    <col width="6.6640625" customWidth="1" style="6" min="24" max="24"/>
  </cols>
  <sheetData>
    <row r="1">
      <c r="A1" s="50" t="inlineStr">
        <is>
          <t>Biomass</t>
        </is>
      </c>
      <c r="B1" s="50" t="inlineStr">
        <is>
          <t>Cellulose%</t>
        </is>
      </c>
      <c r="C1" s="50" t="inlineStr">
        <is>
          <t>Hemi-cellulose%</t>
        </is>
      </c>
      <c r="D1" s="50" t="inlineStr">
        <is>
          <t>Lignin%</t>
        </is>
      </c>
      <c r="E1" s="50" t="inlineStr">
        <is>
          <t>Volatile Matter%</t>
        </is>
      </c>
      <c r="F1" s="50" t="inlineStr">
        <is>
          <t>Ash%</t>
        </is>
      </c>
      <c r="G1" s="50" t="inlineStr">
        <is>
          <t>Fixed Carbon%</t>
        </is>
      </c>
      <c r="H1" s="50" t="inlineStr">
        <is>
          <t>Carbon%</t>
        </is>
      </c>
      <c r="I1" s="50" t="inlineStr">
        <is>
          <t>Oxygen%</t>
        </is>
      </c>
      <c r="J1" s="50" t="inlineStr">
        <is>
          <t>Hydrogen%</t>
        </is>
      </c>
      <c r="K1" s="50" t="inlineStr">
        <is>
          <t>Prewash</t>
        </is>
      </c>
      <c r="L1" s="50" t="inlineStr">
        <is>
          <t>Postwash</t>
        </is>
      </c>
      <c r="M1" s="50" t="inlineStr">
        <is>
          <t>Type</t>
        </is>
      </c>
      <c r="N1" s="50" t="inlineStr">
        <is>
          <t>Method_01</t>
        </is>
      </c>
      <c r="O1" s="50" t="inlineStr">
        <is>
          <t>Activator_01</t>
        </is>
      </c>
      <c r="P1" s="50" t="inlineStr">
        <is>
          <t>Time_01</t>
        </is>
      </c>
      <c r="Q1" s="50" t="inlineStr">
        <is>
          <t>Heating rate_01</t>
        </is>
      </c>
      <c r="R1" s="50" t="inlineStr">
        <is>
          <t>Temperature_01</t>
        </is>
      </c>
      <c r="S1" s="50" t="inlineStr">
        <is>
          <t>Method_02</t>
        </is>
      </c>
      <c r="T1" s="50" t="inlineStr">
        <is>
          <t>Activator_02</t>
        </is>
      </c>
      <c r="U1" s="50" t="inlineStr">
        <is>
          <t>Time_02</t>
        </is>
      </c>
      <c r="V1" s="50" t="inlineStr">
        <is>
          <t>Heating rate_02</t>
        </is>
      </c>
      <c r="W1" s="50" t="inlineStr">
        <is>
          <t>Temperature_02</t>
        </is>
      </c>
      <c r="X1" s="50" t="inlineStr">
        <is>
          <t>Lc</t>
        </is>
      </c>
    </row>
    <row r="2">
      <c r="A2" s="53" t="inlineStr">
        <is>
          <t>Alkali Lignin</t>
        </is>
      </c>
      <c r="B2" s="53" t="n">
        <v>0</v>
      </c>
      <c r="C2" s="53" t="n">
        <v>0</v>
      </c>
      <c r="D2" s="53" t="n">
        <v>100</v>
      </c>
      <c r="E2" s="53" t="n">
        <v>68.95923718526311</v>
      </c>
      <c r="F2" s="53" t="n">
        <v>3.85650251849244</v>
      </c>
      <c r="G2" s="53" t="n">
        <v>21.9334593054885</v>
      </c>
      <c r="H2" s="53" t="n">
        <v>45.695702977591</v>
      </c>
      <c r="I2" s="53" t="n">
        <v>44.7190770244817</v>
      </c>
      <c r="J2" s="53" t="n">
        <v>5.98146243273457</v>
      </c>
      <c r="K2" s="53" t="n">
        <v>4</v>
      </c>
      <c r="L2" s="53" t="n">
        <v>5</v>
      </c>
      <c r="M2" s="53" t="n">
        <v>0</v>
      </c>
      <c r="N2" s="53" t="n">
        <v>1</v>
      </c>
      <c r="O2" s="53" t="n">
        <v>4</v>
      </c>
      <c r="P2" s="53" t="n">
        <v>180</v>
      </c>
      <c r="Q2" s="53" t="n">
        <v>2</v>
      </c>
      <c r="R2" s="53" t="n">
        <v>1300</v>
      </c>
      <c r="S2" s="53" t="n">
        <v>0</v>
      </c>
      <c r="T2" s="53" t="n">
        <v>5</v>
      </c>
      <c r="U2" s="53" t="n">
        <v>0</v>
      </c>
      <c r="V2" s="53" t="n">
        <v>0</v>
      </c>
      <c r="W2" s="53" t="n">
        <v>0</v>
      </c>
      <c r="X2" s="53" t="n">
        <v>1.04</v>
      </c>
    </row>
    <row r="3">
      <c r="A3" s="53" t="inlineStr">
        <is>
          <t>Alkali Lignin</t>
        </is>
      </c>
      <c r="B3" s="53" t="n">
        <v>0</v>
      </c>
      <c r="C3" s="53" t="n">
        <v>0</v>
      </c>
      <c r="D3" s="53" t="n">
        <v>100</v>
      </c>
      <c r="E3" s="53" t="n">
        <v>68.9592372041144</v>
      </c>
      <c r="F3" s="53" t="n">
        <v>3.8565025196313</v>
      </c>
      <c r="G3" s="53" t="n">
        <v>21.9334592805848</v>
      </c>
      <c r="H3" s="53" t="n">
        <v>45.6957029750271</v>
      </c>
      <c r="I3" s="53" t="n">
        <v>44.7190770297867</v>
      </c>
      <c r="J3" s="53" t="n">
        <v>5.98146243361558</v>
      </c>
      <c r="K3" s="53" t="n">
        <v>4</v>
      </c>
      <c r="L3" s="53" t="n">
        <v>5</v>
      </c>
      <c r="M3" s="53" t="n">
        <v>0</v>
      </c>
      <c r="N3" s="53" t="n">
        <v>1</v>
      </c>
      <c r="O3" s="53" t="n">
        <v>4</v>
      </c>
      <c r="P3" s="53" t="n">
        <v>180</v>
      </c>
      <c r="Q3" s="53" t="n">
        <v>2</v>
      </c>
      <c r="R3" s="53" t="n">
        <v>1300</v>
      </c>
      <c r="S3" s="53" t="n">
        <v>0</v>
      </c>
      <c r="T3" s="53" t="n">
        <v>5</v>
      </c>
      <c r="U3" s="53" t="n">
        <v>0</v>
      </c>
      <c r="V3" s="53" t="n">
        <v>0</v>
      </c>
      <c r="W3" s="53" t="n">
        <v>0</v>
      </c>
      <c r="X3" s="53" t="n">
        <v>1.13</v>
      </c>
    </row>
    <row r="4">
      <c r="A4" s="53" t="inlineStr">
        <is>
          <t>Almond shell</t>
        </is>
      </c>
      <c r="B4" s="53" t="n">
        <v>38.47</v>
      </c>
      <c r="C4" s="53" t="n">
        <v>28.82</v>
      </c>
      <c r="D4" s="53" t="n">
        <v>29.54</v>
      </c>
      <c r="E4" s="53" t="n">
        <v>75.73</v>
      </c>
      <c r="F4" s="53" t="n">
        <v>12.48</v>
      </c>
      <c r="G4" s="53" t="n">
        <v>11.14</v>
      </c>
      <c r="H4" s="53" t="n">
        <v>42.92</v>
      </c>
      <c r="I4" s="53" t="n">
        <v>50.56</v>
      </c>
      <c r="J4" s="53" t="n">
        <v>5.8</v>
      </c>
      <c r="K4" s="53" t="n">
        <v>1</v>
      </c>
      <c r="L4" s="53" t="n">
        <v>5</v>
      </c>
      <c r="M4" s="53" t="n">
        <v>1</v>
      </c>
      <c r="N4" s="53" t="n">
        <v>1</v>
      </c>
      <c r="O4" s="53" t="n">
        <v>4</v>
      </c>
      <c r="P4" s="53" t="n">
        <v>120</v>
      </c>
      <c r="Q4" s="53" t="n">
        <v>5</v>
      </c>
      <c r="R4" s="53" t="n">
        <v>600</v>
      </c>
      <c r="S4" s="53" t="n">
        <v>1</v>
      </c>
      <c r="T4" s="53" t="n">
        <v>5</v>
      </c>
      <c r="U4" s="53" t="n">
        <v>180</v>
      </c>
      <c r="V4" s="53" t="n">
        <v>5</v>
      </c>
      <c r="W4" s="53" t="n">
        <v>1300</v>
      </c>
      <c r="X4" s="53" t="n">
        <v>1.54</v>
      </c>
    </row>
    <row r="5">
      <c r="A5" s="53" t="inlineStr">
        <is>
          <t>Almond shell</t>
        </is>
      </c>
      <c r="B5" s="53" t="n">
        <v>38.47</v>
      </c>
      <c r="C5" s="53" t="n">
        <v>28.82</v>
      </c>
      <c r="D5" s="53" t="n">
        <v>29.54</v>
      </c>
      <c r="E5" s="53" t="n">
        <v>75.73</v>
      </c>
      <c r="F5" s="53" t="n">
        <v>12.48</v>
      </c>
      <c r="G5" s="53" t="n">
        <v>11.14</v>
      </c>
      <c r="H5" s="53" t="n">
        <v>42.92</v>
      </c>
      <c r="I5" s="53" t="n">
        <v>50.56</v>
      </c>
      <c r="J5" s="53" t="n">
        <v>5.8</v>
      </c>
      <c r="K5" s="53" t="n">
        <v>1</v>
      </c>
      <c r="L5" s="53" t="n">
        <v>5</v>
      </c>
      <c r="M5" s="53" t="n">
        <v>1</v>
      </c>
      <c r="N5" s="53" t="n">
        <v>1</v>
      </c>
      <c r="O5" s="53" t="n">
        <v>4</v>
      </c>
      <c r="P5" s="53" t="n">
        <v>120</v>
      </c>
      <c r="Q5" s="53" t="n">
        <v>5</v>
      </c>
      <c r="R5" s="53" t="n">
        <v>600</v>
      </c>
      <c r="S5" s="53" t="n">
        <v>1</v>
      </c>
      <c r="T5" s="53" t="n">
        <v>5</v>
      </c>
      <c r="U5" s="53" t="n">
        <v>180</v>
      </c>
      <c r="V5" s="53" t="n">
        <v>5</v>
      </c>
      <c r="W5" s="53" t="n">
        <v>1300</v>
      </c>
      <c r="X5" s="53" t="n">
        <v>1.63</v>
      </c>
    </row>
    <row r="6">
      <c r="A6" s="53" t="inlineStr">
        <is>
          <t>Almond shell</t>
        </is>
      </c>
      <c r="B6" s="53" t="n">
        <v>38.47</v>
      </c>
      <c r="C6" s="53" t="n">
        <v>28.82</v>
      </c>
      <c r="D6" s="53" t="n">
        <v>29.54</v>
      </c>
      <c r="E6" s="53" t="n">
        <v>75.73</v>
      </c>
      <c r="F6" s="53" t="n">
        <v>12.48</v>
      </c>
      <c r="G6" s="53" t="n">
        <v>11.14</v>
      </c>
      <c r="H6" s="53" t="n">
        <v>42.92</v>
      </c>
      <c r="I6" s="53" t="n">
        <v>50.56</v>
      </c>
      <c r="J6" s="53" t="n">
        <v>5.8</v>
      </c>
      <c r="K6" s="53" t="n">
        <v>1</v>
      </c>
      <c r="L6" s="53" t="n">
        <v>5</v>
      </c>
      <c r="M6" s="53" t="n">
        <v>1</v>
      </c>
      <c r="N6" s="53" t="n">
        <v>1</v>
      </c>
      <c r="O6" s="53" t="n">
        <v>4</v>
      </c>
      <c r="P6" s="53" t="n">
        <v>120</v>
      </c>
      <c r="Q6" s="53" t="n">
        <v>5</v>
      </c>
      <c r="R6" s="53" t="n">
        <v>600</v>
      </c>
      <c r="S6" s="53" t="n">
        <v>1</v>
      </c>
      <c r="T6" s="53" t="n">
        <v>5</v>
      </c>
      <c r="U6" s="53" t="n">
        <v>180</v>
      </c>
      <c r="V6" s="53" t="n">
        <v>5</v>
      </c>
      <c r="W6" s="53" t="n">
        <v>1300</v>
      </c>
      <c r="X6" s="53" t="n">
        <v>1.66</v>
      </c>
    </row>
    <row r="7">
      <c r="A7" s="53" t="inlineStr">
        <is>
          <t>Almond shell</t>
        </is>
      </c>
      <c r="B7" s="53" t="n">
        <v>38.47</v>
      </c>
      <c r="C7" s="53" t="n">
        <v>28.82</v>
      </c>
      <c r="D7" s="53" t="n">
        <v>29.54</v>
      </c>
      <c r="E7" s="53" t="n">
        <v>75.73</v>
      </c>
      <c r="F7" s="53" t="n">
        <v>12.48</v>
      </c>
      <c r="G7" s="53" t="n">
        <v>11.14</v>
      </c>
      <c r="H7" s="53" t="n">
        <v>42.92</v>
      </c>
      <c r="I7" s="53" t="n">
        <v>50.56</v>
      </c>
      <c r="J7" s="53" t="n">
        <v>5.8</v>
      </c>
      <c r="K7" s="53" t="n">
        <v>1</v>
      </c>
      <c r="L7" s="53" t="n">
        <v>5</v>
      </c>
      <c r="M7" s="53" t="n">
        <v>1</v>
      </c>
      <c r="N7" s="53" t="n">
        <v>1</v>
      </c>
      <c r="O7" s="53" t="n">
        <v>4</v>
      </c>
      <c r="P7" s="53" t="n">
        <v>120</v>
      </c>
      <c r="Q7" s="53" t="n">
        <v>5</v>
      </c>
      <c r="R7" s="53" t="n">
        <v>600</v>
      </c>
      <c r="S7" s="53" t="n">
        <v>1</v>
      </c>
      <c r="T7" s="53" t="n">
        <v>5</v>
      </c>
      <c r="U7" s="53" t="n">
        <v>180</v>
      </c>
      <c r="V7" s="53" t="n">
        <v>5</v>
      </c>
      <c r="W7" s="53" t="n">
        <v>1300</v>
      </c>
      <c r="X7" s="53" t="n">
        <v>1.75</v>
      </c>
    </row>
    <row r="8">
      <c r="A8" s="53" t="inlineStr">
        <is>
          <t>Apricot shells</t>
        </is>
      </c>
      <c r="B8" s="53" t="n">
        <v>33.3</v>
      </c>
      <c r="C8" s="53" t="n">
        <v>27.8</v>
      </c>
      <c r="D8" s="53" t="n">
        <v>52</v>
      </c>
      <c r="E8" s="53" t="n">
        <v>73.84</v>
      </c>
      <c r="F8" s="53" t="n">
        <v>0.9399999999999999</v>
      </c>
      <c r="G8" s="53" t="n">
        <v>15.51</v>
      </c>
      <c r="H8" s="53" t="n">
        <v>46.88</v>
      </c>
      <c r="I8" s="53" t="n">
        <v>45.45</v>
      </c>
      <c r="J8" s="53" t="n">
        <v>6.38</v>
      </c>
      <c r="K8" s="53" t="n">
        <v>6</v>
      </c>
      <c r="L8" s="53" t="n">
        <v>5</v>
      </c>
      <c r="M8" s="53" t="n">
        <v>0</v>
      </c>
      <c r="N8" s="53" t="n">
        <v>1</v>
      </c>
      <c r="O8" s="53" t="n">
        <v>4</v>
      </c>
      <c r="P8" s="53" t="n">
        <v>206.608695652174</v>
      </c>
      <c r="Q8" s="53" t="n">
        <v>5.08108108108108</v>
      </c>
      <c r="R8" s="53" t="n">
        <v>900</v>
      </c>
      <c r="S8" s="53" t="n">
        <v>0</v>
      </c>
      <c r="T8" s="53" t="n">
        <v>5</v>
      </c>
      <c r="U8" s="53" t="n">
        <v>0</v>
      </c>
      <c r="V8" s="53" t="n">
        <v>0</v>
      </c>
      <c r="W8" s="53" t="n">
        <v>0</v>
      </c>
      <c r="X8" s="53" t="n">
        <v>1.18</v>
      </c>
    </row>
    <row r="9">
      <c r="A9" s="53" t="inlineStr">
        <is>
          <t>Apricot shells</t>
        </is>
      </c>
      <c r="B9" s="53" t="n">
        <v>33.3</v>
      </c>
      <c r="C9" s="53" t="n">
        <v>27.8</v>
      </c>
      <c r="D9" s="53" t="n">
        <v>52</v>
      </c>
      <c r="E9" s="53" t="n">
        <v>73.84</v>
      </c>
      <c r="F9" s="53" t="n">
        <v>0.9399999999999999</v>
      </c>
      <c r="G9" s="53" t="n">
        <v>15.51</v>
      </c>
      <c r="H9" s="53" t="n">
        <v>46.88</v>
      </c>
      <c r="I9" s="53" t="n">
        <v>45.45</v>
      </c>
      <c r="J9" s="53" t="n">
        <v>6.38</v>
      </c>
      <c r="K9" s="53" t="n">
        <v>6</v>
      </c>
      <c r="L9" s="53" t="n">
        <v>5</v>
      </c>
      <c r="M9" s="53" t="n">
        <v>1</v>
      </c>
      <c r="N9" s="53" t="n">
        <v>1</v>
      </c>
      <c r="O9" s="53" t="n">
        <v>4</v>
      </c>
      <c r="P9" s="53" t="n">
        <v>206.608695652174</v>
      </c>
      <c r="Q9" s="53" t="n">
        <v>5.08108108108108</v>
      </c>
      <c r="R9" s="53" t="n">
        <v>900</v>
      </c>
      <c r="S9" s="53" t="n">
        <v>1</v>
      </c>
      <c r="T9" s="53" t="n">
        <v>7</v>
      </c>
      <c r="U9" s="53" t="n">
        <v>120</v>
      </c>
      <c r="V9" s="53" t="n">
        <v>0</v>
      </c>
      <c r="W9" s="53" t="n">
        <v>800</v>
      </c>
      <c r="X9" s="53" t="n">
        <v>1.19</v>
      </c>
    </row>
    <row r="10">
      <c r="A10" s="53" t="inlineStr">
        <is>
          <t>Apricot shells</t>
        </is>
      </c>
      <c r="B10" s="53" t="n">
        <v>33.3</v>
      </c>
      <c r="C10" s="53" t="n">
        <v>27.8</v>
      </c>
      <c r="D10" s="53" t="n">
        <v>52</v>
      </c>
      <c r="E10" s="53" t="n">
        <v>73.84</v>
      </c>
      <c r="F10" s="53" t="n">
        <v>0.9399999999999999</v>
      </c>
      <c r="G10" s="53" t="n">
        <v>15.51</v>
      </c>
      <c r="H10" s="53" t="n">
        <v>46.88</v>
      </c>
      <c r="I10" s="53" t="n">
        <v>45.45</v>
      </c>
      <c r="J10" s="53" t="n">
        <v>6.38</v>
      </c>
      <c r="K10" s="53" t="n">
        <v>6</v>
      </c>
      <c r="L10" s="53" t="n">
        <v>5</v>
      </c>
      <c r="M10" s="53" t="n">
        <v>1</v>
      </c>
      <c r="N10" s="53" t="n">
        <v>1</v>
      </c>
      <c r="O10" s="53" t="n">
        <v>4</v>
      </c>
      <c r="P10" s="53" t="n">
        <v>206.608695652174</v>
      </c>
      <c r="Q10" s="53" t="n">
        <v>5.08108108108108</v>
      </c>
      <c r="R10" s="53" t="n">
        <v>1100</v>
      </c>
      <c r="S10" s="53" t="n">
        <v>1</v>
      </c>
      <c r="T10" s="53" t="n">
        <v>7</v>
      </c>
      <c r="U10" s="53" t="n">
        <v>120</v>
      </c>
      <c r="V10" s="53" t="n">
        <v>0</v>
      </c>
      <c r="W10" s="53" t="n">
        <v>800</v>
      </c>
      <c r="X10" s="53" t="n">
        <v>1.2</v>
      </c>
    </row>
    <row r="11">
      <c r="A11" s="53" t="inlineStr">
        <is>
          <t>Apricot shells</t>
        </is>
      </c>
      <c r="B11" s="53" t="n">
        <v>33.3</v>
      </c>
      <c r="C11" s="53" t="n">
        <v>27.8</v>
      </c>
      <c r="D11" s="53" t="n">
        <v>52</v>
      </c>
      <c r="E11" s="53" t="n">
        <v>73.84</v>
      </c>
      <c r="F11" s="53" t="n">
        <v>0.9399999999999999</v>
      </c>
      <c r="G11" s="53" t="n">
        <v>15.51</v>
      </c>
      <c r="H11" s="53" t="n">
        <v>46.88</v>
      </c>
      <c r="I11" s="53" t="n">
        <v>45.45</v>
      </c>
      <c r="J11" s="53" t="n">
        <v>6.38</v>
      </c>
      <c r="K11" s="53" t="n">
        <v>6</v>
      </c>
      <c r="L11" s="53" t="n">
        <v>5</v>
      </c>
      <c r="M11" s="53" t="n">
        <v>0</v>
      </c>
      <c r="N11" s="53" t="n">
        <v>1</v>
      </c>
      <c r="O11" s="53" t="n">
        <v>4</v>
      </c>
      <c r="P11" s="53" t="n">
        <v>206.608695652174</v>
      </c>
      <c r="Q11" s="53" t="n">
        <v>5.08108108108108</v>
      </c>
      <c r="R11" s="53" t="n">
        <v>1100</v>
      </c>
      <c r="S11" s="53" t="n">
        <v>0</v>
      </c>
      <c r="T11" s="53" t="n">
        <v>5</v>
      </c>
      <c r="U11" s="53" t="n">
        <v>0</v>
      </c>
      <c r="V11" s="53" t="n">
        <v>0</v>
      </c>
      <c r="W11" s="53" t="n">
        <v>0</v>
      </c>
      <c r="X11" s="53" t="n">
        <v>1.22</v>
      </c>
    </row>
    <row r="12">
      <c r="A12" s="53" t="inlineStr">
        <is>
          <t>Apricot shells</t>
        </is>
      </c>
      <c r="B12" s="53" t="n">
        <v>33.3</v>
      </c>
      <c r="C12" s="53" t="n">
        <v>27.8</v>
      </c>
      <c r="D12" s="53" t="n">
        <v>52</v>
      </c>
      <c r="E12" s="53" t="n">
        <v>73.84</v>
      </c>
      <c r="F12" s="53" t="n">
        <v>0.9399999999999999</v>
      </c>
      <c r="G12" s="53" t="n">
        <v>15.51</v>
      </c>
      <c r="H12" s="53" t="n">
        <v>46.88</v>
      </c>
      <c r="I12" s="53" t="n">
        <v>45.45</v>
      </c>
      <c r="J12" s="53" t="n">
        <v>6.38</v>
      </c>
      <c r="K12" s="53" t="n">
        <v>6</v>
      </c>
      <c r="L12" s="53" t="n">
        <v>5</v>
      </c>
      <c r="M12" s="53" t="n">
        <v>1</v>
      </c>
      <c r="N12" s="53" t="n">
        <v>1</v>
      </c>
      <c r="O12" s="53" t="n">
        <v>4</v>
      </c>
      <c r="P12" s="53" t="n">
        <v>206.608695652174</v>
      </c>
      <c r="Q12" s="53" t="n">
        <v>5.08108108108108</v>
      </c>
      <c r="R12" s="53" t="n">
        <v>1300</v>
      </c>
      <c r="S12" s="53" t="n">
        <v>1</v>
      </c>
      <c r="T12" s="53" t="n">
        <v>7</v>
      </c>
      <c r="U12" s="53" t="n">
        <v>120</v>
      </c>
      <c r="V12" s="53" t="n">
        <v>0</v>
      </c>
      <c r="W12" s="53" t="n">
        <v>800</v>
      </c>
      <c r="X12" s="53" t="n">
        <v>1.22</v>
      </c>
    </row>
    <row r="13">
      <c r="A13" s="53" t="inlineStr">
        <is>
          <t>Apricot shells</t>
        </is>
      </c>
      <c r="B13" s="53" t="n">
        <v>33.3</v>
      </c>
      <c r="C13" s="53" t="n">
        <v>27.8</v>
      </c>
      <c r="D13" s="53" t="n">
        <v>52</v>
      </c>
      <c r="E13" s="53" t="n">
        <v>73.84</v>
      </c>
      <c r="F13" s="53" t="n">
        <v>0.9399999999999999</v>
      </c>
      <c r="G13" s="53" t="n">
        <v>15.51</v>
      </c>
      <c r="H13" s="53" t="n">
        <v>46.88</v>
      </c>
      <c r="I13" s="53" t="n">
        <v>45.45</v>
      </c>
      <c r="J13" s="53" t="n">
        <v>6.38</v>
      </c>
      <c r="K13" s="53" t="n">
        <v>6</v>
      </c>
      <c r="L13" s="53" t="n">
        <v>5</v>
      </c>
      <c r="M13" s="53" t="n">
        <v>0</v>
      </c>
      <c r="N13" s="53" t="n">
        <v>1</v>
      </c>
      <c r="O13" s="53" t="n">
        <v>4</v>
      </c>
      <c r="P13" s="53" t="n">
        <v>206.608695652174</v>
      </c>
      <c r="Q13" s="53" t="n">
        <v>5.08108108108108</v>
      </c>
      <c r="R13" s="53" t="n">
        <v>1300</v>
      </c>
      <c r="S13" s="53" t="n">
        <v>0</v>
      </c>
      <c r="T13" s="53" t="n">
        <v>5</v>
      </c>
      <c r="U13" s="53" t="n">
        <v>0</v>
      </c>
      <c r="V13" s="53" t="n">
        <v>0</v>
      </c>
      <c r="W13" s="53" t="n">
        <v>0</v>
      </c>
      <c r="X13" s="53" t="n">
        <v>1.24</v>
      </c>
    </row>
    <row r="14">
      <c r="A14" s="53" t="inlineStr">
        <is>
          <t>Apricot shells</t>
        </is>
      </c>
      <c r="B14" s="53" t="n">
        <v>33.3</v>
      </c>
      <c r="C14" s="53" t="n">
        <v>27.8</v>
      </c>
      <c r="D14" s="53" t="n">
        <v>52</v>
      </c>
      <c r="E14" s="53" t="n">
        <v>73.84</v>
      </c>
      <c r="F14" s="53" t="n">
        <v>0.9399999999999999</v>
      </c>
      <c r="G14" s="53" t="n">
        <v>15.51</v>
      </c>
      <c r="H14" s="53" t="n">
        <v>46.88</v>
      </c>
      <c r="I14" s="53" t="n">
        <v>45.45</v>
      </c>
      <c r="J14" s="53" t="n">
        <v>6.38</v>
      </c>
      <c r="K14" s="53" t="n">
        <v>6</v>
      </c>
      <c r="L14" s="53" t="n">
        <v>5</v>
      </c>
      <c r="M14" s="53" t="n">
        <v>1</v>
      </c>
      <c r="N14" s="53" t="n">
        <v>1</v>
      </c>
      <c r="O14" s="53" t="n">
        <v>4</v>
      </c>
      <c r="P14" s="53" t="n">
        <v>206.608695652174</v>
      </c>
      <c r="Q14" s="53" t="n">
        <v>5.08108108108108</v>
      </c>
      <c r="R14" s="53" t="n">
        <v>1500</v>
      </c>
      <c r="S14" s="53" t="n">
        <v>1</v>
      </c>
      <c r="T14" s="53" t="n">
        <v>7</v>
      </c>
      <c r="U14" s="53" t="n">
        <v>120</v>
      </c>
      <c r="V14" s="53" t="n">
        <v>0</v>
      </c>
      <c r="W14" s="53" t="n">
        <v>800</v>
      </c>
      <c r="X14" s="53" t="n">
        <v>1.26</v>
      </c>
    </row>
    <row r="15">
      <c r="A15" s="53" t="inlineStr">
        <is>
          <t>Apricot shells</t>
        </is>
      </c>
      <c r="B15" s="53" t="n">
        <v>33.3</v>
      </c>
      <c r="C15" s="53" t="n">
        <v>27.8</v>
      </c>
      <c r="D15" s="53" t="n">
        <v>52</v>
      </c>
      <c r="E15" s="53" t="n">
        <v>73.84</v>
      </c>
      <c r="F15" s="53" t="n">
        <v>0.9399999999999999</v>
      </c>
      <c r="G15" s="53" t="n">
        <v>15.51</v>
      </c>
      <c r="H15" s="53" t="n">
        <v>46.88</v>
      </c>
      <c r="I15" s="53" t="n">
        <v>45.45</v>
      </c>
      <c r="J15" s="53" t="n">
        <v>6.38</v>
      </c>
      <c r="K15" s="53" t="n">
        <v>6</v>
      </c>
      <c r="L15" s="53" t="n">
        <v>5</v>
      </c>
      <c r="M15" s="53" t="n">
        <v>0</v>
      </c>
      <c r="N15" s="53" t="n">
        <v>1</v>
      </c>
      <c r="O15" s="53" t="n">
        <v>4</v>
      </c>
      <c r="P15" s="53" t="n">
        <v>206.608695652174</v>
      </c>
      <c r="Q15" s="53" t="n">
        <v>5.08108108108108</v>
      </c>
      <c r="R15" s="53" t="n">
        <v>1500</v>
      </c>
      <c r="S15" s="53" t="n">
        <v>0</v>
      </c>
      <c r="T15" s="53" t="n">
        <v>5</v>
      </c>
      <c r="U15" s="53" t="n">
        <v>0</v>
      </c>
      <c r="V15" s="53" t="n">
        <v>0</v>
      </c>
      <c r="W15" s="53" t="n">
        <v>0</v>
      </c>
      <c r="X15" s="53" t="n">
        <v>1.27</v>
      </c>
    </row>
    <row r="16">
      <c r="A16" s="53" t="inlineStr">
        <is>
          <t>Argan shell</t>
        </is>
      </c>
      <c r="B16" s="53" t="n">
        <v>31.07</v>
      </c>
      <c r="C16" s="53" t="n">
        <v>27.76</v>
      </c>
      <c r="D16" s="53" t="n">
        <v>37.53</v>
      </c>
      <c r="E16" s="53" t="n">
        <v>61</v>
      </c>
      <c r="F16" s="53" t="n">
        <v>28</v>
      </c>
      <c r="G16" s="53" t="n">
        <v>1.5</v>
      </c>
      <c r="H16" s="53" t="n">
        <v>51.33</v>
      </c>
      <c r="I16" s="53" t="n">
        <v>42.345</v>
      </c>
      <c r="J16" s="53" t="n">
        <v>6.32</v>
      </c>
      <c r="K16" s="53" t="n">
        <v>5</v>
      </c>
      <c r="L16" s="53" t="n">
        <v>5</v>
      </c>
      <c r="M16" s="53" t="n">
        <v>0</v>
      </c>
      <c r="N16" s="53" t="n">
        <v>1</v>
      </c>
      <c r="O16" s="53" t="n">
        <v>4</v>
      </c>
      <c r="P16" s="53" t="n">
        <v>60</v>
      </c>
      <c r="Q16" s="53" t="n">
        <v>5</v>
      </c>
      <c r="R16" s="53" t="n">
        <v>1000</v>
      </c>
      <c r="S16" s="53" t="n">
        <v>0</v>
      </c>
      <c r="T16" s="53" t="n">
        <v>5</v>
      </c>
      <c r="U16" s="53" t="n">
        <v>0</v>
      </c>
      <c r="V16" s="53" t="n">
        <v>0</v>
      </c>
      <c r="W16" s="53" t="n">
        <v>0</v>
      </c>
      <c r="X16" s="53" t="n">
        <v>0.862</v>
      </c>
    </row>
    <row r="17">
      <c r="A17" s="53" t="inlineStr">
        <is>
          <t>Argan shell</t>
        </is>
      </c>
      <c r="B17" s="53" t="n">
        <v>31.07</v>
      </c>
      <c r="C17" s="53" t="n">
        <v>27.76</v>
      </c>
      <c r="D17" s="53" t="n">
        <v>37.53</v>
      </c>
      <c r="E17" s="53" t="n">
        <v>61</v>
      </c>
      <c r="F17" s="53" t="n">
        <v>28</v>
      </c>
      <c r="G17" s="53" t="n">
        <v>1.5</v>
      </c>
      <c r="H17" s="53" t="n">
        <v>51.33</v>
      </c>
      <c r="I17" s="53" t="n">
        <v>42.345</v>
      </c>
      <c r="J17" s="53" t="n">
        <v>6.32</v>
      </c>
      <c r="K17" s="53" t="n">
        <v>5</v>
      </c>
      <c r="L17" s="53" t="n">
        <v>5</v>
      </c>
      <c r="M17" s="53" t="n">
        <v>0</v>
      </c>
      <c r="N17" s="53" t="n">
        <v>1</v>
      </c>
      <c r="O17" s="53" t="n">
        <v>4</v>
      </c>
      <c r="P17" s="53" t="n">
        <v>60</v>
      </c>
      <c r="Q17" s="53" t="n">
        <v>5</v>
      </c>
      <c r="R17" s="53" t="n">
        <v>1200</v>
      </c>
      <c r="S17" s="53" t="n">
        <v>0</v>
      </c>
      <c r="T17" s="53" t="n">
        <v>5</v>
      </c>
      <c r="U17" s="53" t="n">
        <v>0</v>
      </c>
      <c r="V17" s="53" t="n">
        <v>0</v>
      </c>
      <c r="W17" s="53" t="n">
        <v>0</v>
      </c>
      <c r="X17" s="53" t="n">
        <v>0.87</v>
      </c>
    </row>
    <row r="18">
      <c r="A18" s="53" t="inlineStr">
        <is>
          <t>Argan shell</t>
        </is>
      </c>
      <c r="B18" s="53" t="n">
        <v>31.07</v>
      </c>
      <c r="C18" s="53" t="n">
        <v>27.76</v>
      </c>
      <c r="D18" s="53" t="n">
        <v>37.53</v>
      </c>
      <c r="E18" s="53" t="n">
        <v>61</v>
      </c>
      <c r="F18" s="53" t="n">
        <v>28</v>
      </c>
      <c r="G18" s="53" t="n">
        <v>1.5</v>
      </c>
      <c r="H18" s="53" t="n">
        <v>51.33</v>
      </c>
      <c r="I18" s="53" t="n">
        <v>42.345</v>
      </c>
      <c r="J18" s="53" t="n">
        <v>6.32</v>
      </c>
      <c r="K18" s="53" t="n">
        <v>5</v>
      </c>
      <c r="L18" s="53" t="n">
        <v>5</v>
      </c>
      <c r="M18" s="53" t="n">
        <v>0</v>
      </c>
      <c r="N18" s="53" t="n">
        <v>1</v>
      </c>
      <c r="O18" s="53" t="n">
        <v>4</v>
      </c>
      <c r="P18" s="53" t="n">
        <v>60</v>
      </c>
      <c r="Q18" s="53" t="n">
        <v>5</v>
      </c>
      <c r="R18" s="53" t="n">
        <v>800</v>
      </c>
      <c r="S18" s="53" t="n">
        <v>0</v>
      </c>
      <c r="T18" s="53" t="n">
        <v>5</v>
      </c>
      <c r="U18" s="53" t="n">
        <v>0</v>
      </c>
      <c r="V18" s="53" t="n">
        <v>0</v>
      </c>
      <c r="W18" s="53" t="n">
        <v>0</v>
      </c>
      <c r="X18" s="53" t="n">
        <v>0.899</v>
      </c>
    </row>
    <row r="19">
      <c r="A19" s="53" t="inlineStr">
        <is>
          <t>Argan shell</t>
        </is>
      </c>
      <c r="B19" s="53" t="n">
        <v>31.07</v>
      </c>
      <c r="C19" s="53" t="n">
        <v>27.76</v>
      </c>
      <c r="D19" s="53" t="n">
        <v>37.53</v>
      </c>
      <c r="E19" s="53" t="n">
        <v>61</v>
      </c>
      <c r="F19" s="53" t="n">
        <v>28</v>
      </c>
      <c r="G19" s="53" t="n">
        <v>1.5</v>
      </c>
      <c r="H19" s="53" t="n">
        <v>51.33</v>
      </c>
      <c r="I19" s="53" t="n">
        <v>42.345</v>
      </c>
      <c r="J19" s="53" t="n">
        <v>6.32</v>
      </c>
      <c r="K19" s="53" t="n">
        <v>1</v>
      </c>
      <c r="L19" s="53" t="n">
        <v>5</v>
      </c>
      <c r="M19" s="53" t="n">
        <v>0</v>
      </c>
      <c r="N19" s="53" t="n">
        <v>1</v>
      </c>
      <c r="O19" s="53" t="n">
        <v>4</v>
      </c>
      <c r="P19" s="53" t="n">
        <v>60</v>
      </c>
      <c r="Q19" s="53" t="n">
        <v>5</v>
      </c>
      <c r="R19" s="53" t="n">
        <v>1000</v>
      </c>
      <c r="S19" s="53" t="n">
        <v>0</v>
      </c>
      <c r="T19" s="53" t="n">
        <v>5</v>
      </c>
      <c r="U19" s="53" t="n">
        <v>0</v>
      </c>
      <c r="V19" s="53" t="n">
        <v>0</v>
      </c>
      <c r="W19" s="53" t="n">
        <v>0</v>
      </c>
      <c r="X19" s="53" t="n">
        <v>0.961</v>
      </c>
    </row>
    <row r="20">
      <c r="A20" s="53" t="inlineStr">
        <is>
          <t>Argan shell</t>
        </is>
      </c>
      <c r="B20" s="53" t="n">
        <v>31.07</v>
      </c>
      <c r="C20" s="53" t="n">
        <v>27.76</v>
      </c>
      <c r="D20" s="53" t="n">
        <v>37.53</v>
      </c>
      <c r="E20" s="53" t="n">
        <v>61</v>
      </c>
      <c r="F20" s="53" t="n">
        <v>28</v>
      </c>
      <c r="G20" s="53" t="n">
        <v>1.5</v>
      </c>
      <c r="H20" s="53" t="n">
        <v>51.33</v>
      </c>
      <c r="I20" s="53" t="n">
        <v>42.345</v>
      </c>
      <c r="J20" s="53" t="n">
        <v>6.32</v>
      </c>
      <c r="K20" s="53" t="n">
        <v>5</v>
      </c>
      <c r="L20" s="53" t="n">
        <v>5</v>
      </c>
      <c r="M20" s="53" t="n">
        <v>0</v>
      </c>
      <c r="N20" s="53" t="n">
        <v>1</v>
      </c>
      <c r="O20" s="53" t="n">
        <v>4</v>
      </c>
      <c r="P20" s="53" t="n">
        <v>60</v>
      </c>
      <c r="Q20" s="53" t="n">
        <v>5</v>
      </c>
      <c r="R20" s="53" t="n">
        <v>1300</v>
      </c>
      <c r="S20" s="53" t="n">
        <v>0</v>
      </c>
      <c r="T20" s="53" t="n">
        <v>5</v>
      </c>
      <c r="U20" s="53" t="n">
        <v>0</v>
      </c>
      <c r="V20" s="53" t="n">
        <v>0</v>
      </c>
      <c r="W20" s="53" t="n">
        <v>0</v>
      </c>
      <c r="X20" s="53" t="n">
        <v>1</v>
      </c>
    </row>
    <row r="21">
      <c r="A21" s="53" t="inlineStr">
        <is>
          <t>Argan shell</t>
        </is>
      </c>
      <c r="B21" s="53" t="n">
        <v>31.07</v>
      </c>
      <c r="C21" s="53" t="n">
        <v>27.76</v>
      </c>
      <c r="D21" s="53" t="n">
        <v>37.53</v>
      </c>
      <c r="E21" s="53" t="n">
        <v>61</v>
      </c>
      <c r="F21" s="53" t="n">
        <v>28</v>
      </c>
      <c r="G21" s="53" t="n">
        <v>1.5</v>
      </c>
      <c r="H21" s="53" t="n">
        <v>51.33</v>
      </c>
      <c r="I21" s="53" t="n">
        <v>42.345</v>
      </c>
      <c r="J21" s="53" t="n">
        <v>6.32</v>
      </c>
      <c r="K21" s="53" t="n">
        <v>1</v>
      </c>
      <c r="L21" s="53" t="n">
        <v>5</v>
      </c>
      <c r="M21" s="53" t="n">
        <v>0</v>
      </c>
      <c r="N21" s="53" t="n">
        <v>1</v>
      </c>
      <c r="O21" s="53" t="n">
        <v>4</v>
      </c>
      <c r="P21" s="53" t="n">
        <v>60</v>
      </c>
      <c r="Q21" s="53" t="n">
        <v>5</v>
      </c>
      <c r="R21" s="53" t="n">
        <v>800</v>
      </c>
      <c r="S21" s="53" t="n">
        <v>0</v>
      </c>
      <c r="T21" s="53" t="n">
        <v>5</v>
      </c>
      <c r="U21" s="53" t="n">
        <v>0</v>
      </c>
      <c r="V21" s="53" t="n">
        <v>0</v>
      </c>
      <c r="W21" s="53" t="n">
        <v>0</v>
      </c>
      <c r="X21" s="53" t="n">
        <v>1.01</v>
      </c>
    </row>
    <row r="22">
      <c r="A22" s="53" t="inlineStr">
        <is>
          <t>Argan shell</t>
        </is>
      </c>
      <c r="B22" s="53" t="n">
        <v>31.07</v>
      </c>
      <c r="C22" s="53" t="n">
        <v>27.76</v>
      </c>
      <c r="D22" s="53" t="n">
        <v>37.53</v>
      </c>
      <c r="E22" s="53" t="n">
        <v>61</v>
      </c>
      <c r="F22" s="53" t="n">
        <v>28</v>
      </c>
      <c r="G22" s="53" t="n">
        <v>1.5</v>
      </c>
      <c r="H22" s="53" t="n">
        <v>51.33</v>
      </c>
      <c r="I22" s="53" t="n">
        <v>42.345</v>
      </c>
      <c r="J22" s="53" t="n">
        <v>6.32</v>
      </c>
      <c r="K22" s="53" t="n">
        <v>1</v>
      </c>
      <c r="L22" s="53" t="n">
        <v>5</v>
      </c>
      <c r="M22" s="53" t="n">
        <v>0</v>
      </c>
      <c r="N22" s="53" t="n">
        <v>1</v>
      </c>
      <c r="O22" s="53" t="n">
        <v>4</v>
      </c>
      <c r="P22" s="53" t="n">
        <v>60</v>
      </c>
      <c r="Q22" s="53" t="n">
        <v>5</v>
      </c>
      <c r="R22" s="53" t="n">
        <v>1300</v>
      </c>
      <c r="S22" s="53" t="n">
        <v>0</v>
      </c>
      <c r="T22" s="53" t="n">
        <v>5</v>
      </c>
      <c r="U22" s="53" t="n">
        <v>0</v>
      </c>
      <c r="V22" s="53" t="n">
        <v>0</v>
      </c>
      <c r="W22" s="53" t="n">
        <v>0</v>
      </c>
      <c r="X22" s="53" t="n">
        <v>1.09</v>
      </c>
    </row>
    <row r="23">
      <c r="A23" s="53" t="inlineStr">
        <is>
          <t>Argan shell</t>
        </is>
      </c>
      <c r="B23" s="53" t="n">
        <v>31.07</v>
      </c>
      <c r="C23" s="53" t="n">
        <v>27.76</v>
      </c>
      <c r="D23" s="53" t="n">
        <v>37.53</v>
      </c>
      <c r="E23" s="53" t="n">
        <v>61</v>
      </c>
      <c r="F23" s="53" t="n">
        <v>28</v>
      </c>
      <c r="G23" s="53" t="n">
        <v>1.5</v>
      </c>
      <c r="H23" s="53" t="n">
        <v>51.33</v>
      </c>
      <c r="I23" s="53" t="n">
        <v>42.345</v>
      </c>
      <c r="J23" s="53" t="n">
        <v>6.32</v>
      </c>
      <c r="K23" s="53" t="n">
        <v>1</v>
      </c>
      <c r="L23" s="53" t="n">
        <v>5</v>
      </c>
      <c r="M23" s="53" t="n">
        <v>0</v>
      </c>
      <c r="N23" s="53" t="n">
        <v>1</v>
      </c>
      <c r="O23" s="53" t="n">
        <v>4</v>
      </c>
      <c r="P23" s="53" t="n">
        <v>60</v>
      </c>
      <c r="Q23" s="53" t="n">
        <v>5</v>
      </c>
      <c r="R23" s="53" t="n">
        <v>1200</v>
      </c>
      <c r="S23" s="53" t="n">
        <v>0</v>
      </c>
      <c r="T23" s="53" t="n">
        <v>5</v>
      </c>
      <c r="U23" s="53" t="n">
        <v>0</v>
      </c>
      <c r="V23" s="53" t="n">
        <v>0</v>
      </c>
      <c r="W23" s="53" t="n">
        <v>0</v>
      </c>
      <c r="X23" s="53" t="n">
        <v>1.14</v>
      </c>
    </row>
    <row r="24">
      <c r="A24" s="53" t="inlineStr">
        <is>
          <t>Banana peel</t>
        </is>
      </c>
      <c r="B24" s="53" t="n">
        <v>9.9</v>
      </c>
      <c r="C24" s="53" t="n">
        <v>41.38</v>
      </c>
      <c r="D24" s="53" t="n">
        <v>8.9</v>
      </c>
      <c r="E24" s="53" t="n">
        <v>88.02</v>
      </c>
      <c r="F24" s="53" t="n">
        <v>9.279999999999999</v>
      </c>
      <c r="G24" s="53" t="n">
        <v>2.7</v>
      </c>
      <c r="H24" s="53" t="n">
        <v>35.65</v>
      </c>
      <c r="I24" s="53" t="n">
        <v>45.94</v>
      </c>
      <c r="J24" s="53" t="n">
        <v>6.19</v>
      </c>
      <c r="K24" s="53" t="n">
        <v>6</v>
      </c>
      <c r="L24" s="53" t="n">
        <v>2</v>
      </c>
      <c r="M24" s="53" t="n">
        <v>0</v>
      </c>
      <c r="N24" s="53" t="n">
        <v>1</v>
      </c>
      <c r="O24" s="53" t="n">
        <v>4</v>
      </c>
      <c r="P24" s="53" t="n">
        <v>300</v>
      </c>
      <c r="Q24" s="53" t="n">
        <v>5</v>
      </c>
      <c r="R24" s="53" t="n">
        <v>800</v>
      </c>
      <c r="S24" s="53" t="n">
        <v>0</v>
      </c>
      <c r="T24" s="53" t="n">
        <v>5</v>
      </c>
      <c r="U24" s="53" t="n">
        <v>0</v>
      </c>
      <c r="V24" s="53" t="n">
        <v>0</v>
      </c>
      <c r="W24" s="53" t="n">
        <v>0</v>
      </c>
      <c r="X24" s="53" t="n">
        <v>1.56</v>
      </c>
    </row>
    <row r="25">
      <c r="A25" s="53" t="inlineStr">
        <is>
          <t>Banana peel</t>
        </is>
      </c>
      <c r="B25" s="53" t="n">
        <v>9.9</v>
      </c>
      <c r="C25" s="53" t="n">
        <v>41.38</v>
      </c>
      <c r="D25" s="53" t="n">
        <v>8.9</v>
      </c>
      <c r="E25" s="53" t="n">
        <v>88.02</v>
      </c>
      <c r="F25" s="53" t="n">
        <v>9.279999999999999</v>
      </c>
      <c r="G25" s="53" t="n">
        <v>2.7</v>
      </c>
      <c r="H25" s="53" t="n">
        <v>35.65</v>
      </c>
      <c r="I25" s="53" t="n">
        <v>45.94</v>
      </c>
      <c r="J25" s="53" t="n">
        <v>6.19</v>
      </c>
      <c r="K25" s="53" t="n">
        <v>6</v>
      </c>
      <c r="L25" s="53" t="n">
        <v>2</v>
      </c>
      <c r="M25" s="53" t="n">
        <v>0</v>
      </c>
      <c r="N25" s="53" t="n">
        <v>1</v>
      </c>
      <c r="O25" s="53" t="n">
        <v>4</v>
      </c>
      <c r="P25" s="53" t="n">
        <v>300</v>
      </c>
      <c r="Q25" s="53" t="n">
        <v>5</v>
      </c>
      <c r="R25" s="53" t="n">
        <v>800</v>
      </c>
      <c r="S25" s="53" t="n">
        <v>0</v>
      </c>
      <c r="T25" s="53" t="n">
        <v>5</v>
      </c>
      <c r="U25" s="53" t="n">
        <v>0</v>
      </c>
      <c r="V25" s="53" t="n">
        <v>0</v>
      </c>
      <c r="W25" s="53" t="n">
        <v>0</v>
      </c>
      <c r="X25" s="53" t="n">
        <v>1.56</v>
      </c>
    </row>
    <row r="26">
      <c r="A26" s="53" t="inlineStr">
        <is>
          <t>Banana peel</t>
        </is>
      </c>
      <c r="B26" s="53" t="n">
        <v>9.9</v>
      </c>
      <c r="C26" s="53" t="n">
        <v>41.38</v>
      </c>
      <c r="D26" s="53" t="n">
        <v>8.9</v>
      </c>
      <c r="E26" s="53" t="n">
        <v>88.02</v>
      </c>
      <c r="F26" s="53" t="n">
        <v>9.279999999999999</v>
      </c>
      <c r="G26" s="53" t="n">
        <v>2.7</v>
      </c>
      <c r="H26" s="53" t="n">
        <v>35.65</v>
      </c>
      <c r="I26" s="53" t="n">
        <v>45.94</v>
      </c>
      <c r="J26" s="53" t="n">
        <v>6.19</v>
      </c>
      <c r="K26" s="53" t="n">
        <v>6</v>
      </c>
      <c r="L26" s="53" t="n">
        <v>2</v>
      </c>
      <c r="M26" s="53" t="n">
        <v>0</v>
      </c>
      <c r="N26" s="53" t="n">
        <v>1</v>
      </c>
      <c r="O26" s="53" t="n">
        <v>4</v>
      </c>
      <c r="P26" s="53" t="n">
        <v>300</v>
      </c>
      <c r="Q26" s="53" t="n">
        <v>5</v>
      </c>
      <c r="R26" s="53" t="n">
        <v>1100</v>
      </c>
      <c r="S26" s="53" t="n">
        <v>0</v>
      </c>
      <c r="T26" s="53" t="n">
        <v>5</v>
      </c>
      <c r="U26" s="53" t="n">
        <v>0</v>
      </c>
      <c r="V26" s="53" t="n">
        <v>0</v>
      </c>
      <c r="W26" s="53" t="n">
        <v>0</v>
      </c>
      <c r="X26" s="53" t="n">
        <v>1.59</v>
      </c>
    </row>
    <row r="27">
      <c r="A27" s="53" t="inlineStr">
        <is>
          <t>Banana peel</t>
        </is>
      </c>
      <c r="B27" s="53" t="n">
        <v>9.9</v>
      </c>
      <c r="C27" s="53" t="n">
        <v>41.38</v>
      </c>
      <c r="D27" s="53" t="n">
        <v>8.9</v>
      </c>
      <c r="E27" s="53" t="n">
        <v>88.02</v>
      </c>
      <c r="F27" s="53" t="n">
        <v>9.279999999999999</v>
      </c>
      <c r="G27" s="53" t="n">
        <v>2.7</v>
      </c>
      <c r="H27" s="53" t="n">
        <v>35.65</v>
      </c>
      <c r="I27" s="53" t="n">
        <v>45.94</v>
      </c>
      <c r="J27" s="53" t="n">
        <v>6.19</v>
      </c>
      <c r="K27" s="53" t="n">
        <v>6</v>
      </c>
      <c r="L27" s="53" t="n">
        <v>2</v>
      </c>
      <c r="M27" s="53" t="n">
        <v>0</v>
      </c>
      <c r="N27" s="53" t="n">
        <v>1</v>
      </c>
      <c r="O27" s="53" t="n">
        <v>4</v>
      </c>
      <c r="P27" s="53" t="n">
        <v>300</v>
      </c>
      <c r="Q27" s="53" t="n">
        <v>5</v>
      </c>
      <c r="R27" s="53" t="n">
        <v>1100</v>
      </c>
      <c r="S27" s="53" t="n">
        <v>0</v>
      </c>
      <c r="T27" s="53" t="n">
        <v>5</v>
      </c>
      <c r="U27" s="53" t="n">
        <v>0</v>
      </c>
      <c r="V27" s="53" t="n">
        <v>0</v>
      </c>
      <c r="W27" s="53" t="n">
        <v>0</v>
      </c>
      <c r="X27" s="53" t="n">
        <v>1.59</v>
      </c>
    </row>
    <row r="28">
      <c r="A28" s="53" t="inlineStr">
        <is>
          <t>Banana peel</t>
        </is>
      </c>
      <c r="B28" s="53" t="n">
        <v>9.9</v>
      </c>
      <c r="C28" s="53" t="n">
        <v>41.38</v>
      </c>
      <c r="D28" s="53" t="n">
        <v>8.9</v>
      </c>
      <c r="E28" s="53" t="n">
        <v>88.02</v>
      </c>
      <c r="F28" s="53" t="n">
        <v>9.279999999999999</v>
      </c>
      <c r="G28" s="53" t="n">
        <v>2.7</v>
      </c>
      <c r="H28" s="53" t="n">
        <v>35.65</v>
      </c>
      <c r="I28" s="53" t="n">
        <v>45.94</v>
      </c>
      <c r="J28" s="53" t="n">
        <v>6.19</v>
      </c>
      <c r="K28" s="53" t="n">
        <v>6</v>
      </c>
      <c r="L28" s="53" t="n">
        <v>2</v>
      </c>
      <c r="M28" s="53" t="n">
        <v>1</v>
      </c>
      <c r="N28" s="53" t="n">
        <v>1</v>
      </c>
      <c r="O28" s="53" t="n">
        <v>4</v>
      </c>
      <c r="P28" s="53" t="n">
        <v>300</v>
      </c>
      <c r="Q28" s="53" t="n">
        <v>5</v>
      </c>
      <c r="R28" s="53" t="n">
        <v>800</v>
      </c>
      <c r="S28" s="53" t="n">
        <v>1</v>
      </c>
      <c r="T28" s="53" t="n">
        <v>6</v>
      </c>
      <c r="U28" s="53" t="n">
        <v>3</v>
      </c>
      <c r="V28" s="53" t="n">
        <v>5</v>
      </c>
      <c r="W28" s="53" t="n">
        <v>300</v>
      </c>
      <c r="X28" s="53" t="n">
        <v>1.59</v>
      </c>
    </row>
    <row r="29">
      <c r="A29" s="53" t="inlineStr">
        <is>
          <t>Banana peel</t>
        </is>
      </c>
      <c r="B29" s="53" t="n">
        <v>9.9</v>
      </c>
      <c r="C29" s="53" t="n">
        <v>41.38</v>
      </c>
      <c r="D29" s="53" t="n">
        <v>8.9</v>
      </c>
      <c r="E29" s="53" t="n">
        <v>88.02</v>
      </c>
      <c r="F29" s="53" t="n">
        <v>9.279999999999999</v>
      </c>
      <c r="G29" s="53" t="n">
        <v>2.7</v>
      </c>
      <c r="H29" s="53" t="n">
        <v>35.65</v>
      </c>
      <c r="I29" s="53" t="n">
        <v>45.94</v>
      </c>
      <c r="J29" s="53" t="n">
        <v>6.19</v>
      </c>
      <c r="K29" s="53" t="n">
        <v>6</v>
      </c>
      <c r="L29" s="53" t="n">
        <v>2</v>
      </c>
      <c r="M29" s="53" t="n">
        <v>1</v>
      </c>
      <c r="N29" s="53" t="n">
        <v>1</v>
      </c>
      <c r="O29" s="53" t="n">
        <v>4</v>
      </c>
      <c r="P29" s="53" t="n">
        <v>300</v>
      </c>
      <c r="Q29" s="53" t="n">
        <v>5</v>
      </c>
      <c r="R29" s="53" t="n">
        <v>800</v>
      </c>
      <c r="S29" s="53" t="n">
        <v>1</v>
      </c>
      <c r="T29" s="53" t="n">
        <v>6</v>
      </c>
      <c r="U29" s="53" t="n">
        <v>3</v>
      </c>
      <c r="V29" s="53" t="n">
        <v>5</v>
      </c>
      <c r="W29" s="53" t="n">
        <v>300</v>
      </c>
      <c r="X29" s="53" t="n">
        <v>1.59</v>
      </c>
    </row>
    <row r="30">
      <c r="A30" s="53" t="inlineStr">
        <is>
          <t>Banana peel</t>
        </is>
      </c>
      <c r="B30" s="53" t="n">
        <v>9.9</v>
      </c>
      <c r="C30" s="53" t="n">
        <v>41.38</v>
      </c>
      <c r="D30" s="53" t="n">
        <v>8.9</v>
      </c>
      <c r="E30" s="53" t="n">
        <v>88.02</v>
      </c>
      <c r="F30" s="53" t="n">
        <v>9.279999999999999</v>
      </c>
      <c r="G30" s="53" t="n">
        <v>2.7</v>
      </c>
      <c r="H30" s="53" t="n">
        <v>35.65</v>
      </c>
      <c r="I30" s="53" t="n">
        <v>45.94</v>
      </c>
      <c r="J30" s="53" t="n">
        <v>6.19</v>
      </c>
      <c r="K30" s="53" t="n">
        <v>6</v>
      </c>
      <c r="L30" s="53" t="n">
        <v>2</v>
      </c>
      <c r="M30" s="53" t="n">
        <v>1</v>
      </c>
      <c r="N30" s="53" t="n">
        <v>1</v>
      </c>
      <c r="O30" s="53" t="n">
        <v>4</v>
      </c>
      <c r="P30" s="53" t="n">
        <v>300</v>
      </c>
      <c r="Q30" s="53" t="n">
        <v>5</v>
      </c>
      <c r="R30" s="53" t="n">
        <v>1100</v>
      </c>
      <c r="S30" s="53" t="n">
        <v>1</v>
      </c>
      <c r="T30" s="53" t="n">
        <v>6</v>
      </c>
      <c r="U30" s="53" t="n">
        <v>3</v>
      </c>
      <c r="V30" s="53" t="n">
        <v>5</v>
      </c>
      <c r="W30" s="53" t="n">
        <v>300</v>
      </c>
      <c r="X30" s="53" t="n">
        <v>1.62</v>
      </c>
    </row>
    <row r="31">
      <c r="A31" s="53" t="inlineStr">
        <is>
          <t>Banana peel</t>
        </is>
      </c>
      <c r="B31" s="53" t="n">
        <v>9.9</v>
      </c>
      <c r="C31" s="53" t="n">
        <v>41.38</v>
      </c>
      <c r="D31" s="53" t="n">
        <v>8.9</v>
      </c>
      <c r="E31" s="53" t="n">
        <v>88.02</v>
      </c>
      <c r="F31" s="53" t="n">
        <v>9.279999999999999</v>
      </c>
      <c r="G31" s="53" t="n">
        <v>2.7</v>
      </c>
      <c r="H31" s="53" t="n">
        <v>35.65</v>
      </c>
      <c r="I31" s="53" t="n">
        <v>45.94</v>
      </c>
      <c r="J31" s="53" t="n">
        <v>6.19</v>
      </c>
      <c r="K31" s="53" t="n">
        <v>6</v>
      </c>
      <c r="L31" s="53" t="n">
        <v>2</v>
      </c>
      <c r="M31" s="53" t="n">
        <v>1</v>
      </c>
      <c r="N31" s="53" t="n">
        <v>1</v>
      </c>
      <c r="O31" s="53" t="n">
        <v>4</v>
      </c>
      <c r="P31" s="53" t="n">
        <v>300</v>
      </c>
      <c r="Q31" s="53" t="n">
        <v>5</v>
      </c>
      <c r="R31" s="53" t="n">
        <v>1100</v>
      </c>
      <c r="S31" s="53" t="n">
        <v>1</v>
      </c>
      <c r="T31" s="53" t="n">
        <v>6</v>
      </c>
      <c r="U31" s="53" t="n">
        <v>3</v>
      </c>
      <c r="V31" s="53" t="n">
        <v>5</v>
      </c>
      <c r="W31" s="53" t="n">
        <v>300</v>
      </c>
      <c r="X31" s="53" t="n">
        <v>1.62</v>
      </c>
    </row>
    <row r="32">
      <c r="A32" s="53" t="inlineStr">
        <is>
          <t>Banana peel</t>
        </is>
      </c>
      <c r="B32" s="53" t="n">
        <v>9.9</v>
      </c>
      <c r="C32" s="53" t="n">
        <v>41.38</v>
      </c>
      <c r="D32" s="53" t="n">
        <v>8.9</v>
      </c>
      <c r="E32" s="53" t="n">
        <v>88.02</v>
      </c>
      <c r="F32" s="53" t="n">
        <v>9.279999999999999</v>
      </c>
      <c r="G32" s="53" t="n">
        <v>2.7</v>
      </c>
      <c r="H32" s="53" t="n">
        <v>35.65</v>
      </c>
      <c r="I32" s="53" t="n">
        <v>45.94</v>
      </c>
      <c r="J32" s="53" t="n">
        <v>6.19</v>
      </c>
      <c r="K32" s="53" t="n">
        <v>6</v>
      </c>
      <c r="L32" s="53" t="n">
        <v>2</v>
      </c>
      <c r="M32" s="53" t="n">
        <v>0</v>
      </c>
      <c r="N32" s="53" t="n">
        <v>1</v>
      </c>
      <c r="O32" s="53" t="n">
        <v>4</v>
      </c>
      <c r="P32" s="53" t="n">
        <v>300</v>
      </c>
      <c r="Q32" s="53" t="n">
        <v>5</v>
      </c>
      <c r="R32" s="53" t="n">
        <v>1400</v>
      </c>
      <c r="S32" s="53" t="n">
        <v>0</v>
      </c>
      <c r="T32" s="53" t="n">
        <v>5</v>
      </c>
      <c r="U32" s="53" t="n">
        <v>0</v>
      </c>
      <c r="V32" s="53" t="n">
        <v>0</v>
      </c>
      <c r="W32" s="53" t="n">
        <v>0</v>
      </c>
      <c r="X32" s="53" t="n">
        <v>2.04</v>
      </c>
    </row>
    <row r="33">
      <c r="A33" s="53" t="inlineStr">
        <is>
          <t>Banana peel</t>
        </is>
      </c>
      <c r="B33" s="53" t="n">
        <v>9.9</v>
      </c>
      <c r="C33" s="53" t="n">
        <v>41.38</v>
      </c>
      <c r="D33" s="53" t="n">
        <v>8.9</v>
      </c>
      <c r="E33" s="53" t="n">
        <v>88.02</v>
      </c>
      <c r="F33" s="53" t="n">
        <v>9.279999999999999</v>
      </c>
      <c r="G33" s="53" t="n">
        <v>2.7</v>
      </c>
      <c r="H33" s="53" t="n">
        <v>35.65</v>
      </c>
      <c r="I33" s="53" t="n">
        <v>45.94</v>
      </c>
      <c r="J33" s="53" t="n">
        <v>6.19</v>
      </c>
      <c r="K33" s="53" t="n">
        <v>6</v>
      </c>
      <c r="L33" s="53" t="n">
        <v>2</v>
      </c>
      <c r="M33" s="53" t="n">
        <v>0</v>
      </c>
      <c r="N33" s="53" t="n">
        <v>1</v>
      </c>
      <c r="O33" s="53" t="n">
        <v>4</v>
      </c>
      <c r="P33" s="53" t="n">
        <v>300</v>
      </c>
      <c r="Q33" s="53" t="n">
        <v>5</v>
      </c>
      <c r="R33" s="53" t="n">
        <v>1400</v>
      </c>
      <c r="S33" s="53" t="n">
        <v>0</v>
      </c>
      <c r="T33" s="53" t="n">
        <v>5</v>
      </c>
      <c r="U33" s="53" t="n">
        <v>0</v>
      </c>
      <c r="V33" s="53" t="n">
        <v>0</v>
      </c>
      <c r="W33" s="53" t="n">
        <v>0</v>
      </c>
      <c r="X33" s="53" t="n">
        <v>2.04</v>
      </c>
    </row>
    <row r="34">
      <c r="A34" s="53" t="inlineStr">
        <is>
          <t>Banana peel</t>
        </is>
      </c>
      <c r="B34" s="53" t="n">
        <v>9.9</v>
      </c>
      <c r="C34" s="53" t="n">
        <v>41.38</v>
      </c>
      <c r="D34" s="53" t="n">
        <v>8.9</v>
      </c>
      <c r="E34" s="53" t="n">
        <v>88.02</v>
      </c>
      <c r="F34" s="53" t="n">
        <v>9.279999999999999</v>
      </c>
      <c r="G34" s="53" t="n">
        <v>2.7</v>
      </c>
      <c r="H34" s="53" t="n">
        <v>35.65</v>
      </c>
      <c r="I34" s="53" t="n">
        <v>45.94</v>
      </c>
      <c r="J34" s="53" t="n">
        <v>6.19</v>
      </c>
      <c r="K34" s="53" t="n">
        <v>6</v>
      </c>
      <c r="L34" s="53" t="n">
        <v>2</v>
      </c>
      <c r="M34" s="53" t="n">
        <v>1</v>
      </c>
      <c r="N34" s="53" t="n">
        <v>1</v>
      </c>
      <c r="O34" s="53" t="n">
        <v>4</v>
      </c>
      <c r="P34" s="53" t="n">
        <v>300</v>
      </c>
      <c r="Q34" s="53" t="n">
        <v>5</v>
      </c>
      <c r="R34" s="53" t="n">
        <v>1400</v>
      </c>
      <c r="S34" s="53" t="n">
        <v>1</v>
      </c>
      <c r="T34" s="53" t="n">
        <v>6</v>
      </c>
      <c r="U34" s="53" t="n">
        <v>3</v>
      </c>
      <c r="V34" s="53" t="n">
        <v>5</v>
      </c>
      <c r="W34" s="53" t="n">
        <v>300</v>
      </c>
      <c r="X34" s="53" t="n">
        <v>2.12</v>
      </c>
    </row>
    <row r="35">
      <c r="A35" s="53" t="inlineStr">
        <is>
          <t>Banana peel</t>
        </is>
      </c>
      <c r="B35" s="53" t="n">
        <v>9.9</v>
      </c>
      <c r="C35" s="53" t="n">
        <v>41.38</v>
      </c>
      <c r="D35" s="53" t="n">
        <v>8.9</v>
      </c>
      <c r="E35" s="53" t="n">
        <v>88.02</v>
      </c>
      <c r="F35" s="53" t="n">
        <v>9.279999999999999</v>
      </c>
      <c r="G35" s="53" t="n">
        <v>2.7</v>
      </c>
      <c r="H35" s="53" t="n">
        <v>35.65</v>
      </c>
      <c r="I35" s="53" t="n">
        <v>45.94</v>
      </c>
      <c r="J35" s="53" t="n">
        <v>6.19</v>
      </c>
      <c r="K35" s="53" t="n">
        <v>6</v>
      </c>
      <c r="L35" s="53" t="n">
        <v>2</v>
      </c>
      <c r="M35" s="53" t="n">
        <v>1</v>
      </c>
      <c r="N35" s="53" t="n">
        <v>1</v>
      </c>
      <c r="O35" s="53" t="n">
        <v>4</v>
      </c>
      <c r="P35" s="53" t="n">
        <v>300</v>
      </c>
      <c r="Q35" s="53" t="n">
        <v>5</v>
      </c>
      <c r="R35" s="53" t="n">
        <v>1400</v>
      </c>
      <c r="S35" s="53" t="n">
        <v>1</v>
      </c>
      <c r="T35" s="53" t="n">
        <v>6</v>
      </c>
      <c r="U35" s="53" t="n">
        <v>3</v>
      </c>
      <c r="V35" s="53" t="n">
        <v>5</v>
      </c>
      <c r="W35" s="53" t="n">
        <v>300</v>
      </c>
      <c r="X35" s="53" t="n">
        <v>2.12</v>
      </c>
    </row>
    <row r="36">
      <c r="A36" s="53" t="inlineStr">
        <is>
          <t>Buckwheat hulls</t>
        </is>
      </c>
      <c r="B36" s="53" t="n">
        <v>20.4</v>
      </c>
      <c r="C36" s="53" t="n">
        <v>18.5</v>
      </c>
      <c r="D36" s="53" t="n">
        <v>27</v>
      </c>
      <c r="E36" s="53" t="n">
        <v>66.90000000000001</v>
      </c>
      <c r="F36" s="53" t="n">
        <v>2.6</v>
      </c>
      <c r="G36" s="53" t="n">
        <v>18.1</v>
      </c>
      <c r="H36" s="53" t="n">
        <v>47.5</v>
      </c>
      <c r="I36" s="53" t="n">
        <v>44.1</v>
      </c>
      <c r="J36" s="53" t="n">
        <v>5.8</v>
      </c>
      <c r="K36" s="53" t="n">
        <v>3</v>
      </c>
      <c r="L36" s="53" t="n">
        <v>5</v>
      </c>
      <c r="M36" s="53" t="n">
        <v>0</v>
      </c>
      <c r="N36" s="53" t="n">
        <v>1</v>
      </c>
      <c r="O36" s="53" t="n">
        <v>4</v>
      </c>
      <c r="P36" s="53" t="n">
        <v>206.608695652174</v>
      </c>
      <c r="Q36" s="53" t="n">
        <v>5.08108108108108</v>
      </c>
      <c r="R36" s="53" t="n">
        <v>700</v>
      </c>
      <c r="S36" s="53" t="n">
        <v>0</v>
      </c>
      <c r="T36" s="53" t="n">
        <v>5</v>
      </c>
      <c r="U36" s="53" t="n">
        <v>0</v>
      </c>
      <c r="V36" s="53" t="n">
        <v>0</v>
      </c>
      <c r="W36" s="53" t="n">
        <v>0</v>
      </c>
      <c r="X36" s="53" t="n">
        <v>1.35</v>
      </c>
    </row>
    <row r="37">
      <c r="A37" s="53" t="inlineStr">
        <is>
          <t>Buckwheat hulls</t>
        </is>
      </c>
      <c r="B37" s="53" t="n">
        <v>20.4</v>
      </c>
      <c r="C37" s="53" t="n">
        <v>18.5</v>
      </c>
      <c r="D37" s="53" t="n">
        <v>27</v>
      </c>
      <c r="E37" s="53" t="n">
        <v>66.90000000000001</v>
      </c>
      <c r="F37" s="53" t="n">
        <v>2.6</v>
      </c>
      <c r="G37" s="53" t="n">
        <v>18.1</v>
      </c>
      <c r="H37" s="53" t="n">
        <v>47.5</v>
      </c>
      <c r="I37" s="53" t="n">
        <v>44.1</v>
      </c>
      <c r="J37" s="53" t="n">
        <v>5.8</v>
      </c>
      <c r="K37" s="53" t="n">
        <v>3</v>
      </c>
      <c r="L37" s="53" t="n">
        <v>5</v>
      </c>
      <c r="M37" s="53" t="n">
        <v>0</v>
      </c>
      <c r="N37" s="53" t="n">
        <v>1</v>
      </c>
      <c r="O37" s="53" t="n">
        <v>4</v>
      </c>
      <c r="P37" s="53" t="n">
        <v>206.608695652174</v>
      </c>
      <c r="Q37" s="53" t="n">
        <v>5.08108108108108</v>
      </c>
      <c r="R37" s="53" t="n">
        <v>900</v>
      </c>
      <c r="S37" s="53" t="n">
        <v>0</v>
      </c>
      <c r="T37" s="53" t="n">
        <v>5</v>
      </c>
      <c r="U37" s="53" t="n">
        <v>0</v>
      </c>
      <c r="V37" s="53" t="n">
        <v>0</v>
      </c>
      <c r="W37" s="53" t="n">
        <v>0</v>
      </c>
      <c r="X37" s="53" t="n">
        <v>1.46</v>
      </c>
    </row>
    <row r="38">
      <c r="A38" s="53" t="inlineStr">
        <is>
          <t>Buckwheat hulls</t>
        </is>
      </c>
      <c r="B38" s="53" t="n">
        <v>20.4</v>
      </c>
      <c r="C38" s="53" t="n">
        <v>18.5</v>
      </c>
      <c r="D38" s="53" t="n">
        <v>27</v>
      </c>
      <c r="E38" s="53" t="n">
        <v>66.90000000000001</v>
      </c>
      <c r="F38" s="53" t="n">
        <v>2.6</v>
      </c>
      <c r="G38" s="53" t="n">
        <v>18.1</v>
      </c>
      <c r="H38" s="53" t="n">
        <v>47.5</v>
      </c>
      <c r="I38" s="53" t="n">
        <v>44.1</v>
      </c>
      <c r="J38" s="53" t="n">
        <v>5.8</v>
      </c>
      <c r="K38" s="53" t="n">
        <v>3</v>
      </c>
      <c r="L38" s="53" t="n">
        <v>5</v>
      </c>
      <c r="M38" s="53" t="n">
        <v>0</v>
      </c>
      <c r="N38" s="53" t="n">
        <v>1</v>
      </c>
      <c r="O38" s="53" t="n">
        <v>4</v>
      </c>
      <c r="P38" s="53" t="n">
        <v>206.608695652174</v>
      </c>
      <c r="Q38" s="53" t="n">
        <v>5.08108108108108</v>
      </c>
      <c r="R38" s="53" t="n">
        <v>1100</v>
      </c>
      <c r="S38" s="53" t="n">
        <v>0</v>
      </c>
      <c r="T38" s="53" t="n">
        <v>5</v>
      </c>
      <c r="U38" s="53" t="n">
        <v>0</v>
      </c>
      <c r="V38" s="53" t="n">
        <v>0</v>
      </c>
      <c r="W38" s="53" t="n">
        <v>0</v>
      </c>
      <c r="X38" s="53" t="n">
        <v>1.59</v>
      </c>
    </row>
    <row r="39">
      <c r="A39" s="53" t="inlineStr">
        <is>
          <t>Buckwheat hulls</t>
        </is>
      </c>
      <c r="B39" s="53" t="n">
        <v>20.4</v>
      </c>
      <c r="C39" s="53" t="n">
        <v>18.5</v>
      </c>
      <c r="D39" s="53" t="n">
        <v>27</v>
      </c>
      <c r="E39" s="53" t="n">
        <v>66.90000000000001</v>
      </c>
      <c r="F39" s="53" t="n">
        <v>2.6</v>
      </c>
      <c r="G39" s="53" t="n">
        <v>18.1</v>
      </c>
      <c r="H39" s="53" t="n">
        <v>47.5</v>
      </c>
      <c r="I39" s="53" t="n">
        <v>44.1</v>
      </c>
      <c r="J39" s="53" t="n">
        <v>5.8</v>
      </c>
      <c r="K39" s="53" t="n">
        <v>3</v>
      </c>
      <c r="L39" s="53" t="n">
        <v>5</v>
      </c>
      <c r="M39" s="53" t="n">
        <v>0</v>
      </c>
      <c r="N39" s="53" t="n">
        <v>1</v>
      </c>
      <c r="O39" s="53" t="n">
        <v>4</v>
      </c>
      <c r="P39" s="53" t="n">
        <v>206.608695652174</v>
      </c>
      <c r="Q39" s="53" t="n">
        <v>5.08108108108108</v>
      </c>
      <c r="R39" s="53" t="n">
        <v>1300</v>
      </c>
      <c r="S39" s="53" t="n">
        <v>0</v>
      </c>
      <c r="T39" s="53" t="n">
        <v>5</v>
      </c>
      <c r="U39" s="53" t="n">
        <v>0</v>
      </c>
      <c r="V39" s="53" t="n">
        <v>0</v>
      </c>
      <c r="W39" s="53" t="n">
        <v>0</v>
      </c>
      <c r="X39" s="53" t="n">
        <v>1.68</v>
      </c>
    </row>
    <row r="40">
      <c r="A40" s="53" t="inlineStr">
        <is>
          <t>Cedarwood bark</t>
        </is>
      </c>
      <c r="B40" s="53" t="n">
        <v>45.3878364394813</v>
      </c>
      <c r="C40" s="53" t="n">
        <v>17.1383692352789</v>
      </c>
      <c r="D40" s="53" t="n">
        <v>34.3460213222097</v>
      </c>
      <c r="E40" s="53" t="n">
        <v>69.0871874971138</v>
      </c>
      <c r="F40" s="53" t="n">
        <v>7.51441151898073</v>
      </c>
      <c r="G40" s="53" t="n">
        <v>23.3195198792926</v>
      </c>
      <c r="H40" s="53" t="n">
        <v>48.69</v>
      </c>
      <c r="I40" s="53" t="n">
        <v>44.72</v>
      </c>
      <c r="J40" s="53" t="n">
        <v>6.13</v>
      </c>
      <c r="K40" s="53" t="n">
        <v>6</v>
      </c>
      <c r="L40" s="53" t="n">
        <v>1</v>
      </c>
      <c r="M40" s="53" t="n">
        <v>0</v>
      </c>
      <c r="N40" s="53" t="n">
        <v>1</v>
      </c>
      <c r="O40" s="53" t="n">
        <v>4</v>
      </c>
      <c r="P40" s="53" t="n">
        <v>120</v>
      </c>
      <c r="Q40" s="53" t="n">
        <v>3</v>
      </c>
      <c r="R40" s="53" t="n">
        <v>600</v>
      </c>
      <c r="S40" s="53" t="n">
        <v>0</v>
      </c>
      <c r="T40" s="53" t="n">
        <v>5</v>
      </c>
      <c r="U40" s="53" t="n">
        <v>0</v>
      </c>
      <c r="V40" s="53" t="n">
        <v>0</v>
      </c>
      <c r="W40" s="53" t="n">
        <v>0</v>
      </c>
      <c r="X40" s="53" t="n">
        <v>1.22</v>
      </c>
    </row>
    <row r="41">
      <c r="A41" s="53" t="inlineStr">
        <is>
          <t>Cedarwood bark</t>
        </is>
      </c>
      <c r="B41" s="53" t="n">
        <v>35.5421497193198</v>
      </c>
      <c r="C41" s="53" t="n">
        <v>15.3960238025859</v>
      </c>
      <c r="D41" s="53" t="n">
        <v>38.2470428359296</v>
      </c>
      <c r="E41" s="53" t="n">
        <v>66.0161872241577</v>
      </c>
      <c r="F41" s="53" t="n">
        <v>8.18404743819274</v>
      </c>
      <c r="G41" s="53" t="n">
        <v>25.0067435175622</v>
      </c>
      <c r="H41" s="53" t="n">
        <v>48.69</v>
      </c>
      <c r="I41" s="53" t="n">
        <v>44.72</v>
      </c>
      <c r="J41" s="53" t="n">
        <v>6.13</v>
      </c>
      <c r="K41" s="53" t="n">
        <v>6</v>
      </c>
      <c r="L41" s="53" t="n">
        <v>1</v>
      </c>
      <c r="M41" s="53" t="n">
        <v>0</v>
      </c>
      <c r="N41" s="53" t="n">
        <v>1</v>
      </c>
      <c r="O41" s="53" t="n">
        <v>4</v>
      </c>
      <c r="P41" s="53" t="n">
        <v>120</v>
      </c>
      <c r="Q41" s="53" t="n">
        <v>3</v>
      </c>
      <c r="R41" s="53" t="n">
        <v>800</v>
      </c>
      <c r="S41" s="53" t="n">
        <v>0</v>
      </c>
      <c r="T41" s="53" t="n">
        <v>5</v>
      </c>
      <c r="U41" s="53" t="n">
        <v>0</v>
      </c>
      <c r="V41" s="53" t="n">
        <v>0</v>
      </c>
      <c r="W41" s="53" t="n">
        <v>0</v>
      </c>
      <c r="X41" s="53" t="n">
        <v>1.36</v>
      </c>
    </row>
    <row r="42">
      <c r="A42" s="53" t="inlineStr">
        <is>
          <t>Cedarwood bark</t>
        </is>
      </c>
      <c r="B42" s="53" t="n">
        <v>31.0987559119718</v>
      </c>
      <c r="C42" s="53" t="n">
        <v>15.995798925086</v>
      </c>
      <c r="D42" s="53" t="n">
        <v>44.8955904972341</v>
      </c>
      <c r="E42" s="53" t="n">
        <v>71.16675156473551</v>
      </c>
      <c r="F42" s="53" t="n">
        <v>6.18828868417825</v>
      </c>
      <c r="G42" s="53" t="n">
        <v>22.1897615140852</v>
      </c>
      <c r="H42" s="53" t="n">
        <v>48.69</v>
      </c>
      <c r="I42" s="53" t="n">
        <v>44.72</v>
      </c>
      <c r="J42" s="53" t="n">
        <v>6.13</v>
      </c>
      <c r="K42" s="53" t="n">
        <v>6</v>
      </c>
      <c r="L42" s="53" t="n">
        <v>1</v>
      </c>
      <c r="M42" s="53" t="n">
        <v>0</v>
      </c>
      <c r="N42" s="53" t="n">
        <v>1</v>
      </c>
      <c r="O42" s="53" t="n">
        <v>4</v>
      </c>
      <c r="P42" s="53" t="n">
        <v>120</v>
      </c>
      <c r="Q42" s="53" t="n">
        <v>3</v>
      </c>
      <c r="R42" s="53" t="n">
        <v>1000</v>
      </c>
      <c r="S42" s="53" t="n">
        <v>0</v>
      </c>
      <c r="T42" s="53" t="n">
        <v>5</v>
      </c>
      <c r="U42" s="53" t="n">
        <v>0</v>
      </c>
      <c r="V42" s="53" t="n">
        <v>0</v>
      </c>
      <c r="W42" s="53" t="n">
        <v>0</v>
      </c>
      <c r="X42" s="53" t="n">
        <v>1.57</v>
      </c>
    </row>
    <row r="43">
      <c r="A43" s="53" t="inlineStr">
        <is>
          <t>Cellulose</t>
        </is>
      </c>
      <c r="B43" s="53" t="n">
        <v>100</v>
      </c>
      <c r="C43" s="53" t="n">
        <v>0</v>
      </c>
      <c r="D43" s="53" t="n">
        <v>0</v>
      </c>
      <c r="E43" s="53" t="n">
        <v>69.67887361178821</v>
      </c>
      <c r="F43" s="53" t="n">
        <v>11.1154831649635</v>
      </c>
      <c r="G43" s="53" t="n">
        <v>21.6494943291595</v>
      </c>
      <c r="H43" s="53" t="n">
        <v>47.6838622176796</v>
      </c>
      <c r="I43" s="53" t="n">
        <v>42.9268367741664</v>
      </c>
      <c r="J43" s="53" t="n">
        <v>6.15110801567795</v>
      </c>
      <c r="K43" s="53" t="n">
        <v>4</v>
      </c>
      <c r="L43" s="53" t="n">
        <v>5</v>
      </c>
      <c r="M43" s="53" t="n">
        <v>0</v>
      </c>
      <c r="N43" s="53" t="n">
        <v>1</v>
      </c>
      <c r="O43" s="53" t="n">
        <v>4</v>
      </c>
      <c r="P43" s="53" t="n">
        <v>240</v>
      </c>
      <c r="Q43" s="53" t="n">
        <v>5</v>
      </c>
      <c r="R43" s="53" t="n">
        <v>600</v>
      </c>
      <c r="S43" s="53" t="n">
        <v>0</v>
      </c>
      <c r="T43" s="53" t="n">
        <v>5</v>
      </c>
      <c r="U43" s="53" t="n">
        <v>0</v>
      </c>
      <c r="V43" s="53" t="n">
        <v>0</v>
      </c>
      <c r="W43" s="53" t="n">
        <v>0</v>
      </c>
      <c r="X43" s="53" t="n">
        <v>0.48</v>
      </c>
    </row>
    <row r="44">
      <c r="A44" s="53" t="inlineStr">
        <is>
          <t>Cellulose</t>
        </is>
      </c>
      <c r="B44" s="53" t="n">
        <v>100</v>
      </c>
      <c r="C44" s="53" t="n">
        <v>0</v>
      </c>
      <c r="D44" s="53" t="n">
        <v>0</v>
      </c>
      <c r="E44" s="53" t="n">
        <v>69.67887361178821</v>
      </c>
      <c r="F44" s="53" t="n">
        <v>11.1154831649635</v>
      </c>
      <c r="G44" s="53" t="n">
        <v>21.6494943291595</v>
      </c>
      <c r="H44" s="53" t="n">
        <v>47.6838622176796</v>
      </c>
      <c r="I44" s="53" t="n">
        <v>42.9268367741664</v>
      </c>
      <c r="J44" s="53" t="n">
        <v>6.15110801567795</v>
      </c>
      <c r="K44" s="53" t="n">
        <v>4</v>
      </c>
      <c r="L44" s="53" t="n">
        <v>5</v>
      </c>
      <c r="M44" s="53" t="n">
        <v>0</v>
      </c>
      <c r="N44" s="53" t="n">
        <v>1</v>
      </c>
      <c r="O44" s="53" t="n">
        <v>4</v>
      </c>
      <c r="P44" s="53" t="n">
        <v>240</v>
      </c>
      <c r="Q44" s="53" t="n">
        <v>5</v>
      </c>
      <c r="R44" s="53" t="n">
        <v>800</v>
      </c>
      <c r="S44" s="53" t="n">
        <v>0</v>
      </c>
      <c r="T44" s="53" t="n">
        <v>5</v>
      </c>
      <c r="U44" s="53" t="n">
        <v>0</v>
      </c>
      <c r="V44" s="53" t="n">
        <v>0</v>
      </c>
      <c r="W44" s="53" t="n">
        <v>0</v>
      </c>
      <c r="X44" s="53" t="n">
        <v>0.6899999999999999</v>
      </c>
    </row>
    <row r="45">
      <c r="A45" s="53" t="inlineStr">
        <is>
          <t>Cellulose</t>
        </is>
      </c>
      <c r="B45" s="53" t="n">
        <v>100</v>
      </c>
      <c r="C45" s="53" t="n">
        <v>0</v>
      </c>
      <c r="D45" s="53" t="n">
        <v>0</v>
      </c>
      <c r="E45" s="53" t="n">
        <v>69.67887361178821</v>
      </c>
      <c r="F45" s="53" t="n">
        <v>11.1154831649635</v>
      </c>
      <c r="G45" s="53" t="n">
        <v>21.6494943291595</v>
      </c>
      <c r="H45" s="53" t="n">
        <v>47.6838622176796</v>
      </c>
      <c r="I45" s="53" t="n">
        <v>42.9268367741664</v>
      </c>
      <c r="J45" s="53" t="n">
        <v>6.15110801567795</v>
      </c>
      <c r="K45" s="53" t="n">
        <v>4</v>
      </c>
      <c r="L45" s="53" t="n">
        <v>5</v>
      </c>
      <c r="M45" s="53" t="n">
        <v>0</v>
      </c>
      <c r="N45" s="53" t="n">
        <v>1</v>
      </c>
      <c r="O45" s="53" t="n">
        <v>4</v>
      </c>
      <c r="P45" s="53" t="n">
        <v>240</v>
      </c>
      <c r="Q45" s="53" t="n">
        <v>5</v>
      </c>
      <c r="R45" s="53" t="n">
        <v>1000</v>
      </c>
      <c r="S45" s="53" t="n">
        <v>0</v>
      </c>
      <c r="T45" s="53" t="n">
        <v>5</v>
      </c>
      <c r="U45" s="53" t="n">
        <v>0</v>
      </c>
      <c r="V45" s="53" t="n">
        <v>0</v>
      </c>
      <c r="W45" s="53" t="n">
        <v>0</v>
      </c>
      <c r="X45" s="53" t="n">
        <v>0.78</v>
      </c>
    </row>
    <row r="46">
      <c r="A46" s="53" t="inlineStr">
        <is>
          <t>Cellulose</t>
        </is>
      </c>
      <c r="B46" s="53" t="n">
        <v>100</v>
      </c>
      <c r="C46" s="53" t="n">
        <v>0</v>
      </c>
      <c r="D46" s="53" t="n">
        <v>0</v>
      </c>
      <c r="E46" s="53" t="n">
        <v>69.67887361178821</v>
      </c>
      <c r="F46" s="53" t="n">
        <v>11.1154831649635</v>
      </c>
      <c r="G46" s="53" t="n">
        <v>21.6494943291595</v>
      </c>
      <c r="H46" s="53" t="n">
        <v>47.6838622176796</v>
      </c>
      <c r="I46" s="53" t="n">
        <v>42.9268367741664</v>
      </c>
      <c r="J46" s="53" t="n">
        <v>6.15110801567795</v>
      </c>
      <c r="K46" s="53" t="n">
        <v>4</v>
      </c>
      <c r="L46" s="53" t="n">
        <v>5</v>
      </c>
      <c r="M46" s="53" t="n">
        <v>0</v>
      </c>
      <c r="N46" s="53" t="n">
        <v>1</v>
      </c>
      <c r="O46" s="53" t="n">
        <v>4</v>
      </c>
      <c r="P46" s="53" t="n">
        <v>240</v>
      </c>
      <c r="Q46" s="53" t="n">
        <v>5</v>
      </c>
      <c r="R46" s="53" t="n">
        <v>1200</v>
      </c>
      <c r="S46" s="53" t="n">
        <v>0</v>
      </c>
      <c r="T46" s="53" t="n">
        <v>5</v>
      </c>
      <c r="U46" s="53" t="n">
        <v>0</v>
      </c>
      <c r="V46" s="53" t="n">
        <v>0</v>
      </c>
      <c r="W46" s="53" t="n">
        <v>0</v>
      </c>
      <c r="X46" s="53" t="n">
        <v>0.8</v>
      </c>
    </row>
    <row r="47">
      <c r="A47" s="53" t="inlineStr">
        <is>
          <t>Cellulose</t>
        </is>
      </c>
      <c r="B47" s="53" t="n">
        <v>100</v>
      </c>
      <c r="C47" s="53" t="n">
        <v>0</v>
      </c>
      <c r="D47" s="53" t="n">
        <v>0</v>
      </c>
      <c r="E47" s="53" t="n">
        <v>69.67887361178821</v>
      </c>
      <c r="F47" s="53" t="n">
        <v>11.1154831649635</v>
      </c>
      <c r="G47" s="53" t="n">
        <v>21.6494943291595</v>
      </c>
      <c r="H47" s="53" t="n">
        <v>47.6838622176796</v>
      </c>
      <c r="I47" s="53" t="n">
        <v>42.9268367741664</v>
      </c>
      <c r="J47" s="53" t="n">
        <v>6.15110801567795</v>
      </c>
      <c r="K47" s="53" t="n">
        <v>4</v>
      </c>
      <c r="L47" s="53" t="n">
        <v>5</v>
      </c>
      <c r="M47" s="53" t="n">
        <v>0</v>
      </c>
      <c r="N47" s="53" t="n">
        <v>1</v>
      </c>
      <c r="O47" s="53" t="n">
        <v>4</v>
      </c>
      <c r="P47" s="53" t="n">
        <v>240</v>
      </c>
      <c r="Q47" s="53" t="n">
        <v>5</v>
      </c>
      <c r="R47" s="53" t="n">
        <v>1400</v>
      </c>
      <c r="S47" s="53" t="n">
        <v>0</v>
      </c>
      <c r="T47" s="53" t="n">
        <v>5</v>
      </c>
      <c r="U47" s="53" t="n">
        <v>0</v>
      </c>
      <c r="V47" s="53" t="n">
        <v>0</v>
      </c>
      <c r="W47" s="53" t="n">
        <v>0</v>
      </c>
      <c r="X47" s="53" t="n">
        <v>0.84</v>
      </c>
    </row>
    <row r="48">
      <c r="A48" s="53" t="inlineStr">
        <is>
          <t>Cellulose</t>
        </is>
      </c>
      <c r="B48" s="53" t="n">
        <v>100</v>
      </c>
      <c r="C48" s="53" t="n">
        <v>0</v>
      </c>
      <c r="D48" s="53" t="n">
        <v>0</v>
      </c>
      <c r="E48" s="53" t="n">
        <v>69.67887361178821</v>
      </c>
      <c r="F48" s="53" t="n">
        <v>11.1154831649635</v>
      </c>
      <c r="G48" s="53" t="n">
        <v>21.6494943291595</v>
      </c>
      <c r="H48" s="53" t="n">
        <v>47.6838622176796</v>
      </c>
      <c r="I48" s="53" t="n">
        <v>42.9268367741664</v>
      </c>
      <c r="J48" s="53" t="n">
        <v>6.15110801567795</v>
      </c>
      <c r="K48" s="53" t="n">
        <v>4</v>
      </c>
      <c r="L48" s="53" t="n">
        <v>5</v>
      </c>
      <c r="M48" s="53" t="n">
        <v>0</v>
      </c>
      <c r="N48" s="53" t="n">
        <v>1</v>
      </c>
      <c r="O48" s="53" t="n">
        <v>4</v>
      </c>
      <c r="P48" s="53" t="n">
        <v>240</v>
      </c>
      <c r="Q48" s="53" t="n">
        <v>5</v>
      </c>
      <c r="R48" s="53" t="n">
        <v>1600</v>
      </c>
      <c r="S48" s="53" t="n">
        <v>0</v>
      </c>
      <c r="T48" s="53" t="n">
        <v>5</v>
      </c>
      <c r="U48" s="53" t="n">
        <v>0</v>
      </c>
      <c r="V48" s="53" t="n">
        <v>0</v>
      </c>
      <c r="W48" s="53" t="n">
        <v>0</v>
      </c>
      <c r="X48" s="53" t="n">
        <v>0.93</v>
      </c>
    </row>
    <row r="49">
      <c r="A49" s="53" t="inlineStr">
        <is>
          <t>Cellulose</t>
        </is>
      </c>
      <c r="B49" s="53" t="n">
        <v>100</v>
      </c>
      <c r="C49" s="53" t="n">
        <v>0</v>
      </c>
      <c r="D49" s="53" t="n">
        <v>0</v>
      </c>
      <c r="E49" s="53" t="n">
        <v>69.67887361178821</v>
      </c>
      <c r="F49" s="53" t="n">
        <v>11.1154831649635</v>
      </c>
      <c r="G49" s="53" t="n">
        <v>21.6494943291595</v>
      </c>
      <c r="H49" s="53" t="n">
        <v>47.6838622176796</v>
      </c>
      <c r="I49" s="53" t="n">
        <v>42.9268367741664</v>
      </c>
      <c r="J49" s="53" t="n">
        <v>6.15110801567795</v>
      </c>
      <c r="K49" s="53" t="n">
        <v>1</v>
      </c>
      <c r="L49" s="53" t="n">
        <v>5</v>
      </c>
      <c r="M49" s="53" t="n">
        <v>1</v>
      </c>
      <c r="N49" s="53" t="n">
        <v>1</v>
      </c>
      <c r="O49" s="53" t="n">
        <v>4</v>
      </c>
      <c r="P49" s="53" t="n">
        <v>60</v>
      </c>
      <c r="Q49" s="53" t="n">
        <v>10</v>
      </c>
      <c r="R49" s="53" t="n">
        <v>800</v>
      </c>
      <c r="S49" s="53" t="n">
        <v>1</v>
      </c>
      <c r="T49" s="53" t="n">
        <v>5</v>
      </c>
      <c r="U49" s="53" t="n">
        <v>480</v>
      </c>
      <c r="V49" s="53" t="n">
        <v>10</v>
      </c>
      <c r="W49" s="53" t="n">
        <v>1300</v>
      </c>
      <c r="X49" s="53" t="n">
        <v>1.13</v>
      </c>
    </row>
    <row r="50">
      <c r="A50" s="53" t="inlineStr">
        <is>
          <t>Coconut shells</t>
        </is>
      </c>
      <c r="B50" s="53" t="n">
        <v>17.89</v>
      </c>
      <c r="C50" s="53" t="n">
        <v>56.29</v>
      </c>
      <c r="D50" s="53" t="n">
        <v>25.82</v>
      </c>
      <c r="E50" s="53" t="n">
        <v>83.98220245</v>
      </c>
      <c r="F50" s="53" t="n">
        <v>3.56</v>
      </c>
      <c r="G50" s="53" t="n">
        <v>12.46</v>
      </c>
      <c r="H50" s="53" t="n">
        <v>64.23</v>
      </c>
      <c r="I50" s="53" t="n">
        <v>27.61</v>
      </c>
      <c r="J50" s="53" t="n">
        <v>6.89</v>
      </c>
      <c r="K50" s="53" t="n">
        <v>4</v>
      </c>
      <c r="L50" s="53" t="n">
        <v>1</v>
      </c>
      <c r="M50" s="53" t="n">
        <v>0</v>
      </c>
      <c r="N50" s="53" t="n">
        <v>1</v>
      </c>
      <c r="O50" s="53" t="n">
        <v>4</v>
      </c>
      <c r="P50" s="53" t="n">
        <v>60</v>
      </c>
      <c r="Q50" s="53" t="n">
        <v>5</v>
      </c>
      <c r="R50" s="53" t="n">
        <v>1300</v>
      </c>
      <c r="S50" s="53" t="n">
        <v>0</v>
      </c>
      <c r="T50" s="53" t="n">
        <v>5</v>
      </c>
      <c r="U50" s="53" t="n">
        <v>0</v>
      </c>
      <c r="V50" s="53" t="n">
        <v>0</v>
      </c>
      <c r="W50" s="53" t="n">
        <v>0</v>
      </c>
      <c r="X50" s="53" t="n">
        <v>0.1</v>
      </c>
    </row>
    <row r="51">
      <c r="A51" s="53" t="inlineStr">
        <is>
          <t>Coconut shells</t>
        </is>
      </c>
      <c r="B51" s="53" t="n">
        <v>17.89</v>
      </c>
      <c r="C51" s="53" t="n">
        <v>56.29</v>
      </c>
      <c r="D51" s="53" t="n">
        <v>25.82</v>
      </c>
      <c r="E51" s="53" t="n">
        <v>83.98220245</v>
      </c>
      <c r="F51" s="53" t="n">
        <v>3.56</v>
      </c>
      <c r="G51" s="53" t="n">
        <v>12.46</v>
      </c>
      <c r="H51" s="53" t="n">
        <v>64.23</v>
      </c>
      <c r="I51" s="53" t="n">
        <v>27.61</v>
      </c>
      <c r="J51" s="53" t="n">
        <v>6.89</v>
      </c>
      <c r="K51" s="53" t="n">
        <v>4</v>
      </c>
      <c r="L51" s="53" t="n">
        <v>3</v>
      </c>
      <c r="M51" s="53" t="n">
        <v>0</v>
      </c>
      <c r="N51" s="53" t="n">
        <v>1</v>
      </c>
      <c r="O51" s="53" t="n">
        <v>4</v>
      </c>
      <c r="P51" s="53" t="n">
        <v>60</v>
      </c>
      <c r="Q51" s="53" t="n">
        <v>5</v>
      </c>
      <c r="R51" s="53" t="n">
        <v>1300</v>
      </c>
      <c r="S51" s="53" t="n">
        <v>0</v>
      </c>
      <c r="T51" s="53" t="n">
        <v>5</v>
      </c>
      <c r="U51" s="53" t="n">
        <v>0</v>
      </c>
      <c r="V51" s="53" t="n">
        <v>0</v>
      </c>
      <c r="W51" s="53" t="n">
        <v>0</v>
      </c>
      <c r="X51" s="53" t="n">
        <v>10</v>
      </c>
    </row>
    <row r="52">
      <c r="A52" s="53" t="inlineStr">
        <is>
          <t>Coffee ground</t>
        </is>
      </c>
      <c r="B52" s="53" t="n">
        <v>12.4</v>
      </c>
      <c r="C52" s="53" t="n">
        <v>39.1</v>
      </c>
      <c r="D52" s="53" t="n">
        <v>23.9</v>
      </c>
      <c r="E52" s="53" t="n">
        <v>83.3</v>
      </c>
      <c r="F52" s="53" t="n">
        <v>15.3</v>
      </c>
      <c r="G52" s="53" t="n">
        <v>1.5</v>
      </c>
      <c r="H52" s="53" t="n">
        <v>54.2</v>
      </c>
      <c r="I52" s="53" t="n">
        <v>33.1</v>
      </c>
      <c r="J52" s="53" t="n">
        <v>7</v>
      </c>
      <c r="K52" s="53" t="n">
        <v>4</v>
      </c>
      <c r="L52" s="53" t="n">
        <v>5</v>
      </c>
      <c r="M52" s="53" t="n">
        <v>0</v>
      </c>
      <c r="N52" s="53" t="n">
        <v>1</v>
      </c>
      <c r="O52" s="53" t="n">
        <v>0</v>
      </c>
      <c r="P52" s="53" t="n">
        <v>480</v>
      </c>
      <c r="Q52" s="53" t="n">
        <v>10</v>
      </c>
      <c r="R52" s="53" t="n">
        <v>970</v>
      </c>
      <c r="S52" s="53" t="n">
        <v>0</v>
      </c>
      <c r="T52" s="53" t="n">
        <v>5</v>
      </c>
      <c r="U52" s="53" t="n">
        <v>0</v>
      </c>
      <c r="V52" s="53" t="n">
        <v>0</v>
      </c>
      <c r="W52" s="53" t="n">
        <v>0</v>
      </c>
      <c r="X52" s="53" t="n">
        <v>0.732</v>
      </c>
    </row>
    <row r="53">
      <c r="A53" s="53" t="inlineStr">
        <is>
          <t>Coir</t>
        </is>
      </c>
      <c r="B53" s="53" t="n">
        <v>34.3359770079627</v>
      </c>
      <c r="C53" s="53" t="n">
        <v>13.4133843597305</v>
      </c>
      <c r="D53" s="53" t="n">
        <v>25.0938963518179</v>
      </c>
      <c r="E53" s="53" t="n">
        <v>69.2</v>
      </c>
      <c r="F53" s="53" t="n">
        <v>15.1</v>
      </c>
      <c r="G53" s="53" t="n">
        <v>21.6</v>
      </c>
      <c r="H53" s="53" t="n">
        <v>40.8</v>
      </c>
      <c r="I53" s="53" t="n">
        <v>40.3</v>
      </c>
      <c r="J53" s="53" t="n">
        <v>3.5</v>
      </c>
      <c r="K53" s="53" t="n">
        <v>5</v>
      </c>
      <c r="L53" s="53" t="n">
        <v>2</v>
      </c>
      <c r="M53" s="53" t="n">
        <v>0</v>
      </c>
      <c r="N53" s="53" t="n">
        <v>1</v>
      </c>
      <c r="O53" s="53" t="n">
        <v>4</v>
      </c>
      <c r="P53" s="53" t="n">
        <v>120</v>
      </c>
      <c r="Q53" s="53" t="n">
        <v>4.43310063832215</v>
      </c>
      <c r="R53" s="53" t="n">
        <v>800</v>
      </c>
      <c r="S53" s="53" t="n">
        <v>0</v>
      </c>
      <c r="T53" s="53" t="n">
        <v>5</v>
      </c>
      <c r="U53" s="53" t="n">
        <v>0</v>
      </c>
      <c r="V53" s="53" t="n">
        <v>0</v>
      </c>
      <c r="W53" s="53" t="n">
        <v>0</v>
      </c>
      <c r="X53" s="53" t="n">
        <v>1.43</v>
      </c>
    </row>
    <row r="54">
      <c r="A54" s="53" t="inlineStr">
        <is>
          <t>Coir</t>
        </is>
      </c>
      <c r="B54" s="53" t="n">
        <v>34.3359770079627</v>
      </c>
      <c r="C54" s="53" t="n">
        <v>13.4133843597305</v>
      </c>
      <c r="D54" s="53" t="n">
        <v>25.0938963518179</v>
      </c>
      <c r="E54" s="53" t="n">
        <v>69.2</v>
      </c>
      <c r="F54" s="53" t="n">
        <v>15.1</v>
      </c>
      <c r="G54" s="53" t="n">
        <v>21.6</v>
      </c>
      <c r="H54" s="53" t="n">
        <v>40.8</v>
      </c>
      <c r="I54" s="53" t="n">
        <v>40.3</v>
      </c>
      <c r="J54" s="53" t="n">
        <v>3.5</v>
      </c>
      <c r="K54" s="53" t="n">
        <v>5</v>
      </c>
      <c r="L54" s="53" t="n">
        <v>2</v>
      </c>
      <c r="M54" s="53" t="n">
        <v>0</v>
      </c>
      <c r="N54" s="53" t="n">
        <v>1</v>
      </c>
      <c r="O54" s="53" t="n">
        <v>4</v>
      </c>
      <c r="P54" s="53" t="n">
        <v>120</v>
      </c>
      <c r="Q54" s="53" t="n">
        <v>4.68025109497266</v>
      </c>
      <c r="R54" s="53" t="n">
        <v>1000</v>
      </c>
      <c r="S54" s="53" t="n">
        <v>0</v>
      </c>
      <c r="T54" s="53" t="n">
        <v>5</v>
      </c>
      <c r="U54" s="53" t="n">
        <v>0</v>
      </c>
      <c r="V54" s="53" t="n">
        <v>0</v>
      </c>
      <c r="W54" s="53" t="n">
        <v>0</v>
      </c>
      <c r="X54" s="53" t="n">
        <v>1.57</v>
      </c>
    </row>
    <row r="55">
      <c r="A55" s="53" t="inlineStr">
        <is>
          <t>Coir</t>
        </is>
      </c>
      <c r="B55" s="53" t="n">
        <v>34.3359770079627</v>
      </c>
      <c r="C55" s="53" t="n">
        <v>13.4133843597305</v>
      </c>
      <c r="D55" s="53" t="n">
        <v>25.0938963518179</v>
      </c>
      <c r="E55" s="53" t="n">
        <v>69.2</v>
      </c>
      <c r="F55" s="53" t="n">
        <v>15.1</v>
      </c>
      <c r="G55" s="53" t="n">
        <v>21.6</v>
      </c>
      <c r="H55" s="53" t="n">
        <v>40.8</v>
      </c>
      <c r="I55" s="53" t="n">
        <v>40.3</v>
      </c>
      <c r="J55" s="53" t="n">
        <v>3.5</v>
      </c>
      <c r="K55" s="53" t="n">
        <v>5</v>
      </c>
      <c r="L55" s="53" t="n">
        <v>2</v>
      </c>
      <c r="M55" s="53" t="n">
        <v>0</v>
      </c>
      <c r="N55" s="53" t="n">
        <v>1</v>
      </c>
      <c r="O55" s="53" t="n">
        <v>4</v>
      </c>
      <c r="P55" s="53" t="n">
        <v>120</v>
      </c>
      <c r="Q55" s="53" t="n">
        <v>4.46746141976815</v>
      </c>
      <c r="R55" s="53" t="n">
        <v>1200</v>
      </c>
      <c r="S55" s="53" t="n">
        <v>0</v>
      </c>
      <c r="T55" s="53" t="n">
        <v>5</v>
      </c>
      <c r="U55" s="53" t="n">
        <v>0</v>
      </c>
      <c r="V55" s="53" t="n">
        <v>0</v>
      </c>
      <c r="W55" s="53" t="n">
        <v>0</v>
      </c>
      <c r="X55" s="53" t="n">
        <v>1.62</v>
      </c>
    </row>
    <row r="56">
      <c r="A56" s="53" t="inlineStr">
        <is>
          <t>Cork</t>
        </is>
      </c>
      <c r="B56" s="53" t="n">
        <v>46.5</v>
      </c>
      <c r="C56" s="53" t="n">
        <v>24.4</v>
      </c>
      <c r="D56" s="53" t="n">
        <v>24.9</v>
      </c>
      <c r="E56" s="53" t="n">
        <v>73.78388164178151</v>
      </c>
      <c r="F56" s="53" t="n">
        <v>8.48644683342709</v>
      </c>
      <c r="G56" s="53" t="n">
        <v>19.5232197212223</v>
      </c>
      <c r="H56" s="53" t="n">
        <v>45.9348606701051</v>
      </c>
      <c r="I56" s="53" t="n">
        <v>43.3312491716995</v>
      </c>
      <c r="J56" s="53" t="n">
        <v>5.23021877653754</v>
      </c>
      <c r="K56" s="53" t="n">
        <v>4</v>
      </c>
      <c r="L56" s="53" t="n">
        <v>5</v>
      </c>
      <c r="M56" s="53" t="n">
        <v>0</v>
      </c>
      <c r="N56" s="53" t="n">
        <v>1</v>
      </c>
      <c r="O56" s="53" t="n">
        <v>4</v>
      </c>
      <c r="P56" s="53" t="n">
        <v>120</v>
      </c>
      <c r="Q56" s="53" t="n">
        <v>5</v>
      </c>
      <c r="R56" s="53" t="n">
        <v>1500</v>
      </c>
      <c r="S56" s="53" t="n">
        <v>0</v>
      </c>
      <c r="T56" s="53" t="n">
        <v>5</v>
      </c>
      <c r="U56" s="53" t="n">
        <v>0</v>
      </c>
      <c r="V56" s="53" t="n">
        <v>0</v>
      </c>
      <c r="W56" s="53" t="n">
        <v>0</v>
      </c>
      <c r="X56" s="53" t="n">
        <v>4.866</v>
      </c>
    </row>
    <row r="57">
      <c r="A57" s="53" t="inlineStr">
        <is>
          <t>Corn cob</t>
        </is>
      </c>
      <c r="B57" s="53" t="n">
        <v>45.88</v>
      </c>
      <c r="C57" s="53" t="n">
        <v>39.4</v>
      </c>
      <c r="D57" s="53" t="n">
        <v>11.32</v>
      </c>
      <c r="E57" s="53" t="n">
        <v>87.76000000000001</v>
      </c>
      <c r="F57" s="53" t="n">
        <v>1.05</v>
      </c>
      <c r="G57" s="53" t="n">
        <v>11.19</v>
      </c>
      <c r="H57" s="53" t="n">
        <v>43.81</v>
      </c>
      <c r="I57" s="53" t="n">
        <v>48.19</v>
      </c>
      <c r="J57" s="53" t="n">
        <v>6.54</v>
      </c>
      <c r="K57" s="53" t="n">
        <v>4</v>
      </c>
      <c r="L57" s="53" t="n">
        <v>5</v>
      </c>
      <c r="M57" s="53" t="n">
        <v>1</v>
      </c>
      <c r="N57" s="53" t="n">
        <v>1</v>
      </c>
      <c r="O57" s="53" t="n">
        <v>4</v>
      </c>
      <c r="P57" s="53" t="n">
        <v>120</v>
      </c>
      <c r="Q57" s="53" t="n">
        <v>5.08108108108108</v>
      </c>
      <c r="R57" s="53" t="n">
        <v>500</v>
      </c>
      <c r="S57" s="53" t="n">
        <v>1</v>
      </c>
      <c r="T57" s="53" t="n">
        <v>0</v>
      </c>
      <c r="U57" s="53" t="n">
        <v>120</v>
      </c>
      <c r="V57" s="53" t="n">
        <v>0</v>
      </c>
      <c r="W57" s="53" t="n">
        <v>1150</v>
      </c>
      <c r="X57" s="53" t="n">
        <v>1.326</v>
      </c>
    </row>
    <row r="58">
      <c r="A58" s="53" t="inlineStr">
        <is>
          <t>Corn cob</t>
        </is>
      </c>
      <c r="B58" s="53" t="n">
        <v>45.88</v>
      </c>
      <c r="C58" s="53" t="n">
        <v>39.4</v>
      </c>
      <c r="D58" s="53" t="n">
        <v>11.32</v>
      </c>
      <c r="E58" s="53" t="n">
        <v>87.76000000000001</v>
      </c>
      <c r="F58" s="53" t="n">
        <v>1.05</v>
      </c>
      <c r="G58" s="53" t="n">
        <v>11.19</v>
      </c>
      <c r="H58" s="53" t="n">
        <v>43.81</v>
      </c>
      <c r="I58" s="53" t="n">
        <v>48.19</v>
      </c>
      <c r="J58" s="53" t="n">
        <v>6.54</v>
      </c>
      <c r="K58" s="53" t="n">
        <v>4</v>
      </c>
      <c r="L58" s="53" t="n">
        <v>5</v>
      </c>
      <c r="M58" s="53" t="n">
        <v>0</v>
      </c>
      <c r="N58" s="53" t="n">
        <v>1</v>
      </c>
      <c r="O58" s="53" t="n">
        <v>4</v>
      </c>
      <c r="P58" s="53" t="n">
        <v>120</v>
      </c>
      <c r="Q58" s="53" t="n">
        <v>5.08108108108108</v>
      </c>
      <c r="R58" s="53" t="n">
        <v>1000</v>
      </c>
      <c r="S58" s="53" t="n">
        <v>0</v>
      </c>
      <c r="T58" s="53" t="n">
        <v>5</v>
      </c>
      <c r="U58" s="53" t="n">
        <v>0</v>
      </c>
      <c r="V58" s="53" t="n">
        <v>0</v>
      </c>
      <c r="W58" s="53" t="n">
        <v>0</v>
      </c>
      <c r="X58" s="53" t="n">
        <v>1.34</v>
      </c>
    </row>
    <row r="59">
      <c r="A59" s="53" t="inlineStr">
        <is>
          <t>Corn cob</t>
        </is>
      </c>
      <c r="B59" s="53" t="n">
        <v>45.88</v>
      </c>
      <c r="C59" s="53" t="n">
        <v>39.4</v>
      </c>
      <c r="D59" s="53" t="n">
        <v>11.32</v>
      </c>
      <c r="E59" s="53" t="n">
        <v>87.76000000000001</v>
      </c>
      <c r="F59" s="53" t="n">
        <v>1.05</v>
      </c>
      <c r="G59" s="53" t="n">
        <v>11.19</v>
      </c>
      <c r="H59" s="53" t="n">
        <v>43.81</v>
      </c>
      <c r="I59" s="53" t="n">
        <v>48.19</v>
      </c>
      <c r="J59" s="53" t="n">
        <v>6.54</v>
      </c>
      <c r="K59" s="53" t="n">
        <v>4</v>
      </c>
      <c r="L59" s="53" t="n">
        <v>5</v>
      </c>
      <c r="M59" s="53" t="n">
        <v>1</v>
      </c>
      <c r="N59" s="53" t="n">
        <v>1</v>
      </c>
      <c r="O59" s="53" t="n">
        <v>4</v>
      </c>
      <c r="P59" s="53" t="n">
        <v>120</v>
      </c>
      <c r="Q59" s="53" t="n">
        <v>5.08108108108108</v>
      </c>
      <c r="R59" s="53" t="n">
        <v>500</v>
      </c>
      <c r="S59" s="53" t="n">
        <v>1</v>
      </c>
      <c r="T59" s="53" t="n">
        <v>0</v>
      </c>
      <c r="U59" s="53" t="n">
        <v>120</v>
      </c>
      <c r="V59" s="53" t="n">
        <v>0</v>
      </c>
      <c r="W59" s="53" t="n">
        <v>1300</v>
      </c>
      <c r="X59" s="53" t="n">
        <v>1.388</v>
      </c>
    </row>
    <row r="60">
      <c r="A60" s="53" t="inlineStr">
        <is>
          <t>Corn cob</t>
        </is>
      </c>
      <c r="B60" s="53" t="n">
        <v>45.88</v>
      </c>
      <c r="C60" s="53" t="n">
        <v>39.4</v>
      </c>
      <c r="D60" s="53" t="n">
        <v>11.32</v>
      </c>
      <c r="E60" s="53" t="n">
        <v>87.76000000000001</v>
      </c>
      <c r="F60" s="53" t="n">
        <v>1.05</v>
      </c>
      <c r="G60" s="53" t="n">
        <v>11.19</v>
      </c>
      <c r="H60" s="53" t="n">
        <v>43.81</v>
      </c>
      <c r="I60" s="53" t="n">
        <v>48.19</v>
      </c>
      <c r="J60" s="53" t="n">
        <v>6.54</v>
      </c>
      <c r="K60" s="53" t="n">
        <v>4</v>
      </c>
      <c r="L60" s="53" t="n">
        <v>5</v>
      </c>
      <c r="M60" s="53" t="n">
        <v>0</v>
      </c>
      <c r="N60" s="53" t="n">
        <v>1</v>
      </c>
      <c r="O60" s="53" t="n">
        <v>4</v>
      </c>
      <c r="P60" s="53" t="n">
        <v>120</v>
      </c>
      <c r="Q60" s="53" t="n">
        <v>5.08108108108108</v>
      </c>
      <c r="R60" s="53" t="n">
        <v>1300</v>
      </c>
      <c r="S60" s="53" t="n">
        <v>0</v>
      </c>
      <c r="T60" s="53" t="n">
        <v>5</v>
      </c>
      <c r="U60" s="53" t="n">
        <v>0</v>
      </c>
      <c r="V60" s="53" t="n">
        <v>0</v>
      </c>
      <c r="W60" s="53" t="n">
        <v>0</v>
      </c>
      <c r="X60" s="53" t="n">
        <v>1.39</v>
      </c>
    </row>
    <row r="61">
      <c r="A61" s="53" t="inlineStr">
        <is>
          <t>Corn cob</t>
        </is>
      </c>
      <c r="B61" s="53" t="n">
        <v>45.88</v>
      </c>
      <c r="C61" s="53" t="n">
        <v>39.4</v>
      </c>
      <c r="D61" s="53" t="n">
        <v>11.32</v>
      </c>
      <c r="E61" s="53" t="n">
        <v>87.76000000000001</v>
      </c>
      <c r="F61" s="53" t="n">
        <v>1.05</v>
      </c>
      <c r="G61" s="53" t="n">
        <v>11.19</v>
      </c>
      <c r="H61" s="53" t="n">
        <v>43.81</v>
      </c>
      <c r="I61" s="53" t="n">
        <v>48.19</v>
      </c>
      <c r="J61" s="53" t="n">
        <v>6.54</v>
      </c>
      <c r="K61" s="53" t="n">
        <v>4</v>
      </c>
      <c r="L61" s="53" t="n">
        <v>5</v>
      </c>
      <c r="M61" s="53" t="n">
        <v>1</v>
      </c>
      <c r="N61" s="53" t="n">
        <v>1</v>
      </c>
      <c r="O61" s="53" t="n">
        <v>4</v>
      </c>
      <c r="P61" s="53" t="n">
        <v>120</v>
      </c>
      <c r="Q61" s="53" t="n">
        <v>5.08108108108108</v>
      </c>
      <c r="R61" s="53" t="n">
        <v>500</v>
      </c>
      <c r="S61" s="53" t="n">
        <v>1</v>
      </c>
      <c r="T61" s="53" t="n">
        <v>0</v>
      </c>
      <c r="U61" s="53" t="n">
        <v>120</v>
      </c>
      <c r="V61" s="53" t="n">
        <v>0</v>
      </c>
      <c r="W61" s="53" t="n">
        <v>1450</v>
      </c>
      <c r="X61" s="53" t="n">
        <v>1.444</v>
      </c>
    </row>
    <row r="62">
      <c r="A62" s="53" t="inlineStr">
        <is>
          <t>Corn cob</t>
        </is>
      </c>
      <c r="B62" s="53" t="n">
        <v>45.88</v>
      </c>
      <c r="C62" s="53" t="n">
        <v>39.4</v>
      </c>
      <c r="D62" s="53" t="n">
        <v>11.32</v>
      </c>
      <c r="E62" s="53" t="n">
        <v>87.76000000000001</v>
      </c>
      <c r="F62" s="53" t="n">
        <v>1.05</v>
      </c>
      <c r="G62" s="53" t="n">
        <v>11.19</v>
      </c>
      <c r="H62" s="53" t="n">
        <v>43.81</v>
      </c>
      <c r="I62" s="53" t="n">
        <v>48.19</v>
      </c>
      <c r="J62" s="53" t="n">
        <v>6.54</v>
      </c>
      <c r="K62" s="53" t="n">
        <v>4</v>
      </c>
      <c r="L62" s="53" t="n">
        <v>5</v>
      </c>
      <c r="M62" s="53" t="n">
        <v>0</v>
      </c>
      <c r="N62" s="53" t="n">
        <v>1</v>
      </c>
      <c r="O62" s="53" t="n">
        <v>4</v>
      </c>
      <c r="P62" s="53" t="n">
        <v>120</v>
      </c>
      <c r="Q62" s="53" t="n">
        <v>5.08108108108108</v>
      </c>
      <c r="R62" s="53" t="n">
        <v>1600</v>
      </c>
      <c r="S62" s="53" t="n">
        <v>0</v>
      </c>
      <c r="T62" s="53" t="n">
        <v>5</v>
      </c>
      <c r="U62" s="53" t="n">
        <v>0</v>
      </c>
      <c r="V62" s="53" t="n">
        <v>0</v>
      </c>
      <c r="W62" s="53" t="n">
        <v>0</v>
      </c>
      <c r="X62" s="53" t="n">
        <v>1.47</v>
      </c>
    </row>
    <row r="63">
      <c r="A63" s="53" t="inlineStr">
        <is>
          <t>Corn cobs</t>
        </is>
      </c>
      <c r="B63" s="53" t="n">
        <v>45.88</v>
      </c>
      <c r="C63" s="53" t="n">
        <v>39.4</v>
      </c>
      <c r="D63" s="53" t="n">
        <v>11.32</v>
      </c>
      <c r="E63" s="53" t="n">
        <v>87.76000000000001</v>
      </c>
      <c r="F63" s="53" t="n">
        <v>1.05</v>
      </c>
      <c r="G63" s="53" t="n">
        <v>11.19</v>
      </c>
      <c r="H63" s="53" t="n">
        <v>43.81</v>
      </c>
      <c r="I63" s="53" t="n">
        <v>48.19</v>
      </c>
      <c r="J63" s="53" t="n">
        <v>6.54</v>
      </c>
      <c r="K63" s="53" t="n">
        <v>1</v>
      </c>
      <c r="L63" s="53" t="n">
        <v>5</v>
      </c>
      <c r="M63" s="53" t="n">
        <v>1</v>
      </c>
      <c r="N63" s="53" t="n">
        <v>1</v>
      </c>
      <c r="O63" s="53" t="n">
        <v>4</v>
      </c>
      <c r="P63" s="53" t="n">
        <v>120</v>
      </c>
      <c r="Q63" s="53" t="n">
        <v>5.08108108108108</v>
      </c>
      <c r="R63" s="53" t="n">
        <v>500</v>
      </c>
      <c r="S63" s="53" t="n">
        <v>1</v>
      </c>
      <c r="T63" s="53" t="n">
        <v>5</v>
      </c>
      <c r="U63" s="53" t="n">
        <v>120</v>
      </c>
      <c r="V63" s="53" t="n">
        <v>1.73979591836735</v>
      </c>
      <c r="W63" s="53" t="n">
        <v>1150</v>
      </c>
      <c r="X63" s="53" t="n">
        <v>1.326</v>
      </c>
    </row>
    <row r="64">
      <c r="A64" s="53" t="inlineStr">
        <is>
          <t>Corn cobs</t>
        </is>
      </c>
      <c r="B64" s="53" t="n">
        <v>45.88</v>
      </c>
      <c r="C64" s="53" t="n">
        <v>39.4</v>
      </c>
      <c r="D64" s="53" t="n">
        <v>11.32</v>
      </c>
      <c r="E64" s="53" t="n">
        <v>87.76000000000001</v>
      </c>
      <c r="F64" s="53" t="n">
        <v>1.05</v>
      </c>
      <c r="G64" s="53" t="n">
        <v>11.19</v>
      </c>
      <c r="H64" s="53" t="n">
        <v>43.81</v>
      </c>
      <c r="I64" s="53" t="n">
        <v>48.19</v>
      </c>
      <c r="J64" s="53" t="n">
        <v>6.54</v>
      </c>
      <c r="K64" s="53" t="n">
        <v>1</v>
      </c>
      <c r="L64" s="53" t="n">
        <v>5</v>
      </c>
      <c r="M64" s="53" t="n">
        <v>1</v>
      </c>
      <c r="N64" s="53" t="n">
        <v>1</v>
      </c>
      <c r="O64" s="53" t="n">
        <v>4</v>
      </c>
      <c r="P64" s="53" t="n">
        <v>120</v>
      </c>
      <c r="Q64" s="53" t="n">
        <v>5.08108108108108</v>
      </c>
      <c r="R64" s="53" t="n">
        <v>500</v>
      </c>
      <c r="S64" s="53" t="n">
        <v>1</v>
      </c>
      <c r="T64" s="53" t="n">
        <v>5</v>
      </c>
      <c r="U64" s="53" t="n">
        <v>120</v>
      </c>
      <c r="V64" s="53" t="n">
        <v>1.73979591836735</v>
      </c>
      <c r="W64" s="53" t="n">
        <v>1300</v>
      </c>
      <c r="X64" s="53" t="n">
        <v>1.388</v>
      </c>
    </row>
    <row r="65">
      <c r="A65" s="53" t="inlineStr">
        <is>
          <t>Corn cobs</t>
        </is>
      </c>
      <c r="B65" s="53" t="n">
        <v>45.88</v>
      </c>
      <c r="C65" s="53" t="n">
        <v>39.4</v>
      </c>
      <c r="D65" s="53" t="n">
        <v>11.32</v>
      </c>
      <c r="E65" s="53" t="n">
        <v>87.76000000000001</v>
      </c>
      <c r="F65" s="53" t="n">
        <v>1.05</v>
      </c>
      <c r="G65" s="53" t="n">
        <v>11.19</v>
      </c>
      <c r="H65" s="53" t="n">
        <v>43.81</v>
      </c>
      <c r="I65" s="53" t="n">
        <v>48.19</v>
      </c>
      <c r="J65" s="53" t="n">
        <v>6.54</v>
      </c>
      <c r="K65" s="53" t="n">
        <v>1</v>
      </c>
      <c r="L65" s="53" t="n">
        <v>5</v>
      </c>
      <c r="M65" s="53" t="n">
        <v>1</v>
      </c>
      <c r="N65" s="53" t="n">
        <v>1</v>
      </c>
      <c r="O65" s="53" t="n">
        <v>4</v>
      </c>
      <c r="P65" s="53" t="n">
        <v>120</v>
      </c>
      <c r="Q65" s="53" t="n">
        <v>5.08108108108108</v>
      </c>
      <c r="R65" s="53" t="n">
        <v>500</v>
      </c>
      <c r="S65" s="53" t="n">
        <v>1</v>
      </c>
      <c r="T65" s="53" t="n">
        <v>5</v>
      </c>
      <c r="U65" s="53" t="n">
        <v>120</v>
      </c>
      <c r="V65" s="53" t="n">
        <v>1.73979591836735</v>
      </c>
      <c r="W65" s="53" t="n">
        <v>1450</v>
      </c>
      <c r="X65" s="53" t="n">
        <v>1.444</v>
      </c>
    </row>
    <row r="66">
      <c r="A66" s="53" t="inlineStr">
        <is>
          <t>Corn silk</t>
        </is>
      </c>
      <c r="B66" s="53" t="n">
        <v>42.36</v>
      </c>
      <c r="C66" s="53" t="n">
        <v>10.26</v>
      </c>
      <c r="D66" s="53" t="n">
        <v>27.19</v>
      </c>
      <c r="E66" s="53" t="n">
        <v>72.2</v>
      </c>
      <c r="F66" s="53" t="n">
        <v>5.4</v>
      </c>
      <c r="G66" s="53" t="n">
        <v>22.4</v>
      </c>
      <c r="H66" s="53" t="n">
        <v>45.86</v>
      </c>
      <c r="I66" s="53" t="n">
        <v>46.43</v>
      </c>
      <c r="J66" s="53" t="n">
        <v>5.8</v>
      </c>
      <c r="K66" s="53" t="n">
        <v>4</v>
      </c>
      <c r="L66" s="53" t="n">
        <v>3</v>
      </c>
      <c r="M66" s="53" t="n">
        <v>0</v>
      </c>
      <c r="N66" s="53" t="n">
        <v>1</v>
      </c>
      <c r="O66" s="53" t="n">
        <v>4</v>
      </c>
      <c r="P66" s="53" t="n">
        <v>60</v>
      </c>
      <c r="Q66" s="53" t="n">
        <v>5</v>
      </c>
      <c r="R66" s="53" t="n">
        <v>1300</v>
      </c>
      <c r="S66" s="53" t="n">
        <v>0</v>
      </c>
      <c r="T66" s="53" t="n">
        <v>5</v>
      </c>
      <c r="U66" s="53" t="n">
        <v>0</v>
      </c>
      <c r="V66" s="53" t="n">
        <v>0</v>
      </c>
      <c r="W66" s="53" t="n">
        <v>0</v>
      </c>
      <c r="X66" s="53" t="n">
        <v>0.1</v>
      </c>
    </row>
    <row r="67">
      <c r="A67" s="53" t="inlineStr">
        <is>
          <t>Corn silk</t>
        </is>
      </c>
      <c r="B67" s="53" t="n">
        <v>42.36</v>
      </c>
      <c r="C67" s="53" t="n">
        <v>10.26</v>
      </c>
      <c r="D67" s="53" t="n">
        <v>27.19</v>
      </c>
      <c r="E67" s="53" t="n">
        <v>72.2</v>
      </c>
      <c r="F67" s="53" t="n">
        <v>5.4</v>
      </c>
      <c r="G67" s="53" t="n">
        <v>22.4</v>
      </c>
      <c r="H67" s="53" t="n">
        <v>45.86</v>
      </c>
      <c r="I67" s="53" t="n">
        <v>46.43</v>
      </c>
      <c r="J67" s="53" t="n">
        <v>5.8</v>
      </c>
      <c r="K67" s="53" t="n">
        <v>4</v>
      </c>
      <c r="L67" s="53" t="n">
        <v>1</v>
      </c>
      <c r="M67" s="53" t="n">
        <v>0</v>
      </c>
      <c r="N67" s="53" t="n">
        <v>1</v>
      </c>
      <c r="O67" s="53" t="n">
        <v>4</v>
      </c>
      <c r="P67" s="53" t="n">
        <v>60</v>
      </c>
      <c r="Q67" s="53" t="n">
        <v>5</v>
      </c>
      <c r="R67" s="53" t="n">
        <v>1300</v>
      </c>
      <c r="S67" s="53" t="n">
        <v>0</v>
      </c>
      <c r="T67" s="53" t="n">
        <v>5</v>
      </c>
      <c r="U67" s="53" t="n">
        <v>0</v>
      </c>
      <c r="V67" s="53" t="n">
        <v>0</v>
      </c>
      <c r="W67" s="53" t="n">
        <v>0</v>
      </c>
      <c r="X67" s="53" t="n">
        <v>10</v>
      </c>
    </row>
    <row r="68">
      <c r="A68" s="53" t="inlineStr">
        <is>
          <t>Corn Stalks</t>
        </is>
      </c>
      <c r="B68" s="53" t="n">
        <v>31.31</v>
      </c>
      <c r="C68" s="53" t="n">
        <v>40.13</v>
      </c>
      <c r="D68" s="53" t="n">
        <v>4.74</v>
      </c>
      <c r="E68" s="53" t="n">
        <v>77.48</v>
      </c>
      <c r="F68" s="53" t="n">
        <v>7.92</v>
      </c>
      <c r="G68" s="53" t="n">
        <v>6.14</v>
      </c>
      <c r="H68" s="53" t="n">
        <v>44.17</v>
      </c>
      <c r="I68" s="53" t="n">
        <v>49.07</v>
      </c>
      <c r="J68" s="53" t="n">
        <v>5.65</v>
      </c>
      <c r="K68" s="53" t="n">
        <v>4</v>
      </c>
      <c r="L68" s="53" t="n">
        <v>5</v>
      </c>
      <c r="M68" s="53" t="n">
        <v>0</v>
      </c>
      <c r="N68" s="53" t="n">
        <v>1</v>
      </c>
      <c r="O68" s="53" t="n">
        <v>4</v>
      </c>
      <c r="P68" s="53" t="n">
        <v>120</v>
      </c>
      <c r="Q68" s="53" t="n">
        <v>5.08108108108108</v>
      </c>
      <c r="R68" s="53" t="n">
        <v>1200</v>
      </c>
      <c r="S68" s="53" t="n">
        <v>0</v>
      </c>
      <c r="T68" s="53" t="n">
        <v>5</v>
      </c>
      <c r="U68" s="53" t="n">
        <v>0</v>
      </c>
      <c r="V68" s="53" t="n">
        <v>0</v>
      </c>
      <c r="W68" s="53" t="n">
        <v>0</v>
      </c>
      <c r="X68" s="53" t="n">
        <v>1.236</v>
      </c>
    </row>
    <row r="69">
      <c r="A69" s="53" t="inlineStr">
        <is>
          <t>Corn Stalks</t>
        </is>
      </c>
      <c r="B69" s="53" t="n">
        <v>31.31</v>
      </c>
      <c r="C69" s="53" t="n">
        <v>40.13</v>
      </c>
      <c r="D69" s="53" t="n">
        <v>4.74</v>
      </c>
      <c r="E69" s="53" t="n">
        <v>77.48</v>
      </c>
      <c r="F69" s="53" t="n">
        <v>7.92</v>
      </c>
      <c r="G69" s="53" t="n">
        <v>6.14</v>
      </c>
      <c r="H69" s="53" t="n">
        <v>44.17</v>
      </c>
      <c r="I69" s="53" t="n">
        <v>49.07</v>
      </c>
      <c r="J69" s="53" t="n">
        <v>5.65</v>
      </c>
      <c r="K69" s="53" t="n">
        <v>4</v>
      </c>
      <c r="L69" s="53" t="n">
        <v>5</v>
      </c>
      <c r="M69" s="53" t="n">
        <v>0</v>
      </c>
      <c r="N69" s="53" t="n">
        <v>1</v>
      </c>
      <c r="O69" s="53" t="n">
        <v>4</v>
      </c>
      <c r="P69" s="53" t="n">
        <v>120</v>
      </c>
      <c r="Q69" s="53" t="n">
        <v>5.08108108108108</v>
      </c>
      <c r="R69" s="53" t="n">
        <v>1200</v>
      </c>
      <c r="S69" s="53" t="n">
        <v>0</v>
      </c>
      <c r="T69" s="53" t="n">
        <v>5</v>
      </c>
      <c r="U69" s="53" t="n">
        <v>0</v>
      </c>
      <c r="V69" s="53" t="n">
        <v>0</v>
      </c>
      <c r="W69" s="53" t="n">
        <v>0</v>
      </c>
      <c r="X69" s="53" t="n">
        <v>1.238</v>
      </c>
    </row>
    <row r="70">
      <c r="A70" s="53" t="inlineStr">
        <is>
          <t>Cotton</t>
        </is>
      </c>
      <c r="B70" s="53" t="n">
        <v>26.9</v>
      </c>
      <c r="C70" s="53" t="n">
        <v>19.1</v>
      </c>
      <c r="D70" s="53" t="n">
        <v>22</v>
      </c>
      <c r="E70" s="53" t="n">
        <v>69.27</v>
      </c>
      <c r="F70" s="53" t="n">
        <v>13.95</v>
      </c>
      <c r="G70" s="53" t="n">
        <v>6.19</v>
      </c>
      <c r="H70" s="53" t="n">
        <v>42.21</v>
      </c>
      <c r="I70" s="53" t="n">
        <v>51.01</v>
      </c>
      <c r="J70" s="53" t="n">
        <v>5.59</v>
      </c>
      <c r="K70" s="53" t="n">
        <v>4</v>
      </c>
      <c r="L70" s="53" t="n">
        <v>5</v>
      </c>
      <c r="M70" s="53" t="n">
        <v>0</v>
      </c>
      <c r="N70" s="53" t="n">
        <v>1</v>
      </c>
      <c r="O70" s="53" t="n">
        <v>4</v>
      </c>
      <c r="P70" s="53" t="n">
        <v>120</v>
      </c>
      <c r="Q70" s="53" t="n">
        <v>5.08108108108108</v>
      </c>
      <c r="R70" s="53" t="n">
        <v>1000</v>
      </c>
      <c r="S70" s="53" t="n">
        <v>0</v>
      </c>
      <c r="T70" s="53" t="n">
        <v>5</v>
      </c>
      <c r="U70" s="53" t="n">
        <v>0</v>
      </c>
      <c r="V70" s="53" t="n">
        <v>0</v>
      </c>
      <c r="W70" s="53" t="n">
        <v>0</v>
      </c>
      <c r="X70" s="53" t="n">
        <v>1.6</v>
      </c>
    </row>
    <row r="71">
      <c r="A71" s="53" t="inlineStr">
        <is>
          <t>Cotton</t>
        </is>
      </c>
      <c r="B71" s="53" t="n">
        <v>26.9</v>
      </c>
      <c r="C71" s="53" t="n">
        <v>19.1</v>
      </c>
      <c r="D71" s="53" t="n">
        <v>22</v>
      </c>
      <c r="E71" s="53" t="n">
        <v>69.27</v>
      </c>
      <c r="F71" s="53" t="n">
        <v>13.95</v>
      </c>
      <c r="G71" s="53" t="n">
        <v>6.19</v>
      </c>
      <c r="H71" s="53" t="n">
        <v>42.21</v>
      </c>
      <c r="I71" s="53" t="n">
        <v>51.01</v>
      </c>
      <c r="J71" s="53" t="n">
        <v>5.59</v>
      </c>
      <c r="K71" s="53" t="n">
        <v>4</v>
      </c>
      <c r="L71" s="53" t="n">
        <v>5</v>
      </c>
      <c r="M71" s="53" t="n">
        <v>0</v>
      </c>
      <c r="N71" s="53" t="n">
        <v>1</v>
      </c>
      <c r="O71" s="53" t="n">
        <v>4</v>
      </c>
      <c r="P71" s="53" t="n">
        <v>120</v>
      </c>
      <c r="Q71" s="53" t="n">
        <v>5.08108108108108</v>
      </c>
      <c r="R71" s="53" t="n">
        <v>1300</v>
      </c>
      <c r="S71" s="53" t="n">
        <v>0</v>
      </c>
      <c r="T71" s="53" t="n">
        <v>5</v>
      </c>
      <c r="U71" s="53" t="n">
        <v>0</v>
      </c>
      <c r="V71" s="53" t="n">
        <v>0</v>
      </c>
      <c r="W71" s="53" t="n">
        <v>0</v>
      </c>
      <c r="X71" s="53" t="n">
        <v>1.62</v>
      </c>
    </row>
    <row r="72">
      <c r="A72" s="53" t="inlineStr">
        <is>
          <t>Cotton</t>
        </is>
      </c>
      <c r="B72" s="53" t="n">
        <v>26.9</v>
      </c>
      <c r="C72" s="53" t="n">
        <v>19.1</v>
      </c>
      <c r="D72" s="53" t="n">
        <v>22</v>
      </c>
      <c r="E72" s="53" t="n">
        <v>69.27</v>
      </c>
      <c r="F72" s="53" t="n">
        <v>13.95</v>
      </c>
      <c r="G72" s="53" t="n">
        <v>6.19</v>
      </c>
      <c r="H72" s="53" t="n">
        <v>42.21</v>
      </c>
      <c r="I72" s="53" t="n">
        <v>51.01</v>
      </c>
      <c r="J72" s="53" t="n">
        <v>5.59</v>
      </c>
      <c r="K72" s="53" t="n">
        <v>4</v>
      </c>
      <c r="L72" s="53" t="n">
        <v>5</v>
      </c>
      <c r="M72" s="53" t="n">
        <v>0</v>
      </c>
      <c r="N72" s="53" t="n">
        <v>1</v>
      </c>
      <c r="O72" s="53" t="n">
        <v>4</v>
      </c>
      <c r="P72" s="53" t="n">
        <v>120</v>
      </c>
      <c r="Q72" s="53" t="n">
        <v>5.08108108108108</v>
      </c>
      <c r="R72" s="53" t="n">
        <v>1600</v>
      </c>
      <c r="S72" s="53" t="n">
        <v>0</v>
      </c>
      <c r="T72" s="53" t="n">
        <v>5</v>
      </c>
      <c r="U72" s="53" t="n">
        <v>0</v>
      </c>
      <c r="V72" s="53" t="n">
        <v>0</v>
      </c>
      <c r="W72" s="53" t="n">
        <v>0</v>
      </c>
      <c r="X72" s="53" t="n">
        <v>1.66</v>
      </c>
    </row>
    <row r="73">
      <c r="A73" s="53" t="inlineStr">
        <is>
          <t>Cucumber stem</t>
        </is>
      </c>
      <c r="B73" s="53" t="n">
        <v>16.13</v>
      </c>
      <c r="C73" s="53" t="n">
        <v>4.33</v>
      </c>
      <c r="D73" s="53" t="n">
        <v>4.51</v>
      </c>
      <c r="E73" s="53" t="n">
        <v>74.7828166810701</v>
      </c>
      <c r="F73" s="53" t="n">
        <v>6.35305071152325</v>
      </c>
      <c r="G73" s="53" t="n">
        <v>15.8378557285207</v>
      </c>
      <c r="H73" s="53" t="n">
        <v>47.3664558944195</v>
      </c>
      <c r="I73" s="53" t="n">
        <v>41.6990172190391</v>
      </c>
      <c r="J73" s="53" t="n">
        <v>5.88765023788926</v>
      </c>
      <c r="K73" s="53" t="n">
        <v>4</v>
      </c>
      <c r="L73" s="53" t="n">
        <v>2</v>
      </c>
      <c r="M73" s="53" t="n">
        <v>1</v>
      </c>
      <c r="N73" s="53" t="n">
        <v>1</v>
      </c>
      <c r="O73" s="53" t="n">
        <v>4</v>
      </c>
      <c r="P73" s="53" t="n">
        <v>420</v>
      </c>
      <c r="Q73" s="53" t="n">
        <v>5</v>
      </c>
      <c r="R73" s="53" t="n">
        <v>600</v>
      </c>
      <c r="S73" s="53" t="n">
        <v>1</v>
      </c>
      <c r="T73" s="53" t="n">
        <v>5</v>
      </c>
      <c r="U73" s="53" t="n">
        <v>120</v>
      </c>
      <c r="V73" s="53" t="n">
        <v>5</v>
      </c>
      <c r="W73" s="53" t="n">
        <v>800</v>
      </c>
      <c r="X73" s="53" t="n">
        <v>0.6899999999999999</v>
      </c>
    </row>
    <row r="74">
      <c r="A74" s="53" t="inlineStr">
        <is>
          <t>Cucumber stem</t>
        </is>
      </c>
      <c r="B74" s="53" t="n">
        <v>16.13</v>
      </c>
      <c r="C74" s="53" t="n">
        <v>4.33</v>
      </c>
      <c r="D74" s="53" t="n">
        <v>4.51</v>
      </c>
      <c r="E74" s="53" t="n">
        <v>74.7828166810701</v>
      </c>
      <c r="F74" s="53" t="n">
        <v>6.35305071152325</v>
      </c>
      <c r="G74" s="53" t="n">
        <v>15.8378557285207</v>
      </c>
      <c r="H74" s="53" t="n">
        <v>47.3664558944195</v>
      </c>
      <c r="I74" s="53" t="n">
        <v>41.6990172190391</v>
      </c>
      <c r="J74" s="53" t="n">
        <v>5.88765023788926</v>
      </c>
      <c r="K74" s="53" t="n">
        <v>4</v>
      </c>
      <c r="L74" s="53" t="n">
        <v>2</v>
      </c>
      <c r="M74" s="53" t="n">
        <v>1</v>
      </c>
      <c r="N74" s="53" t="n">
        <v>1</v>
      </c>
      <c r="O74" s="53" t="n">
        <v>4</v>
      </c>
      <c r="P74" s="53" t="n">
        <v>420</v>
      </c>
      <c r="Q74" s="53" t="n">
        <v>5</v>
      </c>
      <c r="R74" s="53" t="n">
        <v>600</v>
      </c>
      <c r="S74" s="53" t="n">
        <v>1</v>
      </c>
      <c r="T74" s="53" t="n">
        <v>5</v>
      </c>
      <c r="U74" s="53" t="n">
        <v>120</v>
      </c>
      <c r="V74" s="53" t="n">
        <v>5</v>
      </c>
      <c r="W74" s="53" t="n">
        <v>900</v>
      </c>
      <c r="X74" s="53" t="n">
        <v>0.71</v>
      </c>
    </row>
    <row r="75">
      <c r="A75" s="53" t="inlineStr">
        <is>
          <t>Cucumber stem</t>
        </is>
      </c>
      <c r="B75" s="53" t="n">
        <v>16.13</v>
      </c>
      <c r="C75" s="53" t="n">
        <v>4.33</v>
      </c>
      <c r="D75" s="53" t="n">
        <v>4.51</v>
      </c>
      <c r="E75" s="53" t="n">
        <v>74.7828166810701</v>
      </c>
      <c r="F75" s="53" t="n">
        <v>6.35305071152325</v>
      </c>
      <c r="G75" s="53" t="n">
        <v>15.8378557285207</v>
      </c>
      <c r="H75" s="53" t="n">
        <v>47.3664558944195</v>
      </c>
      <c r="I75" s="53" t="n">
        <v>41.6990172190391</v>
      </c>
      <c r="J75" s="53" t="n">
        <v>5.88765023788926</v>
      </c>
      <c r="K75" s="53" t="n">
        <v>4</v>
      </c>
      <c r="L75" s="53" t="n">
        <v>2</v>
      </c>
      <c r="M75" s="53" t="n">
        <v>1</v>
      </c>
      <c r="N75" s="53" t="n">
        <v>1</v>
      </c>
      <c r="O75" s="53" t="n">
        <v>4</v>
      </c>
      <c r="P75" s="53" t="n">
        <v>420</v>
      </c>
      <c r="Q75" s="53" t="n">
        <v>5</v>
      </c>
      <c r="R75" s="53" t="n">
        <v>600</v>
      </c>
      <c r="S75" s="53" t="n">
        <v>1</v>
      </c>
      <c r="T75" s="53" t="n">
        <v>5</v>
      </c>
      <c r="U75" s="53" t="n">
        <v>120</v>
      </c>
      <c r="V75" s="53" t="n">
        <v>5</v>
      </c>
      <c r="W75" s="53" t="n">
        <v>1000</v>
      </c>
      <c r="X75" s="53" t="n">
        <v>0.75</v>
      </c>
    </row>
    <row r="76">
      <c r="A76" s="53" t="inlineStr">
        <is>
          <t>Cucumber stem</t>
        </is>
      </c>
      <c r="B76" s="53" t="n">
        <v>16.13</v>
      </c>
      <c r="C76" s="53" t="n">
        <v>4.33</v>
      </c>
      <c r="D76" s="53" t="n">
        <v>4.51</v>
      </c>
      <c r="E76" s="53" t="n">
        <v>74.7828166810701</v>
      </c>
      <c r="F76" s="53" t="n">
        <v>6.35305071152325</v>
      </c>
      <c r="G76" s="53" t="n">
        <v>15.8378557285207</v>
      </c>
      <c r="H76" s="53" t="n">
        <v>47.3664558944195</v>
      </c>
      <c r="I76" s="53" t="n">
        <v>41.6990172190391</v>
      </c>
      <c r="J76" s="53" t="n">
        <v>5.88765023788926</v>
      </c>
      <c r="K76" s="53" t="n">
        <v>4</v>
      </c>
      <c r="L76" s="53" t="n">
        <v>2</v>
      </c>
      <c r="M76" s="53" t="n">
        <v>1</v>
      </c>
      <c r="N76" s="53" t="n">
        <v>1</v>
      </c>
      <c r="O76" s="53" t="n">
        <v>4</v>
      </c>
      <c r="P76" s="53" t="n">
        <v>420</v>
      </c>
      <c r="Q76" s="53" t="n">
        <v>5</v>
      </c>
      <c r="R76" s="53" t="n">
        <v>600</v>
      </c>
      <c r="S76" s="53" t="n">
        <v>1</v>
      </c>
      <c r="T76" s="53" t="n">
        <v>5</v>
      </c>
      <c r="U76" s="53" t="n">
        <v>120</v>
      </c>
      <c r="V76" s="53" t="n">
        <v>5</v>
      </c>
      <c r="W76" s="53" t="n">
        <v>1100</v>
      </c>
      <c r="X76" s="53" t="n">
        <v>0.8</v>
      </c>
    </row>
    <row r="77">
      <c r="A77" s="53" t="inlineStr">
        <is>
          <t>Cucumber stem</t>
        </is>
      </c>
      <c r="B77" s="53" t="n">
        <v>16.13</v>
      </c>
      <c r="C77" s="53" t="n">
        <v>4.33</v>
      </c>
      <c r="D77" s="53" t="n">
        <v>4.51</v>
      </c>
      <c r="E77" s="53" t="n">
        <v>74.7828166810701</v>
      </c>
      <c r="F77" s="53" t="n">
        <v>6.35305071152325</v>
      </c>
      <c r="G77" s="53" t="n">
        <v>15.8378557285207</v>
      </c>
      <c r="H77" s="53" t="n">
        <v>47.3664558944195</v>
      </c>
      <c r="I77" s="53" t="n">
        <v>41.6990172190391</v>
      </c>
      <c r="J77" s="53" t="n">
        <v>5.88765023788926</v>
      </c>
      <c r="K77" s="53" t="n">
        <v>4</v>
      </c>
      <c r="L77" s="53" t="n">
        <v>1</v>
      </c>
      <c r="M77" s="53" t="n">
        <v>1</v>
      </c>
      <c r="N77" s="53" t="n">
        <v>0</v>
      </c>
      <c r="O77" s="53" t="n">
        <v>4</v>
      </c>
      <c r="P77" s="53" t="n">
        <v>360</v>
      </c>
      <c r="Q77" s="53" t="n">
        <v>5</v>
      </c>
      <c r="R77" s="53" t="n">
        <v>150</v>
      </c>
      <c r="S77" s="53" t="n">
        <v>1</v>
      </c>
      <c r="T77" s="53" t="n">
        <v>5</v>
      </c>
      <c r="U77" s="53" t="n">
        <v>120</v>
      </c>
      <c r="V77" s="53" t="n">
        <v>5</v>
      </c>
      <c r="W77" s="53" t="n">
        <v>1000</v>
      </c>
      <c r="X77" s="53" t="n">
        <v>0.97</v>
      </c>
    </row>
    <row r="78">
      <c r="A78" s="53" t="inlineStr">
        <is>
          <t>Date palm pulp</t>
        </is>
      </c>
      <c r="B78" s="53" t="n">
        <v>24.9</v>
      </c>
      <c r="C78" s="53" t="n">
        <v>27.8</v>
      </c>
      <c r="D78" s="53" t="n">
        <v>22.6</v>
      </c>
      <c r="E78" s="53" t="n">
        <v>24.33</v>
      </c>
      <c r="F78" s="53" t="n">
        <v>3.02</v>
      </c>
      <c r="G78" s="53" t="n">
        <v>9.77</v>
      </c>
      <c r="H78" s="53" t="n">
        <v>94.09999999999999</v>
      </c>
      <c r="I78" s="53" t="n">
        <v>1.51</v>
      </c>
      <c r="J78" s="53" t="n">
        <v>0.25</v>
      </c>
      <c r="K78" s="53" t="n">
        <v>6</v>
      </c>
      <c r="L78" s="53" t="n">
        <v>5</v>
      </c>
      <c r="M78" s="53" t="n">
        <v>0</v>
      </c>
      <c r="N78" s="53" t="n">
        <v>1</v>
      </c>
      <c r="O78" s="53" t="n">
        <v>4</v>
      </c>
      <c r="P78" s="53" t="n">
        <v>60</v>
      </c>
      <c r="Q78" s="53" t="n">
        <v>5</v>
      </c>
      <c r="R78" s="53" t="n">
        <v>800</v>
      </c>
      <c r="S78" s="53" t="n">
        <v>0</v>
      </c>
      <c r="T78" s="53" t="n">
        <v>5</v>
      </c>
      <c r="U78" s="53" t="n">
        <v>0</v>
      </c>
      <c r="V78" s="53" t="n">
        <v>0</v>
      </c>
      <c r="W78" s="53" t="n">
        <v>0</v>
      </c>
      <c r="X78" s="53" t="n">
        <v>7.82</v>
      </c>
    </row>
    <row r="79">
      <c r="A79" s="53" t="inlineStr">
        <is>
          <t>Date palm pulp</t>
        </is>
      </c>
      <c r="B79" s="53" t="n">
        <v>24.9</v>
      </c>
      <c r="C79" s="53" t="n">
        <v>27.8</v>
      </c>
      <c r="D79" s="53" t="n">
        <v>22.6</v>
      </c>
      <c r="E79" s="53" t="n">
        <v>24.33</v>
      </c>
      <c r="F79" s="53" t="n">
        <v>3.02</v>
      </c>
      <c r="G79" s="53" t="n">
        <v>9.77</v>
      </c>
      <c r="H79" s="53" t="n">
        <v>94.09999999999999</v>
      </c>
      <c r="I79" s="53" t="n">
        <v>1.51</v>
      </c>
      <c r="J79" s="53" t="n">
        <v>0.25</v>
      </c>
      <c r="K79" s="53" t="n">
        <v>6</v>
      </c>
      <c r="L79" s="53" t="n">
        <v>5</v>
      </c>
      <c r="M79" s="53" t="n">
        <v>0</v>
      </c>
      <c r="N79" s="53" t="n">
        <v>1</v>
      </c>
      <c r="O79" s="53" t="n">
        <v>4</v>
      </c>
      <c r="P79" s="53" t="n">
        <v>60</v>
      </c>
      <c r="Q79" s="53" t="n">
        <v>5</v>
      </c>
      <c r="R79" s="53" t="n">
        <v>1000</v>
      </c>
      <c r="S79" s="53" t="n">
        <v>0</v>
      </c>
      <c r="T79" s="53" t="n">
        <v>5</v>
      </c>
      <c r="U79" s="53" t="n">
        <v>0</v>
      </c>
      <c r="V79" s="53" t="n">
        <v>0</v>
      </c>
      <c r="W79" s="53" t="n">
        <v>0</v>
      </c>
      <c r="X79" s="53" t="n">
        <v>8.67</v>
      </c>
    </row>
    <row r="80">
      <c r="A80" s="53" t="inlineStr">
        <is>
          <t>Date palm pulp</t>
        </is>
      </c>
      <c r="B80" s="53" t="n">
        <v>24.9</v>
      </c>
      <c r="C80" s="53" t="n">
        <v>27.8</v>
      </c>
      <c r="D80" s="53" t="n">
        <v>22.6</v>
      </c>
      <c r="E80" s="53" t="n">
        <v>24.33</v>
      </c>
      <c r="F80" s="53" t="n">
        <v>3.02</v>
      </c>
      <c r="G80" s="53" t="n">
        <v>9.77</v>
      </c>
      <c r="H80" s="53" t="n">
        <v>94.09999999999999</v>
      </c>
      <c r="I80" s="53" t="n">
        <v>1.51</v>
      </c>
      <c r="J80" s="53" t="n">
        <v>0.25</v>
      </c>
      <c r="K80" s="53" t="n">
        <v>6</v>
      </c>
      <c r="L80" s="53" t="n">
        <v>5</v>
      </c>
      <c r="M80" s="53" t="n">
        <v>0</v>
      </c>
      <c r="N80" s="53" t="n">
        <v>1</v>
      </c>
      <c r="O80" s="53" t="n">
        <v>4</v>
      </c>
      <c r="P80" s="53" t="n">
        <v>60</v>
      </c>
      <c r="Q80" s="53" t="n">
        <v>5</v>
      </c>
      <c r="R80" s="53" t="n">
        <v>1200</v>
      </c>
      <c r="S80" s="53" t="n">
        <v>0</v>
      </c>
      <c r="T80" s="53" t="n">
        <v>5</v>
      </c>
      <c r="U80" s="53" t="n">
        <v>0</v>
      </c>
      <c r="V80" s="53" t="n">
        <v>0</v>
      </c>
      <c r="W80" s="53" t="n">
        <v>0</v>
      </c>
      <c r="X80" s="53" t="n">
        <v>9.69</v>
      </c>
    </row>
    <row r="81">
      <c r="A81" s="53" t="inlineStr">
        <is>
          <t>Date palm pulp</t>
        </is>
      </c>
      <c r="B81" s="53" t="n">
        <v>24.9</v>
      </c>
      <c r="C81" s="53" t="n">
        <v>27.8</v>
      </c>
      <c r="D81" s="53" t="n">
        <v>22.6</v>
      </c>
      <c r="E81" s="53" t="n">
        <v>24.33</v>
      </c>
      <c r="F81" s="53" t="n">
        <v>3.02</v>
      </c>
      <c r="G81" s="53" t="n">
        <v>9.77</v>
      </c>
      <c r="H81" s="53" t="n">
        <v>94.09999999999999</v>
      </c>
      <c r="I81" s="53" t="n">
        <v>1.51</v>
      </c>
      <c r="J81" s="53" t="n">
        <v>0.25</v>
      </c>
      <c r="K81" s="53" t="n">
        <v>6</v>
      </c>
      <c r="L81" s="53" t="n">
        <v>5</v>
      </c>
      <c r="M81" s="53" t="n">
        <v>0</v>
      </c>
      <c r="N81" s="53" t="n">
        <v>1</v>
      </c>
      <c r="O81" s="53" t="n">
        <v>4</v>
      </c>
      <c r="P81" s="53" t="n">
        <v>60</v>
      </c>
      <c r="Q81" s="53" t="n">
        <v>5</v>
      </c>
      <c r="R81" s="53" t="n">
        <v>1300</v>
      </c>
      <c r="S81" s="53" t="n">
        <v>0</v>
      </c>
      <c r="T81" s="53" t="n">
        <v>5</v>
      </c>
      <c r="U81" s="53" t="n">
        <v>0</v>
      </c>
      <c r="V81" s="53" t="n">
        <v>0</v>
      </c>
      <c r="W81" s="53" t="n">
        <v>0</v>
      </c>
      <c r="X81" s="53" t="n">
        <v>10.35</v>
      </c>
    </row>
    <row r="82">
      <c r="A82" s="53" t="inlineStr">
        <is>
          <t>Date palm pulp</t>
        </is>
      </c>
      <c r="B82" s="53" t="n">
        <v>24.9</v>
      </c>
      <c r="C82" s="53" t="n">
        <v>27.8</v>
      </c>
      <c r="D82" s="53" t="n">
        <v>22.6</v>
      </c>
      <c r="E82" s="53" t="n">
        <v>24.33</v>
      </c>
      <c r="F82" s="53" t="n">
        <v>3.02</v>
      </c>
      <c r="G82" s="53" t="n">
        <v>9.77</v>
      </c>
      <c r="H82" s="53" t="n">
        <v>94.09999999999999</v>
      </c>
      <c r="I82" s="53" t="n">
        <v>1.51</v>
      </c>
      <c r="J82" s="53" t="n">
        <v>0.25</v>
      </c>
      <c r="K82" s="53" t="n">
        <v>6</v>
      </c>
      <c r="L82" s="53" t="n">
        <v>5</v>
      </c>
      <c r="M82" s="53" t="n">
        <v>0</v>
      </c>
      <c r="N82" s="53" t="n">
        <v>1</v>
      </c>
      <c r="O82" s="53" t="n">
        <v>4</v>
      </c>
      <c r="P82" s="53" t="n">
        <v>60</v>
      </c>
      <c r="Q82" s="53" t="n">
        <v>5</v>
      </c>
      <c r="R82" s="53" t="n">
        <v>1400</v>
      </c>
      <c r="S82" s="53" t="n">
        <v>0</v>
      </c>
      <c r="T82" s="53" t="n">
        <v>5</v>
      </c>
      <c r="U82" s="53" t="n">
        <v>0</v>
      </c>
      <c r="V82" s="53" t="n">
        <v>0</v>
      </c>
      <c r="W82" s="53" t="n">
        <v>0</v>
      </c>
      <c r="X82" s="53" t="n">
        <v>10.72</v>
      </c>
    </row>
    <row r="83">
      <c r="A83" s="53" t="inlineStr">
        <is>
          <t>Date palm seed</t>
        </is>
      </c>
      <c r="B83" s="53" t="n">
        <v>23.9</v>
      </c>
      <c r="C83" s="53" t="n">
        <v>26.8</v>
      </c>
      <c r="D83" s="53" t="n">
        <v>21.6</v>
      </c>
      <c r="E83" s="53" t="n">
        <v>75.09999999999999</v>
      </c>
      <c r="F83" s="53" t="n">
        <v>9.800000000000001</v>
      </c>
      <c r="G83" s="53" t="n">
        <v>8.1</v>
      </c>
      <c r="H83" s="53" t="n">
        <v>44.1</v>
      </c>
      <c r="I83" s="53" t="n">
        <v>48.3</v>
      </c>
      <c r="J83" s="53" t="n">
        <v>6.1</v>
      </c>
      <c r="K83" s="53" t="n">
        <v>6</v>
      </c>
      <c r="L83" s="53" t="n">
        <v>5</v>
      </c>
      <c r="M83" s="53" t="n">
        <v>0</v>
      </c>
      <c r="N83" s="53" t="n">
        <v>1</v>
      </c>
      <c r="O83" s="53" t="n">
        <v>4</v>
      </c>
      <c r="P83" s="53" t="n">
        <v>60</v>
      </c>
      <c r="Q83" s="53" t="n">
        <v>5</v>
      </c>
      <c r="R83" s="53" t="n">
        <v>800</v>
      </c>
      <c r="S83" s="53" t="n">
        <v>0</v>
      </c>
      <c r="T83" s="53" t="n">
        <v>5</v>
      </c>
      <c r="U83" s="53" t="n">
        <v>0</v>
      </c>
      <c r="V83" s="53" t="n">
        <v>0</v>
      </c>
      <c r="W83" s="53" t="n">
        <v>0</v>
      </c>
      <c r="X83" s="53" t="n">
        <v>6.88</v>
      </c>
    </row>
    <row r="84">
      <c r="A84" s="53" t="inlineStr">
        <is>
          <t>Date palm seed</t>
        </is>
      </c>
      <c r="B84" s="53" t="n">
        <v>23.9</v>
      </c>
      <c r="C84" s="53" t="n">
        <v>26.8</v>
      </c>
      <c r="D84" s="53" t="n">
        <v>21.6</v>
      </c>
      <c r="E84" s="53" t="n">
        <v>75.09999999999999</v>
      </c>
      <c r="F84" s="53" t="n">
        <v>9.800000000000001</v>
      </c>
      <c r="G84" s="53" t="n">
        <v>8.1</v>
      </c>
      <c r="H84" s="53" t="n">
        <v>44.1</v>
      </c>
      <c r="I84" s="53" t="n">
        <v>48.3</v>
      </c>
      <c r="J84" s="53" t="n">
        <v>6.1</v>
      </c>
      <c r="K84" s="53" t="n">
        <v>6</v>
      </c>
      <c r="L84" s="53" t="n">
        <v>5</v>
      </c>
      <c r="M84" s="53" t="n">
        <v>0</v>
      </c>
      <c r="N84" s="53" t="n">
        <v>1</v>
      </c>
      <c r="O84" s="53" t="n">
        <v>4</v>
      </c>
      <c r="P84" s="53" t="n">
        <v>60</v>
      </c>
      <c r="Q84" s="53" t="n">
        <v>5</v>
      </c>
      <c r="R84" s="53" t="n">
        <v>1000</v>
      </c>
      <c r="S84" s="53" t="n">
        <v>0</v>
      </c>
      <c r="T84" s="53" t="n">
        <v>5</v>
      </c>
      <c r="U84" s="53" t="n">
        <v>0</v>
      </c>
      <c r="V84" s="53" t="n">
        <v>0</v>
      </c>
      <c r="W84" s="53" t="n">
        <v>0</v>
      </c>
      <c r="X84" s="53" t="n">
        <v>9.31</v>
      </c>
    </row>
    <row r="85">
      <c r="A85" s="53" t="inlineStr">
        <is>
          <t>Date palm seed</t>
        </is>
      </c>
      <c r="B85" s="53" t="n">
        <v>23.9</v>
      </c>
      <c r="C85" s="53" t="n">
        <v>26.8</v>
      </c>
      <c r="D85" s="53" t="n">
        <v>21.6</v>
      </c>
      <c r="E85" s="53" t="n">
        <v>75.09999999999999</v>
      </c>
      <c r="F85" s="53" t="n">
        <v>9.800000000000001</v>
      </c>
      <c r="G85" s="53" t="n">
        <v>8.1</v>
      </c>
      <c r="H85" s="53" t="n">
        <v>44.1</v>
      </c>
      <c r="I85" s="53" t="n">
        <v>48.3</v>
      </c>
      <c r="J85" s="53" t="n">
        <v>6.1</v>
      </c>
      <c r="K85" s="53" t="n">
        <v>6</v>
      </c>
      <c r="L85" s="53" t="n">
        <v>5</v>
      </c>
      <c r="M85" s="53" t="n">
        <v>0</v>
      </c>
      <c r="N85" s="53" t="n">
        <v>1</v>
      </c>
      <c r="O85" s="53" t="n">
        <v>4</v>
      </c>
      <c r="P85" s="53" t="n">
        <v>60</v>
      </c>
      <c r="Q85" s="53" t="n">
        <v>5</v>
      </c>
      <c r="R85" s="53" t="n">
        <v>1200</v>
      </c>
      <c r="S85" s="53" t="n">
        <v>0</v>
      </c>
      <c r="T85" s="53" t="n">
        <v>5</v>
      </c>
      <c r="U85" s="53" t="n">
        <v>0</v>
      </c>
      <c r="V85" s="53" t="n">
        <v>0</v>
      </c>
      <c r="W85" s="53" t="n">
        <v>0</v>
      </c>
      <c r="X85" s="53" t="n">
        <v>10.02</v>
      </c>
    </row>
    <row r="86">
      <c r="A86" s="53" t="inlineStr">
        <is>
          <t>Date palm seed</t>
        </is>
      </c>
      <c r="B86" s="53" t="n">
        <v>23.9</v>
      </c>
      <c r="C86" s="53" t="n">
        <v>26.8</v>
      </c>
      <c r="D86" s="53" t="n">
        <v>21.6</v>
      </c>
      <c r="E86" s="53" t="n">
        <v>75.09999999999999</v>
      </c>
      <c r="F86" s="53" t="n">
        <v>9.800000000000001</v>
      </c>
      <c r="G86" s="53" t="n">
        <v>8.1</v>
      </c>
      <c r="H86" s="53" t="n">
        <v>44.1</v>
      </c>
      <c r="I86" s="53" t="n">
        <v>48.3</v>
      </c>
      <c r="J86" s="53" t="n">
        <v>6.1</v>
      </c>
      <c r="K86" s="53" t="n">
        <v>6</v>
      </c>
      <c r="L86" s="53" t="n">
        <v>5</v>
      </c>
      <c r="M86" s="53" t="n">
        <v>0</v>
      </c>
      <c r="N86" s="53" t="n">
        <v>1</v>
      </c>
      <c r="O86" s="53" t="n">
        <v>4</v>
      </c>
      <c r="P86" s="53" t="n">
        <v>60</v>
      </c>
      <c r="Q86" s="53" t="n">
        <v>5</v>
      </c>
      <c r="R86" s="53" t="n">
        <v>1300</v>
      </c>
      <c r="S86" s="53" t="n">
        <v>0</v>
      </c>
      <c r="T86" s="53" t="n">
        <v>5</v>
      </c>
      <c r="U86" s="53" t="n">
        <v>0</v>
      </c>
      <c r="V86" s="53" t="n">
        <v>0</v>
      </c>
      <c r="W86" s="53" t="n">
        <v>0</v>
      </c>
      <c r="X86" s="53" t="n">
        <v>10.29</v>
      </c>
    </row>
    <row r="87">
      <c r="A87" s="53" t="inlineStr">
        <is>
          <t>Date palm seed</t>
        </is>
      </c>
      <c r="B87" s="53" t="n">
        <v>23.9</v>
      </c>
      <c r="C87" s="53" t="n">
        <v>26.8</v>
      </c>
      <c r="D87" s="53" t="n">
        <v>21.6</v>
      </c>
      <c r="E87" s="53" t="n">
        <v>75.09999999999999</v>
      </c>
      <c r="F87" s="53" t="n">
        <v>9.800000000000001</v>
      </c>
      <c r="G87" s="53" t="n">
        <v>8.1</v>
      </c>
      <c r="H87" s="53" t="n">
        <v>44.1</v>
      </c>
      <c r="I87" s="53" t="n">
        <v>48.3</v>
      </c>
      <c r="J87" s="53" t="n">
        <v>6.1</v>
      </c>
      <c r="K87" s="53" t="n">
        <v>6</v>
      </c>
      <c r="L87" s="53" t="n">
        <v>5</v>
      </c>
      <c r="M87" s="53" t="n">
        <v>0</v>
      </c>
      <c r="N87" s="53" t="n">
        <v>1</v>
      </c>
      <c r="O87" s="53" t="n">
        <v>4</v>
      </c>
      <c r="P87" s="53" t="n">
        <v>60</v>
      </c>
      <c r="Q87" s="53" t="n">
        <v>5</v>
      </c>
      <c r="R87" s="53" t="n">
        <v>1400</v>
      </c>
      <c r="S87" s="53" t="n">
        <v>0</v>
      </c>
      <c r="T87" s="53" t="n">
        <v>5</v>
      </c>
      <c r="U87" s="53" t="n">
        <v>0</v>
      </c>
      <c r="V87" s="53" t="n">
        <v>0</v>
      </c>
      <c r="W87" s="53" t="n">
        <v>0</v>
      </c>
      <c r="X87" s="53" t="n">
        <v>10.89</v>
      </c>
    </row>
    <row r="88">
      <c r="A88" s="53" t="inlineStr">
        <is>
          <t>Fir wood</t>
        </is>
      </c>
      <c r="B88" s="53" t="n">
        <v>45.81</v>
      </c>
      <c r="C88" s="53" t="n">
        <v>26.78</v>
      </c>
      <c r="D88" s="53" t="n">
        <v>28.24</v>
      </c>
      <c r="E88" s="53" t="n">
        <v>85.5</v>
      </c>
      <c r="F88" s="53" t="n">
        <v>0.3</v>
      </c>
      <c r="G88" s="53" t="n">
        <v>10.5</v>
      </c>
      <c r="H88" s="53" t="n">
        <v>47.2</v>
      </c>
      <c r="I88" s="53" t="n">
        <v>44.8</v>
      </c>
      <c r="J88" s="53" t="n">
        <v>6.1</v>
      </c>
      <c r="K88" s="53" t="n">
        <v>1</v>
      </c>
      <c r="L88" s="53" t="n">
        <v>5</v>
      </c>
      <c r="M88" s="53" t="n">
        <v>1</v>
      </c>
      <c r="N88" s="53" t="n">
        <v>1</v>
      </c>
      <c r="O88" s="53" t="n">
        <v>4</v>
      </c>
      <c r="P88" s="53" t="n">
        <v>60</v>
      </c>
      <c r="Q88" s="53" t="n">
        <v>10</v>
      </c>
      <c r="R88" s="53" t="n">
        <v>800</v>
      </c>
      <c r="S88" s="53" t="n">
        <v>0</v>
      </c>
      <c r="T88" s="53" t="n">
        <v>5</v>
      </c>
      <c r="U88" s="53" t="n">
        <v>300</v>
      </c>
      <c r="V88" s="53" t="n">
        <v>6.25</v>
      </c>
      <c r="W88" s="53" t="n">
        <v>812.5</v>
      </c>
      <c r="X88" s="53" t="n">
        <v>0.92</v>
      </c>
    </row>
    <row r="89">
      <c r="A89" s="53" t="inlineStr">
        <is>
          <t>Fir wood</t>
        </is>
      </c>
      <c r="B89" s="53" t="n">
        <v>45.81</v>
      </c>
      <c r="C89" s="53" t="n">
        <v>26.78</v>
      </c>
      <c r="D89" s="53" t="n">
        <v>28.24</v>
      </c>
      <c r="E89" s="53" t="n">
        <v>85.5</v>
      </c>
      <c r="F89" s="53" t="n">
        <v>0.3</v>
      </c>
      <c r="G89" s="53" t="n">
        <v>10.5</v>
      </c>
      <c r="H89" s="53" t="n">
        <v>47.2</v>
      </c>
      <c r="I89" s="53" t="n">
        <v>44.8</v>
      </c>
      <c r="J89" s="53" t="n">
        <v>6.1</v>
      </c>
      <c r="K89" s="53" t="n">
        <v>4</v>
      </c>
      <c r="L89" s="53" t="n">
        <v>5</v>
      </c>
      <c r="M89" s="53" t="n">
        <v>0</v>
      </c>
      <c r="N89" s="53" t="n">
        <v>1</v>
      </c>
      <c r="O89" s="53" t="n">
        <v>4</v>
      </c>
      <c r="P89" s="53" t="n">
        <v>480</v>
      </c>
      <c r="Q89" s="53" t="n">
        <v>10</v>
      </c>
      <c r="R89" s="53" t="n">
        <v>1100</v>
      </c>
      <c r="S89" s="53" t="n">
        <v>0</v>
      </c>
      <c r="T89" s="53" t="n">
        <v>5</v>
      </c>
      <c r="U89" s="53" t="n">
        <v>0</v>
      </c>
      <c r="V89" s="53" t="n">
        <v>0</v>
      </c>
      <c r="W89" s="53" t="n">
        <v>0</v>
      </c>
      <c r="X89" s="53" t="n">
        <v>1.03</v>
      </c>
    </row>
    <row r="90">
      <c r="A90" s="53" t="inlineStr">
        <is>
          <t>Fir wood</t>
        </is>
      </c>
      <c r="B90" s="53" t="n">
        <v>45.81</v>
      </c>
      <c r="C90" s="53" t="n">
        <v>26.78</v>
      </c>
      <c r="D90" s="53" t="n">
        <v>28.24</v>
      </c>
      <c r="E90" s="53" t="n">
        <v>85.5</v>
      </c>
      <c r="F90" s="53" t="n">
        <v>0.3</v>
      </c>
      <c r="G90" s="53" t="n">
        <v>10.5</v>
      </c>
      <c r="H90" s="53" t="n">
        <v>47.2</v>
      </c>
      <c r="I90" s="53" t="n">
        <v>44.8</v>
      </c>
      <c r="J90" s="53" t="n">
        <v>6.1</v>
      </c>
      <c r="K90" s="53" t="n">
        <v>1</v>
      </c>
      <c r="L90" s="53" t="n">
        <v>5</v>
      </c>
      <c r="M90" s="53" t="n">
        <v>1</v>
      </c>
      <c r="N90" s="53" t="n">
        <v>1</v>
      </c>
      <c r="O90" s="53" t="n">
        <v>4</v>
      </c>
      <c r="P90" s="53" t="n">
        <v>60</v>
      </c>
      <c r="Q90" s="53" t="n">
        <v>10</v>
      </c>
      <c r="R90" s="53" t="n">
        <v>800</v>
      </c>
      <c r="S90" s="53" t="n">
        <v>1</v>
      </c>
      <c r="T90" s="53" t="n">
        <v>5</v>
      </c>
      <c r="U90" s="53" t="n">
        <v>480</v>
      </c>
      <c r="V90" s="53" t="n">
        <v>10</v>
      </c>
      <c r="W90" s="53" t="n">
        <v>1100</v>
      </c>
      <c r="X90" s="53" t="n">
        <v>1.03</v>
      </c>
    </row>
    <row r="91">
      <c r="A91" s="53" t="inlineStr">
        <is>
          <t>Fir wood</t>
        </is>
      </c>
      <c r="B91" s="53" t="n">
        <v>45.81</v>
      </c>
      <c r="C91" s="53" t="n">
        <v>26.78</v>
      </c>
      <c r="D91" s="53" t="n">
        <v>28.24</v>
      </c>
      <c r="E91" s="53" t="n">
        <v>85.5</v>
      </c>
      <c r="F91" s="53" t="n">
        <v>0.3</v>
      </c>
      <c r="G91" s="53" t="n">
        <v>10.5</v>
      </c>
      <c r="H91" s="53" t="n">
        <v>47.2</v>
      </c>
      <c r="I91" s="53" t="n">
        <v>44.8</v>
      </c>
      <c r="J91" s="53" t="n">
        <v>6.1</v>
      </c>
      <c r="K91" s="53" t="n">
        <v>1</v>
      </c>
      <c r="L91" s="53" t="n">
        <v>5</v>
      </c>
      <c r="M91" s="53" t="n">
        <v>1</v>
      </c>
      <c r="N91" s="53" t="n">
        <v>1</v>
      </c>
      <c r="O91" s="53" t="n">
        <v>4</v>
      </c>
      <c r="P91" s="53" t="n">
        <v>60</v>
      </c>
      <c r="Q91" s="53" t="n">
        <v>10</v>
      </c>
      <c r="R91" s="53" t="n">
        <v>800</v>
      </c>
      <c r="S91" s="53" t="n">
        <v>1</v>
      </c>
      <c r="T91" s="53" t="n">
        <v>5</v>
      </c>
      <c r="U91" s="53" t="n">
        <v>480</v>
      </c>
      <c r="V91" s="53" t="n">
        <v>10</v>
      </c>
      <c r="W91" s="53" t="n">
        <v>1300</v>
      </c>
      <c r="X91" s="53" t="n">
        <v>1.1</v>
      </c>
    </row>
    <row r="92">
      <c r="A92" s="53" t="inlineStr">
        <is>
          <t>Fir wood</t>
        </is>
      </c>
      <c r="B92" s="53" t="n">
        <v>45.81</v>
      </c>
      <c r="C92" s="53" t="n">
        <v>26.78</v>
      </c>
      <c r="D92" s="53" t="n">
        <v>28.24</v>
      </c>
      <c r="E92" s="53" t="n">
        <v>85.5</v>
      </c>
      <c r="F92" s="53" t="n">
        <v>0.3</v>
      </c>
      <c r="G92" s="53" t="n">
        <v>10.5</v>
      </c>
      <c r="H92" s="53" t="n">
        <v>47.2</v>
      </c>
      <c r="I92" s="53" t="n">
        <v>44.8</v>
      </c>
      <c r="J92" s="53" t="n">
        <v>6.1</v>
      </c>
      <c r="K92" s="53" t="n">
        <v>4</v>
      </c>
      <c r="L92" s="53" t="n">
        <v>5</v>
      </c>
      <c r="M92" s="53" t="n">
        <v>0</v>
      </c>
      <c r="N92" s="53" t="n">
        <v>1</v>
      </c>
      <c r="O92" s="53" t="n">
        <v>4</v>
      </c>
      <c r="P92" s="53" t="n">
        <v>480</v>
      </c>
      <c r="Q92" s="53" t="n">
        <v>10</v>
      </c>
      <c r="R92" s="53" t="n">
        <v>1300</v>
      </c>
      <c r="S92" s="53" t="n">
        <v>0</v>
      </c>
      <c r="T92" s="53" t="n">
        <v>5</v>
      </c>
      <c r="U92" s="53" t="n">
        <v>0</v>
      </c>
      <c r="V92" s="53" t="n">
        <v>0</v>
      </c>
      <c r="W92" s="53" t="n">
        <v>0</v>
      </c>
      <c r="X92" s="53" t="n">
        <v>1.11</v>
      </c>
    </row>
    <row r="93">
      <c r="A93" s="53" t="inlineStr">
        <is>
          <t>Fir wood</t>
        </is>
      </c>
      <c r="B93" s="53" t="n">
        <v>45.81</v>
      </c>
      <c r="C93" s="53" t="n">
        <v>26.78</v>
      </c>
      <c r="D93" s="53" t="n">
        <v>28.24</v>
      </c>
      <c r="E93" s="53" t="n">
        <v>85.5</v>
      </c>
      <c r="F93" s="53" t="n">
        <v>0.3</v>
      </c>
      <c r="G93" s="53" t="n">
        <v>10.5</v>
      </c>
      <c r="H93" s="53" t="n">
        <v>47.2</v>
      </c>
      <c r="I93" s="53" t="n">
        <v>44.8</v>
      </c>
      <c r="J93" s="53" t="n">
        <v>6.1</v>
      </c>
      <c r="K93" s="53" t="n">
        <v>1</v>
      </c>
      <c r="L93" s="53" t="n">
        <v>5</v>
      </c>
      <c r="M93" s="53" t="n">
        <v>1</v>
      </c>
      <c r="N93" s="53" t="n">
        <v>1</v>
      </c>
      <c r="O93" s="53" t="n">
        <v>4</v>
      </c>
      <c r="P93" s="53" t="n">
        <v>60</v>
      </c>
      <c r="Q93" s="53" t="n">
        <v>10</v>
      </c>
      <c r="R93" s="53" t="n">
        <v>800</v>
      </c>
      <c r="S93" s="53" t="n">
        <v>1</v>
      </c>
      <c r="T93" s="53" t="n">
        <v>5</v>
      </c>
      <c r="U93" s="53" t="n">
        <v>480</v>
      </c>
      <c r="V93" s="53" t="n">
        <v>10</v>
      </c>
      <c r="W93" s="53" t="n">
        <v>1300</v>
      </c>
      <c r="X93" s="53" t="n">
        <v>1.11</v>
      </c>
    </row>
    <row r="94">
      <c r="A94" s="53" t="inlineStr">
        <is>
          <t>Fir wood</t>
        </is>
      </c>
      <c r="B94" s="53" t="n">
        <v>45.81</v>
      </c>
      <c r="C94" s="53" t="n">
        <v>26.78</v>
      </c>
      <c r="D94" s="53" t="n">
        <v>28.24</v>
      </c>
      <c r="E94" s="53" t="n">
        <v>85.5</v>
      </c>
      <c r="F94" s="53" t="n">
        <v>0.3</v>
      </c>
      <c r="G94" s="53" t="n">
        <v>10.5</v>
      </c>
      <c r="H94" s="53" t="n">
        <v>47.2</v>
      </c>
      <c r="I94" s="53" t="n">
        <v>44.8</v>
      </c>
      <c r="J94" s="53" t="n">
        <v>6.1</v>
      </c>
      <c r="K94" s="53" t="n">
        <v>4</v>
      </c>
      <c r="L94" s="53" t="n">
        <v>5</v>
      </c>
      <c r="M94" s="53" t="n">
        <v>0</v>
      </c>
      <c r="N94" s="53" t="n">
        <v>1</v>
      </c>
      <c r="O94" s="53" t="n">
        <v>4</v>
      </c>
      <c r="P94" s="53" t="n">
        <v>480</v>
      </c>
      <c r="Q94" s="53" t="n">
        <v>10</v>
      </c>
      <c r="R94" s="53" t="n">
        <v>1500</v>
      </c>
      <c r="S94" s="53" t="n">
        <v>0</v>
      </c>
      <c r="T94" s="53" t="n">
        <v>5</v>
      </c>
      <c r="U94" s="53" t="n">
        <v>0</v>
      </c>
      <c r="V94" s="53" t="n">
        <v>0</v>
      </c>
      <c r="W94" s="53" t="n">
        <v>0</v>
      </c>
      <c r="X94" s="53" t="n">
        <v>1.14</v>
      </c>
    </row>
    <row r="95">
      <c r="A95" s="53" t="inlineStr">
        <is>
          <t>Fir wood</t>
        </is>
      </c>
      <c r="B95" s="53" t="n">
        <v>45.81</v>
      </c>
      <c r="C95" s="53" t="n">
        <v>26.78</v>
      </c>
      <c r="D95" s="53" t="n">
        <v>28.24</v>
      </c>
      <c r="E95" s="53" t="n">
        <v>85.5</v>
      </c>
      <c r="F95" s="53" t="n">
        <v>0.3</v>
      </c>
      <c r="G95" s="53" t="n">
        <v>10.5</v>
      </c>
      <c r="H95" s="53" t="n">
        <v>47.2</v>
      </c>
      <c r="I95" s="53" t="n">
        <v>44.8</v>
      </c>
      <c r="J95" s="53" t="n">
        <v>6.1</v>
      </c>
      <c r="K95" s="53" t="n">
        <v>1</v>
      </c>
      <c r="L95" s="53" t="n">
        <v>5</v>
      </c>
      <c r="M95" s="53" t="n">
        <v>1</v>
      </c>
      <c r="N95" s="53" t="n">
        <v>1</v>
      </c>
      <c r="O95" s="53" t="n">
        <v>4</v>
      </c>
      <c r="P95" s="53" t="n">
        <v>60</v>
      </c>
      <c r="Q95" s="53" t="n">
        <v>10</v>
      </c>
      <c r="R95" s="53" t="n">
        <v>800</v>
      </c>
      <c r="S95" s="53" t="n">
        <v>1</v>
      </c>
      <c r="T95" s="53" t="n">
        <v>5</v>
      </c>
      <c r="U95" s="53" t="n">
        <v>480</v>
      </c>
      <c r="V95" s="53" t="n">
        <v>10</v>
      </c>
      <c r="W95" s="53" t="n">
        <v>1500</v>
      </c>
      <c r="X95" s="53" t="n">
        <v>1.14</v>
      </c>
    </row>
    <row r="96">
      <c r="A96" s="53" t="inlineStr">
        <is>
          <t>Ginkgo leave</t>
        </is>
      </c>
      <c r="B96" s="53" t="n">
        <v>44.9614795612291</v>
      </c>
      <c r="C96" s="53" t="n">
        <v>14.5156561431397</v>
      </c>
      <c r="D96" s="53" t="n">
        <v>35.2184623877525</v>
      </c>
      <c r="E96" s="53" t="n">
        <v>68.59999999999999</v>
      </c>
      <c r="F96" s="53" t="n">
        <v>7.8</v>
      </c>
      <c r="G96" s="53" t="n">
        <v>23.5</v>
      </c>
      <c r="H96" s="53" t="n">
        <v>45.8</v>
      </c>
      <c r="I96" s="53" t="n">
        <v>46.3</v>
      </c>
      <c r="J96" s="53" t="n">
        <v>5.9</v>
      </c>
      <c r="K96" s="53" t="n">
        <v>4</v>
      </c>
      <c r="L96" s="53" t="n">
        <v>1</v>
      </c>
      <c r="M96" s="53" t="n">
        <v>0</v>
      </c>
      <c r="N96" s="53" t="n">
        <v>1</v>
      </c>
      <c r="O96" s="53" t="n">
        <v>4</v>
      </c>
      <c r="P96" s="53" t="n">
        <v>120</v>
      </c>
      <c r="Q96" s="53" t="n">
        <v>5</v>
      </c>
      <c r="R96" s="53" t="n">
        <v>600</v>
      </c>
      <c r="S96" s="53" t="n">
        <v>0</v>
      </c>
      <c r="T96" s="53" t="n">
        <v>5</v>
      </c>
      <c r="U96" s="53" t="n">
        <v>0</v>
      </c>
      <c r="V96" s="53" t="n">
        <v>0</v>
      </c>
      <c r="W96" s="53" t="n">
        <v>0</v>
      </c>
      <c r="X96" s="53" t="n">
        <v>1.26</v>
      </c>
    </row>
    <row r="97">
      <c r="A97" s="53" t="inlineStr">
        <is>
          <t>Ginkgo leave</t>
        </is>
      </c>
      <c r="B97" s="53" t="n">
        <v>44.9614795612291</v>
      </c>
      <c r="C97" s="53" t="n">
        <v>14.5156561431397</v>
      </c>
      <c r="D97" s="53" t="n">
        <v>35.2184623877525</v>
      </c>
      <c r="E97" s="53" t="n">
        <v>68.59999999999999</v>
      </c>
      <c r="F97" s="53" t="n">
        <v>7.8</v>
      </c>
      <c r="G97" s="53" t="n">
        <v>23.5</v>
      </c>
      <c r="H97" s="53" t="n">
        <v>45.8</v>
      </c>
      <c r="I97" s="53" t="n">
        <v>46.3</v>
      </c>
      <c r="J97" s="53" t="n">
        <v>5.9</v>
      </c>
      <c r="K97" s="53" t="n">
        <v>4</v>
      </c>
      <c r="L97" s="53" t="n">
        <v>1</v>
      </c>
      <c r="M97" s="53" t="n">
        <v>0</v>
      </c>
      <c r="N97" s="53" t="n">
        <v>1</v>
      </c>
      <c r="O97" s="53" t="n">
        <v>4</v>
      </c>
      <c r="P97" s="53" t="n">
        <v>120</v>
      </c>
      <c r="Q97" s="53" t="n">
        <v>5</v>
      </c>
      <c r="R97" s="53" t="n">
        <v>800</v>
      </c>
      <c r="S97" s="53" t="n">
        <v>0</v>
      </c>
      <c r="T97" s="53" t="n">
        <v>5</v>
      </c>
      <c r="U97" s="53" t="n">
        <v>0</v>
      </c>
      <c r="V97" s="53" t="n">
        <v>0</v>
      </c>
      <c r="W97" s="53" t="n">
        <v>0</v>
      </c>
      <c r="X97" s="53" t="n">
        <v>1.28</v>
      </c>
    </row>
    <row r="98">
      <c r="A98" s="53" t="inlineStr">
        <is>
          <t>Ginkgo leave</t>
        </is>
      </c>
      <c r="B98" s="53" t="n">
        <v>44.9614795612291</v>
      </c>
      <c r="C98" s="53" t="n">
        <v>14.5156561431397</v>
      </c>
      <c r="D98" s="53" t="n">
        <v>35.2184623877525</v>
      </c>
      <c r="E98" s="53" t="n">
        <v>68.59999999999999</v>
      </c>
      <c r="F98" s="53" t="n">
        <v>7.8</v>
      </c>
      <c r="G98" s="53" t="n">
        <v>23.5</v>
      </c>
      <c r="H98" s="53" t="n">
        <v>45.8</v>
      </c>
      <c r="I98" s="53" t="n">
        <v>46.3</v>
      </c>
      <c r="J98" s="53" t="n">
        <v>5.9</v>
      </c>
      <c r="K98" s="53" t="n">
        <v>4</v>
      </c>
      <c r="L98" s="53" t="n">
        <v>1</v>
      </c>
      <c r="M98" s="53" t="n">
        <v>0</v>
      </c>
      <c r="N98" s="53" t="n">
        <v>1</v>
      </c>
      <c r="O98" s="53" t="n">
        <v>4</v>
      </c>
      <c r="P98" s="53" t="n">
        <v>120</v>
      </c>
      <c r="Q98" s="53" t="n">
        <v>5</v>
      </c>
      <c r="R98" s="53" t="n">
        <v>1000</v>
      </c>
      <c r="S98" s="53" t="n">
        <v>0</v>
      </c>
      <c r="T98" s="53" t="n">
        <v>5</v>
      </c>
      <c r="U98" s="53" t="n">
        <v>0</v>
      </c>
      <c r="V98" s="53" t="n">
        <v>0</v>
      </c>
      <c r="W98" s="53" t="n">
        <v>0</v>
      </c>
      <c r="X98" s="53" t="n">
        <v>1.51</v>
      </c>
    </row>
    <row r="99">
      <c r="A99" s="53" t="inlineStr">
        <is>
          <t>Ginkgo leave</t>
        </is>
      </c>
      <c r="B99" s="53" t="n">
        <v>44.9614795612291</v>
      </c>
      <c r="C99" s="53" t="n">
        <v>14.5156561431397</v>
      </c>
      <c r="D99" s="53" t="n">
        <v>35.2184623877525</v>
      </c>
      <c r="E99" s="53" t="n">
        <v>68.59999999999999</v>
      </c>
      <c r="F99" s="53" t="n">
        <v>7.8</v>
      </c>
      <c r="G99" s="53" t="n">
        <v>23.5</v>
      </c>
      <c r="H99" s="53" t="n">
        <v>45.8</v>
      </c>
      <c r="I99" s="53" t="n">
        <v>46.3</v>
      </c>
      <c r="J99" s="53" t="n">
        <v>5.9</v>
      </c>
      <c r="K99" s="53" t="n">
        <v>4</v>
      </c>
      <c r="L99" s="53" t="n">
        <v>1</v>
      </c>
      <c r="M99" s="53" t="n">
        <v>0</v>
      </c>
      <c r="N99" s="53" t="n">
        <v>1</v>
      </c>
      <c r="O99" s="53" t="n">
        <v>4</v>
      </c>
      <c r="P99" s="53" t="n">
        <v>120</v>
      </c>
      <c r="Q99" s="53" t="n">
        <v>5</v>
      </c>
      <c r="R99" s="53" t="n">
        <v>1200</v>
      </c>
      <c r="S99" s="53" t="n">
        <v>0</v>
      </c>
      <c r="T99" s="53" t="n">
        <v>5</v>
      </c>
      <c r="U99" s="53" t="n">
        <v>0</v>
      </c>
      <c r="V99" s="53" t="n">
        <v>0</v>
      </c>
      <c r="W99" s="53" t="n">
        <v>0</v>
      </c>
      <c r="X99" s="53" t="n">
        <v>1.64</v>
      </c>
    </row>
    <row r="100">
      <c r="A100" s="53" t="inlineStr">
        <is>
          <t>Ginkgo leave</t>
        </is>
      </c>
      <c r="B100" s="53" t="n">
        <v>44.9614795612291</v>
      </c>
      <c r="C100" s="53" t="n">
        <v>14.5156561431397</v>
      </c>
      <c r="D100" s="53" t="n">
        <v>35.2184623877525</v>
      </c>
      <c r="E100" s="53" t="n">
        <v>68.59999999999999</v>
      </c>
      <c r="F100" s="53" t="n">
        <v>7.8</v>
      </c>
      <c r="G100" s="53" t="n">
        <v>23.5</v>
      </c>
      <c r="H100" s="53" t="n">
        <v>45.8</v>
      </c>
      <c r="I100" s="53" t="n">
        <v>46.3</v>
      </c>
      <c r="J100" s="53" t="n">
        <v>5.9</v>
      </c>
      <c r="K100" s="53" t="n">
        <v>4</v>
      </c>
      <c r="L100" s="53" t="n">
        <v>1</v>
      </c>
      <c r="M100" s="53" t="n">
        <v>0</v>
      </c>
      <c r="N100" s="53" t="n">
        <v>1</v>
      </c>
      <c r="O100" s="53" t="n">
        <v>4</v>
      </c>
      <c r="P100" s="53" t="n">
        <v>120</v>
      </c>
      <c r="Q100" s="53" t="n">
        <v>5</v>
      </c>
      <c r="R100" s="53" t="n">
        <v>1300</v>
      </c>
      <c r="S100" s="53" t="n">
        <v>0</v>
      </c>
      <c r="T100" s="53" t="n">
        <v>5</v>
      </c>
      <c r="U100" s="53" t="n">
        <v>0</v>
      </c>
      <c r="V100" s="53" t="n">
        <v>0</v>
      </c>
      <c r="W100" s="53" t="n">
        <v>0</v>
      </c>
      <c r="X100" s="53" t="n">
        <v>2.242</v>
      </c>
    </row>
    <row r="101">
      <c r="A101" s="53" t="inlineStr">
        <is>
          <t>Ginkgo leave</t>
        </is>
      </c>
      <c r="B101" s="53" t="n">
        <v>44.9614795612291</v>
      </c>
      <c r="C101" s="53" t="n">
        <v>14.5156561431397</v>
      </c>
      <c r="D101" s="53" t="n">
        <v>35.2184623877525</v>
      </c>
      <c r="E101" s="53" t="n">
        <v>68.59999999999999</v>
      </c>
      <c r="F101" s="53" t="n">
        <v>7.8</v>
      </c>
      <c r="G101" s="53" t="n">
        <v>23.5</v>
      </c>
      <c r="H101" s="53" t="n">
        <v>45.8</v>
      </c>
      <c r="I101" s="53" t="n">
        <v>46.3</v>
      </c>
      <c r="J101" s="53" t="n">
        <v>5.9</v>
      </c>
      <c r="K101" s="53" t="n">
        <v>4</v>
      </c>
      <c r="L101" s="53" t="n">
        <v>1</v>
      </c>
      <c r="M101" s="53" t="n">
        <v>0</v>
      </c>
      <c r="N101" s="53" t="n">
        <v>1</v>
      </c>
      <c r="O101" s="53" t="n">
        <v>4</v>
      </c>
      <c r="P101" s="53" t="n">
        <v>120</v>
      </c>
      <c r="Q101" s="53" t="n">
        <v>5</v>
      </c>
      <c r="R101" s="53" t="n">
        <v>1400</v>
      </c>
      <c r="S101" s="53" t="n">
        <v>0</v>
      </c>
      <c r="T101" s="53" t="n">
        <v>5</v>
      </c>
      <c r="U101" s="53" t="n">
        <v>0</v>
      </c>
      <c r="V101" s="53" t="n">
        <v>0</v>
      </c>
      <c r="W101" s="53" t="n">
        <v>0</v>
      </c>
      <c r="X101" s="53" t="n">
        <v>4.11</v>
      </c>
    </row>
    <row r="102">
      <c r="A102" s="53" t="inlineStr">
        <is>
          <t>Ginkgo leave</t>
        </is>
      </c>
      <c r="B102" s="53" t="n">
        <v>44.9614795612291</v>
      </c>
      <c r="C102" s="53" t="n">
        <v>14.5156561431397</v>
      </c>
      <c r="D102" s="53" t="n">
        <v>35.2184623877525</v>
      </c>
      <c r="E102" s="53" t="n">
        <v>68.59999999999999</v>
      </c>
      <c r="F102" s="53" t="n">
        <v>7.8</v>
      </c>
      <c r="G102" s="53" t="n">
        <v>23.5</v>
      </c>
      <c r="H102" s="53" t="n">
        <v>45.8</v>
      </c>
      <c r="I102" s="53" t="n">
        <v>46.3</v>
      </c>
      <c r="J102" s="53" t="n">
        <v>5.9</v>
      </c>
      <c r="K102" s="53" t="n">
        <v>4</v>
      </c>
      <c r="L102" s="53" t="n">
        <v>1</v>
      </c>
      <c r="M102" s="53" t="n">
        <v>0</v>
      </c>
      <c r="N102" s="53" t="n">
        <v>1</v>
      </c>
      <c r="O102" s="53" t="n">
        <v>4</v>
      </c>
      <c r="P102" s="53" t="n">
        <v>120</v>
      </c>
      <c r="Q102" s="53" t="n">
        <v>5</v>
      </c>
      <c r="R102" s="53" t="n">
        <v>1500</v>
      </c>
      <c r="S102" s="53" t="n">
        <v>0</v>
      </c>
      <c r="T102" s="53" t="n">
        <v>5</v>
      </c>
      <c r="U102" s="53" t="n">
        <v>0</v>
      </c>
      <c r="V102" s="53" t="n">
        <v>0</v>
      </c>
      <c r="W102" s="53" t="n">
        <v>0</v>
      </c>
      <c r="X102" s="53" t="n">
        <v>7.27</v>
      </c>
    </row>
    <row r="103">
      <c r="A103" s="53" t="inlineStr">
        <is>
          <t>Ginkgo leave</t>
        </is>
      </c>
      <c r="B103" s="53" t="n">
        <v>44.9614795612291</v>
      </c>
      <c r="C103" s="53" t="n">
        <v>14.5156561431397</v>
      </c>
      <c r="D103" s="53" t="n">
        <v>35.2184623877525</v>
      </c>
      <c r="E103" s="53" t="n">
        <v>68.59999999999999</v>
      </c>
      <c r="F103" s="53" t="n">
        <v>7.8</v>
      </c>
      <c r="G103" s="53" t="n">
        <v>23.5</v>
      </c>
      <c r="H103" s="53" t="n">
        <v>45.8</v>
      </c>
      <c r="I103" s="53" t="n">
        <v>46.3</v>
      </c>
      <c r="J103" s="53" t="n">
        <v>5.9</v>
      </c>
      <c r="K103" s="53" t="n">
        <v>4</v>
      </c>
      <c r="L103" s="53" t="n">
        <v>1</v>
      </c>
      <c r="M103" s="53" t="n">
        <v>0</v>
      </c>
      <c r="N103" s="53" t="n">
        <v>1</v>
      </c>
      <c r="O103" s="53" t="n">
        <v>4</v>
      </c>
      <c r="P103" s="53" t="n">
        <v>120</v>
      </c>
      <c r="Q103" s="53" t="n">
        <v>5</v>
      </c>
      <c r="R103" s="53" t="n">
        <v>1700</v>
      </c>
      <c r="S103" s="53" t="n">
        <v>0</v>
      </c>
      <c r="T103" s="53" t="n">
        <v>5</v>
      </c>
      <c r="U103" s="53" t="n">
        <v>0</v>
      </c>
      <c r="V103" s="53" t="n">
        <v>0</v>
      </c>
      <c r="W103" s="53" t="n">
        <v>0</v>
      </c>
      <c r="X103" s="53" t="n">
        <v>8.119999999999999</v>
      </c>
    </row>
    <row r="104">
      <c r="A104" s="53" t="inlineStr">
        <is>
          <t>Ginkgo leave</t>
        </is>
      </c>
      <c r="B104" s="53" t="n">
        <v>44.9614795612291</v>
      </c>
      <c r="C104" s="53" t="n">
        <v>14.5156561431397</v>
      </c>
      <c r="D104" s="53" t="n">
        <v>35.2184623877525</v>
      </c>
      <c r="E104" s="53" t="n">
        <v>68.59999999999999</v>
      </c>
      <c r="F104" s="53" t="n">
        <v>7.8</v>
      </c>
      <c r="G104" s="53" t="n">
        <v>23.5</v>
      </c>
      <c r="H104" s="53" t="n">
        <v>45.8</v>
      </c>
      <c r="I104" s="53" t="n">
        <v>46.3</v>
      </c>
      <c r="J104" s="53" t="n">
        <v>5.9</v>
      </c>
      <c r="K104" s="53" t="n">
        <v>4</v>
      </c>
      <c r="L104" s="53" t="n">
        <v>1</v>
      </c>
      <c r="M104" s="53" t="n">
        <v>0</v>
      </c>
      <c r="N104" s="53" t="n">
        <v>1</v>
      </c>
      <c r="O104" s="53" t="n">
        <v>4</v>
      </c>
      <c r="P104" s="53" t="n">
        <v>120</v>
      </c>
      <c r="Q104" s="53" t="n">
        <v>5</v>
      </c>
      <c r="R104" s="53" t="n">
        <v>2000</v>
      </c>
      <c r="S104" s="53" t="n">
        <v>0</v>
      </c>
      <c r="T104" s="53" t="n">
        <v>5</v>
      </c>
      <c r="U104" s="53" t="n">
        <v>0</v>
      </c>
      <c r="V104" s="53" t="n">
        <v>0</v>
      </c>
      <c r="W104" s="53" t="n">
        <v>0</v>
      </c>
      <c r="X104" s="53" t="n">
        <v>8.82</v>
      </c>
    </row>
    <row r="105">
      <c r="A105" s="53" t="inlineStr">
        <is>
          <t>Ginkgo leave</t>
        </is>
      </c>
      <c r="B105" s="53" t="n">
        <v>44.9614795612291</v>
      </c>
      <c r="C105" s="53" t="n">
        <v>14.5156561431397</v>
      </c>
      <c r="D105" s="53" t="n">
        <v>35.2184623877525</v>
      </c>
      <c r="E105" s="53" t="n">
        <v>68.59999999999999</v>
      </c>
      <c r="F105" s="53" t="n">
        <v>7.8</v>
      </c>
      <c r="G105" s="53" t="n">
        <v>23.5</v>
      </c>
      <c r="H105" s="53" t="n">
        <v>45.8</v>
      </c>
      <c r="I105" s="53" t="n">
        <v>46.3</v>
      </c>
      <c r="J105" s="53" t="n">
        <v>5.9</v>
      </c>
      <c r="K105" s="53" t="n">
        <v>4</v>
      </c>
      <c r="L105" s="53" t="n">
        <v>1</v>
      </c>
      <c r="M105" s="53" t="n">
        <v>0</v>
      </c>
      <c r="N105" s="53" t="n">
        <v>1</v>
      </c>
      <c r="O105" s="53" t="n">
        <v>4</v>
      </c>
      <c r="P105" s="53" t="n">
        <v>120</v>
      </c>
      <c r="Q105" s="53" t="n">
        <v>5</v>
      </c>
      <c r="R105" s="53" t="n">
        <v>2500</v>
      </c>
      <c r="S105" s="53" t="n">
        <v>0</v>
      </c>
      <c r="T105" s="53" t="n">
        <v>5</v>
      </c>
      <c r="U105" s="53" t="n">
        <v>0</v>
      </c>
      <c r="V105" s="53" t="n">
        <v>0</v>
      </c>
      <c r="W105" s="53" t="n">
        <v>0</v>
      </c>
      <c r="X105" s="53" t="n">
        <v>9.119999999999999</v>
      </c>
    </row>
    <row r="106">
      <c r="A106" s="53" t="inlineStr">
        <is>
          <t>Hemi-cellulose</t>
        </is>
      </c>
      <c r="B106" s="53" t="n">
        <v>0</v>
      </c>
      <c r="C106" s="53" t="n">
        <v>100</v>
      </c>
      <c r="D106" s="53" t="n">
        <v>0</v>
      </c>
      <c r="E106" s="53" t="n">
        <v>74.0492947277552</v>
      </c>
      <c r="F106" s="53" t="n">
        <v>2.22332850801585</v>
      </c>
      <c r="G106" s="53" t="n">
        <v>20.5790151569092</v>
      </c>
      <c r="H106" s="53" t="n">
        <v>47.894393413243</v>
      </c>
      <c r="I106" s="53" t="n">
        <v>42.751319643441</v>
      </c>
      <c r="J106" s="53" t="n">
        <v>6.12333551441884</v>
      </c>
      <c r="K106" s="53" t="n">
        <v>4</v>
      </c>
      <c r="L106" s="53" t="n">
        <v>5</v>
      </c>
      <c r="M106" s="53" t="n">
        <v>0</v>
      </c>
      <c r="N106" s="53" t="n">
        <v>1</v>
      </c>
      <c r="O106" s="53" t="n">
        <v>4</v>
      </c>
      <c r="P106" s="53" t="n">
        <v>240</v>
      </c>
      <c r="Q106" s="53" t="n">
        <v>5</v>
      </c>
      <c r="R106" s="53" t="n">
        <v>600</v>
      </c>
      <c r="S106" s="53" t="n">
        <v>0</v>
      </c>
      <c r="T106" s="53" t="n">
        <v>5</v>
      </c>
      <c r="U106" s="53" t="n">
        <v>0</v>
      </c>
      <c r="V106" s="53" t="n">
        <v>0</v>
      </c>
      <c r="W106" s="53" t="n">
        <v>0</v>
      </c>
      <c r="X106" s="53" t="n">
        <v>0.58</v>
      </c>
    </row>
    <row r="107">
      <c r="A107" s="53" t="inlineStr">
        <is>
          <t>Hemi-cellulose</t>
        </is>
      </c>
      <c r="B107" s="53" t="n">
        <v>0</v>
      </c>
      <c r="C107" s="53" t="n">
        <v>100</v>
      </c>
      <c r="D107" s="53" t="n">
        <v>0</v>
      </c>
      <c r="E107" s="53" t="n">
        <v>74.0492947277552</v>
      </c>
      <c r="F107" s="53" t="n">
        <v>2.22332850801585</v>
      </c>
      <c r="G107" s="53" t="n">
        <v>20.5790151569092</v>
      </c>
      <c r="H107" s="53" t="n">
        <v>47.894393413243</v>
      </c>
      <c r="I107" s="53" t="n">
        <v>42.751319643441</v>
      </c>
      <c r="J107" s="53" t="n">
        <v>6.12333551441884</v>
      </c>
      <c r="K107" s="53" t="n">
        <v>4</v>
      </c>
      <c r="L107" s="53" t="n">
        <v>5</v>
      </c>
      <c r="M107" s="53" t="n">
        <v>0</v>
      </c>
      <c r="N107" s="53" t="n">
        <v>1</v>
      </c>
      <c r="O107" s="53" t="n">
        <v>4</v>
      </c>
      <c r="P107" s="53" t="n">
        <v>240</v>
      </c>
      <c r="Q107" s="53" t="n">
        <v>5</v>
      </c>
      <c r="R107" s="53" t="n">
        <v>800</v>
      </c>
      <c r="S107" s="53" t="n">
        <v>0</v>
      </c>
      <c r="T107" s="53" t="n">
        <v>5</v>
      </c>
      <c r="U107" s="53" t="n">
        <v>0</v>
      </c>
      <c r="V107" s="53" t="n">
        <v>0</v>
      </c>
      <c r="W107" s="53" t="n">
        <v>0</v>
      </c>
      <c r="X107" s="53" t="n">
        <v>0.8</v>
      </c>
    </row>
    <row r="108">
      <c r="A108" s="53" t="inlineStr">
        <is>
          <t>Hemi-cellulose</t>
        </is>
      </c>
      <c r="B108" s="53" t="n">
        <v>0</v>
      </c>
      <c r="C108" s="53" t="n">
        <v>100</v>
      </c>
      <c r="D108" s="53" t="n">
        <v>0</v>
      </c>
      <c r="E108" s="53" t="n">
        <v>74.0492947277552</v>
      </c>
      <c r="F108" s="53" t="n">
        <v>2.22332850801585</v>
      </c>
      <c r="G108" s="53" t="n">
        <v>20.5790151569092</v>
      </c>
      <c r="H108" s="53" t="n">
        <v>47.894393413243</v>
      </c>
      <c r="I108" s="53" t="n">
        <v>42.751319643441</v>
      </c>
      <c r="J108" s="53" t="n">
        <v>6.12333551441884</v>
      </c>
      <c r="K108" s="53" t="n">
        <v>4</v>
      </c>
      <c r="L108" s="53" t="n">
        <v>5</v>
      </c>
      <c r="M108" s="53" t="n">
        <v>0</v>
      </c>
      <c r="N108" s="53" t="n">
        <v>1</v>
      </c>
      <c r="O108" s="53" t="n">
        <v>4</v>
      </c>
      <c r="P108" s="53" t="n">
        <v>240</v>
      </c>
      <c r="Q108" s="53" t="n">
        <v>5</v>
      </c>
      <c r="R108" s="53" t="n">
        <v>1000</v>
      </c>
      <c r="S108" s="53" t="n">
        <v>0</v>
      </c>
      <c r="T108" s="53" t="n">
        <v>5</v>
      </c>
      <c r="U108" s="53" t="n">
        <v>0</v>
      </c>
      <c r="V108" s="53" t="n">
        <v>0</v>
      </c>
      <c r="W108" s="53" t="n">
        <v>0</v>
      </c>
      <c r="X108" s="53" t="n">
        <v>0.82</v>
      </c>
    </row>
    <row r="109">
      <c r="A109" s="53" t="inlineStr">
        <is>
          <t>Hemi-cellulose</t>
        </is>
      </c>
      <c r="B109" s="53" t="n">
        <v>0</v>
      </c>
      <c r="C109" s="53" t="n">
        <v>100</v>
      </c>
      <c r="D109" s="53" t="n">
        <v>0</v>
      </c>
      <c r="E109" s="53" t="n">
        <v>74.0492947277552</v>
      </c>
      <c r="F109" s="53" t="n">
        <v>2.22332850801585</v>
      </c>
      <c r="G109" s="53" t="n">
        <v>20.5790151569092</v>
      </c>
      <c r="H109" s="53" t="n">
        <v>47.894393413243</v>
      </c>
      <c r="I109" s="53" t="n">
        <v>42.751319643441</v>
      </c>
      <c r="J109" s="53" t="n">
        <v>6.12333551441884</v>
      </c>
      <c r="K109" s="53" t="n">
        <v>4</v>
      </c>
      <c r="L109" s="53" t="n">
        <v>5</v>
      </c>
      <c r="M109" s="53" t="n">
        <v>0</v>
      </c>
      <c r="N109" s="53" t="n">
        <v>1</v>
      </c>
      <c r="O109" s="53" t="n">
        <v>4</v>
      </c>
      <c r="P109" s="53" t="n">
        <v>240</v>
      </c>
      <c r="Q109" s="53" t="n">
        <v>5</v>
      </c>
      <c r="R109" s="53" t="n">
        <v>1200</v>
      </c>
      <c r="S109" s="53" t="n">
        <v>0</v>
      </c>
      <c r="T109" s="53" t="n">
        <v>5</v>
      </c>
      <c r="U109" s="53" t="n">
        <v>0</v>
      </c>
      <c r="V109" s="53" t="n">
        <v>0</v>
      </c>
      <c r="W109" s="53" t="n">
        <v>0</v>
      </c>
      <c r="X109" s="53" t="n">
        <v>0.84</v>
      </c>
    </row>
    <row r="110">
      <c r="A110" s="53" t="inlineStr">
        <is>
          <t>Hemi-cellulose</t>
        </is>
      </c>
      <c r="B110" s="53" t="n">
        <v>0</v>
      </c>
      <c r="C110" s="53" t="n">
        <v>100</v>
      </c>
      <c r="D110" s="53" t="n">
        <v>0</v>
      </c>
      <c r="E110" s="53" t="n">
        <v>74.0492947277552</v>
      </c>
      <c r="F110" s="53" t="n">
        <v>2.22332850801585</v>
      </c>
      <c r="G110" s="53" t="n">
        <v>20.5790151569092</v>
      </c>
      <c r="H110" s="53" t="n">
        <v>47.894393413243</v>
      </c>
      <c r="I110" s="53" t="n">
        <v>42.751319643441</v>
      </c>
      <c r="J110" s="53" t="n">
        <v>6.12333551441884</v>
      </c>
      <c r="K110" s="53" t="n">
        <v>4</v>
      </c>
      <c r="L110" s="53" t="n">
        <v>5</v>
      </c>
      <c r="M110" s="53" t="n">
        <v>0</v>
      </c>
      <c r="N110" s="53" t="n">
        <v>1</v>
      </c>
      <c r="O110" s="53" t="n">
        <v>4</v>
      </c>
      <c r="P110" s="53" t="n">
        <v>240</v>
      </c>
      <c r="Q110" s="53" t="n">
        <v>5</v>
      </c>
      <c r="R110" s="53" t="n">
        <v>1400</v>
      </c>
      <c r="S110" s="53" t="n">
        <v>0</v>
      </c>
      <c r="T110" s="53" t="n">
        <v>5</v>
      </c>
      <c r="U110" s="53" t="n">
        <v>0</v>
      </c>
      <c r="V110" s="53" t="n">
        <v>0</v>
      </c>
      <c r="W110" s="53" t="n">
        <v>0</v>
      </c>
      <c r="X110" s="53" t="n">
        <v>1.01</v>
      </c>
    </row>
    <row r="111">
      <c r="A111" s="53" t="inlineStr">
        <is>
          <t>Hemp hurd</t>
        </is>
      </c>
      <c r="B111" s="53" t="n">
        <v>32</v>
      </c>
      <c r="C111" s="53" t="n">
        <v>38.1</v>
      </c>
      <c r="D111" s="53" t="n">
        <v>23.8</v>
      </c>
      <c r="E111" s="53" t="n">
        <v>81.3</v>
      </c>
      <c r="F111" s="53" t="n">
        <v>3</v>
      </c>
      <c r="G111" s="53" t="n">
        <v>15.7</v>
      </c>
      <c r="H111" s="53" t="n">
        <v>46.3</v>
      </c>
      <c r="I111" s="53" t="n">
        <v>44.5</v>
      </c>
      <c r="J111" s="53" t="n">
        <v>5.7</v>
      </c>
      <c r="K111" s="53" t="n">
        <v>4</v>
      </c>
      <c r="L111" s="53" t="n">
        <v>1</v>
      </c>
      <c r="M111" s="53" t="n">
        <v>1</v>
      </c>
      <c r="N111" s="53" t="n">
        <v>1</v>
      </c>
      <c r="O111" s="53" t="n">
        <v>4</v>
      </c>
      <c r="P111" s="53" t="n">
        <v>720</v>
      </c>
      <c r="Q111" s="53" t="n">
        <v>5</v>
      </c>
      <c r="R111" s="53" t="n">
        <v>500</v>
      </c>
      <c r="S111" s="53" t="n">
        <v>1</v>
      </c>
      <c r="T111" s="53" t="n">
        <v>1</v>
      </c>
      <c r="U111" s="53" t="n">
        <v>60</v>
      </c>
      <c r="V111" s="53" t="n">
        <v>1</v>
      </c>
      <c r="W111" s="53" t="n">
        <v>700</v>
      </c>
      <c r="X111" s="53" t="n">
        <v>0.806</v>
      </c>
    </row>
    <row r="112">
      <c r="A112" s="53" t="inlineStr">
        <is>
          <t>Hemp hurd</t>
        </is>
      </c>
      <c r="B112" s="53" t="n">
        <v>32</v>
      </c>
      <c r="C112" s="53" t="n">
        <v>38.1</v>
      </c>
      <c r="D112" s="53" t="n">
        <v>23.8</v>
      </c>
      <c r="E112" s="53" t="n">
        <v>81.3</v>
      </c>
      <c r="F112" s="53" t="n">
        <v>3</v>
      </c>
      <c r="G112" s="53" t="n">
        <v>15.7</v>
      </c>
      <c r="H112" s="53" t="n">
        <v>46.3</v>
      </c>
      <c r="I112" s="53" t="n">
        <v>44.5</v>
      </c>
      <c r="J112" s="53" t="n">
        <v>5.7</v>
      </c>
      <c r="K112" s="53" t="n">
        <v>4</v>
      </c>
      <c r="L112" s="53" t="n">
        <v>1</v>
      </c>
      <c r="M112" s="53" t="n">
        <v>1</v>
      </c>
      <c r="N112" s="53" t="n">
        <v>0</v>
      </c>
      <c r="O112" s="53" t="n">
        <v>0</v>
      </c>
      <c r="P112" s="53" t="n">
        <v>720</v>
      </c>
      <c r="Q112" s="53" t="n">
        <v>5</v>
      </c>
      <c r="R112" s="53" t="n">
        <v>180</v>
      </c>
      <c r="S112" s="53" t="n">
        <v>1</v>
      </c>
      <c r="T112" s="53" t="n">
        <v>5</v>
      </c>
      <c r="U112" s="53" t="n">
        <v>120</v>
      </c>
      <c r="V112" s="53" t="n">
        <v>5</v>
      </c>
      <c r="W112" s="53" t="n">
        <v>1000</v>
      </c>
      <c r="X112" s="53" t="n">
        <v>0.868</v>
      </c>
    </row>
    <row r="113">
      <c r="A113" s="53" t="inlineStr">
        <is>
          <t>Hemp hurd</t>
        </is>
      </c>
      <c r="B113" s="53" t="n">
        <v>32</v>
      </c>
      <c r="C113" s="53" t="n">
        <v>38.1</v>
      </c>
      <c r="D113" s="53" t="n">
        <v>23.8</v>
      </c>
      <c r="E113" s="53" t="n">
        <v>81.3</v>
      </c>
      <c r="F113" s="53" t="n">
        <v>3</v>
      </c>
      <c r="G113" s="53" t="n">
        <v>15.7</v>
      </c>
      <c r="H113" s="53" t="n">
        <v>46.3</v>
      </c>
      <c r="I113" s="53" t="n">
        <v>44.5</v>
      </c>
      <c r="J113" s="53" t="n">
        <v>5.7</v>
      </c>
      <c r="K113" s="53" t="n">
        <v>4</v>
      </c>
      <c r="L113" s="53" t="n">
        <v>1</v>
      </c>
      <c r="M113" s="53" t="n">
        <v>1</v>
      </c>
      <c r="N113" s="53" t="n">
        <v>1</v>
      </c>
      <c r="O113" s="53" t="n">
        <v>4</v>
      </c>
      <c r="P113" s="53" t="n">
        <v>720</v>
      </c>
      <c r="Q113" s="53" t="n">
        <v>5</v>
      </c>
      <c r="R113" s="53" t="n">
        <v>500</v>
      </c>
      <c r="S113" s="53" t="n">
        <v>1</v>
      </c>
      <c r="T113" s="53" t="n">
        <v>5</v>
      </c>
      <c r="U113" s="53" t="n">
        <v>120</v>
      </c>
      <c r="V113" s="53" t="n">
        <v>5</v>
      </c>
      <c r="W113" s="53" t="n">
        <v>1000</v>
      </c>
      <c r="X113" s="53" t="n">
        <v>0.874</v>
      </c>
    </row>
    <row r="114">
      <c r="A114" s="53" t="inlineStr">
        <is>
          <t>Hemp hurd</t>
        </is>
      </c>
      <c r="B114" s="53" t="n">
        <v>32</v>
      </c>
      <c r="C114" s="53" t="n">
        <v>38.1</v>
      </c>
      <c r="D114" s="53" t="n">
        <v>23.8</v>
      </c>
      <c r="E114" s="53" t="n">
        <v>81.3</v>
      </c>
      <c r="F114" s="53" t="n">
        <v>3</v>
      </c>
      <c r="G114" s="53" t="n">
        <v>15.7</v>
      </c>
      <c r="H114" s="53" t="n">
        <v>46.3</v>
      </c>
      <c r="I114" s="53" t="n">
        <v>44.5</v>
      </c>
      <c r="J114" s="53" t="n">
        <v>5.7</v>
      </c>
      <c r="K114" s="53" t="n">
        <v>4</v>
      </c>
      <c r="L114" s="53" t="n">
        <v>1</v>
      </c>
      <c r="M114" s="53" t="n">
        <v>1</v>
      </c>
      <c r="N114" s="53" t="n">
        <v>0</v>
      </c>
      <c r="O114" s="53" t="n">
        <v>0</v>
      </c>
      <c r="P114" s="53" t="n">
        <v>720</v>
      </c>
      <c r="Q114" s="53" t="n">
        <v>5</v>
      </c>
      <c r="R114" s="53" t="n">
        <v>180</v>
      </c>
      <c r="S114" s="53" t="n">
        <v>1</v>
      </c>
      <c r="T114" s="53" t="n">
        <v>5</v>
      </c>
      <c r="U114" s="53" t="n">
        <v>120</v>
      </c>
      <c r="V114" s="53" t="n">
        <v>5</v>
      </c>
      <c r="W114" s="53" t="n">
        <v>800</v>
      </c>
      <c r="X114" s="53" t="n">
        <v>0.88</v>
      </c>
    </row>
    <row r="115">
      <c r="A115" s="53" t="inlineStr">
        <is>
          <t>Hemp hurd</t>
        </is>
      </c>
      <c r="B115" s="53" t="n">
        <v>32</v>
      </c>
      <c r="C115" s="53" t="n">
        <v>38.1</v>
      </c>
      <c r="D115" s="53" t="n">
        <v>23.8</v>
      </c>
      <c r="E115" s="53" t="n">
        <v>81.3</v>
      </c>
      <c r="F115" s="53" t="n">
        <v>3</v>
      </c>
      <c r="G115" s="53" t="n">
        <v>15.7</v>
      </c>
      <c r="H115" s="53" t="n">
        <v>46.3</v>
      </c>
      <c r="I115" s="53" t="n">
        <v>44.5</v>
      </c>
      <c r="J115" s="53" t="n">
        <v>5.7</v>
      </c>
      <c r="K115" s="53" t="n">
        <v>4</v>
      </c>
      <c r="L115" s="53" t="n">
        <v>1</v>
      </c>
      <c r="M115" s="53" t="n">
        <v>1</v>
      </c>
      <c r="N115" s="53" t="n">
        <v>1</v>
      </c>
      <c r="O115" s="53" t="n">
        <v>4</v>
      </c>
      <c r="P115" s="53" t="n">
        <v>720</v>
      </c>
      <c r="Q115" s="53" t="n">
        <v>5</v>
      </c>
      <c r="R115" s="53" t="n">
        <v>500</v>
      </c>
      <c r="S115" s="53" t="n">
        <v>1</v>
      </c>
      <c r="T115" s="53" t="n">
        <v>1</v>
      </c>
      <c r="U115" s="53" t="n">
        <v>60</v>
      </c>
      <c r="V115" s="53" t="n">
        <v>1</v>
      </c>
      <c r="W115" s="53" t="n">
        <v>800</v>
      </c>
      <c r="X115" s="53" t="n">
        <v>0.883</v>
      </c>
    </row>
    <row r="116">
      <c r="A116" s="53" t="inlineStr">
        <is>
          <t>Hemp hurd</t>
        </is>
      </c>
      <c r="B116" s="53" t="n">
        <v>32</v>
      </c>
      <c r="C116" s="53" t="n">
        <v>38.1</v>
      </c>
      <c r="D116" s="53" t="n">
        <v>23.8</v>
      </c>
      <c r="E116" s="53" t="n">
        <v>81.3</v>
      </c>
      <c r="F116" s="53" t="n">
        <v>3</v>
      </c>
      <c r="G116" s="53" t="n">
        <v>15.7</v>
      </c>
      <c r="H116" s="53" t="n">
        <v>46.3</v>
      </c>
      <c r="I116" s="53" t="n">
        <v>44.5</v>
      </c>
      <c r="J116" s="53" t="n">
        <v>5.7</v>
      </c>
      <c r="K116" s="53" t="n">
        <v>4</v>
      </c>
      <c r="L116" s="53" t="n">
        <v>1</v>
      </c>
      <c r="M116" s="53" t="n">
        <v>1</v>
      </c>
      <c r="N116" s="53" t="n">
        <v>1</v>
      </c>
      <c r="O116" s="53" t="n">
        <v>4</v>
      </c>
      <c r="P116" s="53" t="n">
        <v>720</v>
      </c>
      <c r="Q116" s="53" t="n">
        <v>5</v>
      </c>
      <c r="R116" s="53" t="n">
        <v>500</v>
      </c>
      <c r="S116" s="53" t="n">
        <v>1</v>
      </c>
      <c r="T116" s="53" t="n">
        <v>5</v>
      </c>
      <c r="U116" s="53" t="n">
        <v>120</v>
      </c>
      <c r="V116" s="53" t="n">
        <v>5</v>
      </c>
      <c r="W116" s="53" t="n">
        <v>1200</v>
      </c>
      <c r="X116" s="53" t="n">
        <v>0.892</v>
      </c>
    </row>
    <row r="117">
      <c r="A117" s="53" t="inlineStr">
        <is>
          <t>Hemp hurd</t>
        </is>
      </c>
      <c r="B117" s="53" t="n">
        <v>32</v>
      </c>
      <c r="C117" s="53" t="n">
        <v>38.1</v>
      </c>
      <c r="D117" s="53" t="n">
        <v>23.8</v>
      </c>
      <c r="E117" s="53" t="n">
        <v>81.3</v>
      </c>
      <c r="F117" s="53" t="n">
        <v>3</v>
      </c>
      <c r="G117" s="53" t="n">
        <v>15.7</v>
      </c>
      <c r="H117" s="53" t="n">
        <v>46.3</v>
      </c>
      <c r="I117" s="53" t="n">
        <v>44.5</v>
      </c>
      <c r="J117" s="53" t="n">
        <v>5.7</v>
      </c>
      <c r="K117" s="53" t="n">
        <v>4</v>
      </c>
      <c r="L117" s="53" t="n">
        <v>1</v>
      </c>
      <c r="M117" s="53" t="n">
        <v>1</v>
      </c>
      <c r="N117" s="53" t="n">
        <v>1</v>
      </c>
      <c r="O117" s="53" t="n">
        <v>4</v>
      </c>
      <c r="P117" s="53" t="n">
        <v>720</v>
      </c>
      <c r="Q117" s="53" t="n">
        <v>5</v>
      </c>
      <c r="R117" s="53" t="n">
        <v>500</v>
      </c>
      <c r="S117" s="53" t="n">
        <v>1</v>
      </c>
      <c r="T117" s="53" t="n">
        <v>1</v>
      </c>
      <c r="U117" s="53" t="n">
        <v>60</v>
      </c>
      <c r="V117" s="53" t="n">
        <v>1</v>
      </c>
      <c r="W117" s="53" t="n">
        <v>700</v>
      </c>
      <c r="X117" s="53" t="n">
        <v>0.894</v>
      </c>
    </row>
    <row r="118">
      <c r="A118" s="53" t="inlineStr">
        <is>
          <t>Hemp hurd</t>
        </is>
      </c>
      <c r="B118" s="53" t="n">
        <v>32</v>
      </c>
      <c r="C118" s="53" t="n">
        <v>38.1</v>
      </c>
      <c r="D118" s="53" t="n">
        <v>23.8</v>
      </c>
      <c r="E118" s="53" t="n">
        <v>81.3</v>
      </c>
      <c r="F118" s="53" t="n">
        <v>3</v>
      </c>
      <c r="G118" s="53" t="n">
        <v>15.7</v>
      </c>
      <c r="H118" s="53" t="n">
        <v>46.3</v>
      </c>
      <c r="I118" s="53" t="n">
        <v>44.5</v>
      </c>
      <c r="J118" s="53" t="n">
        <v>5.7</v>
      </c>
      <c r="K118" s="53" t="n">
        <v>4</v>
      </c>
      <c r="L118" s="53" t="n">
        <v>1</v>
      </c>
      <c r="M118" s="53" t="n">
        <v>1</v>
      </c>
      <c r="N118" s="53" t="n">
        <v>0</v>
      </c>
      <c r="O118" s="53" t="n">
        <v>0</v>
      </c>
      <c r="P118" s="53" t="n">
        <v>720</v>
      </c>
      <c r="Q118" s="53" t="n">
        <v>5</v>
      </c>
      <c r="R118" s="53" t="n">
        <v>180</v>
      </c>
      <c r="S118" s="53" t="n">
        <v>1</v>
      </c>
      <c r="T118" s="53" t="n">
        <v>5</v>
      </c>
      <c r="U118" s="53" t="n">
        <v>120</v>
      </c>
      <c r="V118" s="53" t="n">
        <v>5</v>
      </c>
      <c r="W118" s="53" t="n">
        <v>800</v>
      </c>
      <c r="X118" s="53" t="n">
        <v>0.895</v>
      </c>
    </row>
    <row r="119">
      <c r="A119" s="53" t="inlineStr">
        <is>
          <t>Hemp hurd</t>
        </is>
      </c>
      <c r="B119" s="53" t="n">
        <v>32</v>
      </c>
      <c r="C119" s="53" t="n">
        <v>38.1</v>
      </c>
      <c r="D119" s="53" t="n">
        <v>23.8</v>
      </c>
      <c r="E119" s="53" t="n">
        <v>81.3</v>
      </c>
      <c r="F119" s="53" t="n">
        <v>3</v>
      </c>
      <c r="G119" s="53" t="n">
        <v>15.7</v>
      </c>
      <c r="H119" s="53" t="n">
        <v>46.3</v>
      </c>
      <c r="I119" s="53" t="n">
        <v>44.5</v>
      </c>
      <c r="J119" s="53" t="n">
        <v>5.7</v>
      </c>
      <c r="K119" s="53" t="n">
        <v>4</v>
      </c>
      <c r="L119" s="53" t="n">
        <v>1</v>
      </c>
      <c r="M119" s="53" t="n">
        <v>1</v>
      </c>
      <c r="N119" s="53" t="n">
        <v>0</v>
      </c>
      <c r="O119" s="53" t="n">
        <v>0</v>
      </c>
      <c r="P119" s="53" t="n">
        <v>720</v>
      </c>
      <c r="Q119" s="53" t="n">
        <v>5</v>
      </c>
      <c r="R119" s="53" t="n">
        <v>180</v>
      </c>
      <c r="S119" s="53" t="n">
        <v>1</v>
      </c>
      <c r="T119" s="53" t="n">
        <v>5</v>
      </c>
      <c r="U119" s="53" t="n">
        <v>120</v>
      </c>
      <c r="V119" s="53" t="n">
        <v>5</v>
      </c>
      <c r="W119" s="53" t="n">
        <v>1200</v>
      </c>
      <c r="X119" s="53" t="n">
        <v>0.9320000000000001</v>
      </c>
    </row>
    <row r="120">
      <c r="A120" s="53" t="inlineStr">
        <is>
          <t>Hemp hurd</t>
        </is>
      </c>
      <c r="B120" s="53" t="n">
        <v>32</v>
      </c>
      <c r="C120" s="53" t="n">
        <v>38.1</v>
      </c>
      <c r="D120" s="53" t="n">
        <v>23.8</v>
      </c>
      <c r="E120" s="53" t="n">
        <v>81.3</v>
      </c>
      <c r="F120" s="53" t="n">
        <v>3</v>
      </c>
      <c r="G120" s="53" t="n">
        <v>15.7</v>
      </c>
      <c r="H120" s="53" t="n">
        <v>46.3</v>
      </c>
      <c r="I120" s="53" t="n">
        <v>44.5</v>
      </c>
      <c r="J120" s="53" t="n">
        <v>5.7</v>
      </c>
      <c r="K120" s="53" t="n">
        <v>4</v>
      </c>
      <c r="L120" s="53" t="n">
        <v>1</v>
      </c>
      <c r="M120" s="53" t="n">
        <v>1</v>
      </c>
      <c r="N120" s="53" t="n">
        <v>1</v>
      </c>
      <c r="O120" s="53" t="n">
        <v>4</v>
      </c>
      <c r="P120" s="53" t="n">
        <v>720</v>
      </c>
      <c r="Q120" s="53" t="n">
        <v>5</v>
      </c>
      <c r="R120" s="53" t="n">
        <v>500</v>
      </c>
      <c r="S120" s="53" t="n">
        <v>1</v>
      </c>
      <c r="T120" s="53" t="n">
        <v>5</v>
      </c>
      <c r="U120" s="53" t="n">
        <v>120</v>
      </c>
      <c r="V120" s="53" t="n">
        <v>5</v>
      </c>
      <c r="W120" s="53" t="n">
        <v>800</v>
      </c>
      <c r="X120" s="53" t="n">
        <v>0.9399999999999999</v>
      </c>
    </row>
    <row r="121">
      <c r="A121" s="53" t="inlineStr">
        <is>
          <t>Hemp hurd</t>
        </is>
      </c>
      <c r="B121" s="53" t="n">
        <v>32</v>
      </c>
      <c r="C121" s="53" t="n">
        <v>38.1</v>
      </c>
      <c r="D121" s="53" t="n">
        <v>23.8</v>
      </c>
      <c r="E121" s="53" t="n">
        <v>81.3</v>
      </c>
      <c r="F121" s="53" t="n">
        <v>3</v>
      </c>
      <c r="G121" s="53" t="n">
        <v>15.7</v>
      </c>
      <c r="H121" s="53" t="n">
        <v>46.3</v>
      </c>
      <c r="I121" s="53" t="n">
        <v>44.5</v>
      </c>
      <c r="J121" s="53" t="n">
        <v>5.7</v>
      </c>
      <c r="K121" s="53" t="n">
        <v>4</v>
      </c>
      <c r="L121" s="53" t="n">
        <v>1</v>
      </c>
      <c r="M121" s="53" t="n">
        <v>1</v>
      </c>
      <c r="N121" s="53" t="n">
        <v>1</v>
      </c>
      <c r="O121" s="53" t="n">
        <v>4</v>
      </c>
      <c r="P121" s="53" t="n">
        <v>720</v>
      </c>
      <c r="Q121" s="53" t="n">
        <v>5</v>
      </c>
      <c r="R121" s="53" t="n">
        <v>500</v>
      </c>
      <c r="S121" s="53" t="n">
        <v>1</v>
      </c>
      <c r="T121" s="53" t="n">
        <v>1</v>
      </c>
      <c r="U121" s="53" t="n">
        <v>60</v>
      </c>
      <c r="V121" s="53" t="n">
        <v>1</v>
      </c>
      <c r="W121" s="53" t="n">
        <v>800</v>
      </c>
      <c r="X121" s="53" t="n">
        <v>0.948</v>
      </c>
    </row>
    <row r="122">
      <c r="A122" s="53" t="inlineStr">
        <is>
          <t>Hemp hurd</t>
        </is>
      </c>
      <c r="B122" s="53" t="n">
        <v>32</v>
      </c>
      <c r="C122" s="53" t="n">
        <v>38.1</v>
      </c>
      <c r="D122" s="53" t="n">
        <v>23.8</v>
      </c>
      <c r="E122" s="53" t="n">
        <v>81.3</v>
      </c>
      <c r="F122" s="53" t="n">
        <v>3</v>
      </c>
      <c r="G122" s="53" t="n">
        <v>15.7</v>
      </c>
      <c r="H122" s="53" t="n">
        <v>46.3</v>
      </c>
      <c r="I122" s="53" t="n">
        <v>44.5</v>
      </c>
      <c r="J122" s="53" t="n">
        <v>5.7</v>
      </c>
      <c r="K122" s="53" t="n">
        <v>4</v>
      </c>
      <c r="L122" s="53" t="n">
        <v>1</v>
      </c>
      <c r="M122" s="53" t="n">
        <v>1</v>
      </c>
      <c r="N122" s="53" t="n">
        <v>1</v>
      </c>
      <c r="O122" s="53" t="n">
        <v>4</v>
      </c>
      <c r="P122" s="53" t="n">
        <v>720</v>
      </c>
      <c r="Q122" s="53" t="n">
        <v>5</v>
      </c>
      <c r="R122" s="53" t="n">
        <v>500</v>
      </c>
      <c r="S122" s="53" t="n">
        <v>1</v>
      </c>
      <c r="T122" s="53" t="n">
        <v>1</v>
      </c>
      <c r="U122" s="53" t="n">
        <v>60</v>
      </c>
      <c r="V122" s="53" t="n">
        <v>1</v>
      </c>
      <c r="W122" s="53" t="n">
        <v>700</v>
      </c>
      <c r="X122" s="53" t="n">
        <v>0.962</v>
      </c>
    </row>
    <row r="123">
      <c r="A123" s="53" t="inlineStr">
        <is>
          <t>Hemp hurd</t>
        </is>
      </c>
      <c r="B123" s="53" t="n">
        <v>32</v>
      </c>
      <c r="C123" s="53" t="n">
        <v>38.1</v>
      </c>
      <c r="D123" s="53" t="n">
        <v>23.8</v>
      </c>
      <c r="E123" s="53" t="n">
        <v>81.3</v>
      </c>
      <c r="F123" s="53" t="n">
        <v>3</v>
      </c>
      <c r="G123" s="53" t="n">
        <v>15.7</v>
      </c>
      <c r="H123" s="53" t="n">
        <v>46.3</v>
      </c>
      <c r="I123" s="53" t="n">
        <v>44.5</v>
      </c>
      <c r="J123" s="53" t="n">
        <v>5.7</v>
      </c>
      <c r="K123" s="53" t="n">
        <v>4</v>
      </c>
      <c r="L123" s="53" t="n">
        <v>1</v>
      </c>
      <c r="M123" s="53" t="n">
        <v>1</v>
      </c>
      <c r="N123" s="53" t="n">
        <v>0</v>
      </c>
      <c r="O123" s="53" t="n">
        <v>0</v>
      </c>
      <c r="P123" s="53" t="n">
        <v>720</v>
      </c>
      <c r="Q123" s="53" t="n">
        <v>5</v>
      </c>
      <c r="R123" s="53" t="n">
        <v>180</v>
      </c>
      <c r="S123" s="53" t="n">
        <v>1</v>
      </c>
      <c r="T123" s="53" t="n">
        <v>5</v>
      </c>
      <c r="U123" s="53" t="n">
        <v>120</v>
      </c>
      <c r="V123" s="53" t="n">
        <v>5</v>
      </c>
      <c r="W123" s="53" t="n">
        <v>1000</v>
      </c>
      <c r="X123" s="53" t="n">
        <v>0.968</v>
      </c>
    </row>
    <row r="124">
      <c r="A124" s="53" t="inlineStr">
        <is>
          <t>Hemp hurd</t>
        </is>
      </c>
      <c r="B124" s="53" t="n">
        <v>32</v>
      </c>
      <c r="C124" s="53" t="n">
        <v>38.1</v>
      </c>
      <c r="D124" s="53" t="n">
        <v>23.8</v>
      </c>
      <c r="E124" s="53" t="n">
        <v>81.3</v>
      </c>
      <c r="F124" s="53" t="n">
        <v>3</v>
      </c>
      <c r="G124" s="53" t="n">
        <v>15.7</v>
      </c>
      <c r="H124" s="53" t="n">
        <v>46.3</v>
      </c>
      <c r="I124" s="53" t="n">
        <v>44.5</v>
      </c>
      <c r="J124" s="53" t="n">
        <v>5.7</v>
      </c>
      <c r="K124" s="53" t="n">
        <v>4</v>
      </c>
      <c r="L124" s="53" t="n">
        <v>1</v>
      </c>
      <c r="M124" s="53" t="n">
        <v>1</v>
      </c>
      <c r="N124" s="53" t="n">
        <v>1</v>
      </c>
      <c r="O124" s="53" t="n">
        <v>4</v>
      </c>
      <c r="P124" s="53" t="n">
        <v>720</v>
      </c>
      <c r="Q124" s="53" t="n">
        <v>5</v>
      </c>
      <c r="R124" s="53" t="n">
        <v>500</v>
      </c>
      <c r="S124" s="53" t="n">
        <v>1</v>
      </c>
      <c r="T124" s="53" t="n">
        <v>1</v>
      </c>
      <c r="U124" s="53" t="n">
        <v>60</v>
      </c>
      <c r="V124" s="53" t="n">
        <v>1</v>
      </c>
      <c r="W124" s="53" t="n">
        <v>800</v>
      </c>
      <c r="X124" s="53" t="n">
        <v>0.969</v>
      </c>
    </row>
    <row r="125">
      <c r="A125" s="53" t="inlineStr">
        <is>
          <t>Hemp hurd</t>
        </is>
      </c>
      <c r="B125" s="53" t="n">
        <v>32</v>
      </c>
      <c r="C125" s="53" t="n">
        <v>38.1</v>
      </c>
      <c r="D125" s="53" t="n">
        <v>23.8</v>
      </c>
      <c r="E125" s="53" t="n">
        <v>81.3</v>
      </c>
      <c r="F125" s="53" t="n">
        <v>3</v>
      </c>
      <c r="G125" s="53" t="n">
        <v>15.7</v>
      </c>
      <c r="H125" s="53" t="n">
        <v>46.3</v>
      </c>
      <c r="I125" s="53" t="n">
        <v>44.5</v>
      </c>
      <c r="J125" s="53" t="n">
        <v>5.7</v>
      </c>
      <c r="K125" s="53" t="n">
        <v>4</v>
      </c>
      <c r="L125" s="53" t="n">
        <v>1</v>
      </c>
      <c r="M125" s="53" t="n">
        <v>1</v>
      </c>
      <c r="N125" s="53" t="n">
        <v>0</v>
      </c>
      <c r="O125" s="53" t="n">
        <v>0</v>
      </c>
      <c r="P125" s="53" t="n">
        <v>720</v>
      </c>
      <c r="Q125" s="53" t="n">
        <v>5</v>
      </c>
      <c r="R125" s="53" t="n">
        <v>180</v>
      </c>
      <c r="S125" s="53" t="n">
        <v>1</v>
      </c>
      <c r="T125" s="53" t="n">
        <v>5</v>
      </c>
      <c r="U125" s="53" t="n">
        <v>120</v>
      </c>
      <c r="V125" s="53" t="n">
        <v>5</v>
      </c>
      <c r="W125" s="53" t="n">
        <v>1200</v>
      </c>
      <c r="X125" s="53" t="n">
        <v>1.056</v>
      </c>
    </row>
    <row r="126">
      <c r="A126" s="53" t="inlineStr">
        <is>
          <t>Kapok fiber</t>
        </is>
      </c>
      <c r="B126" s="53" t="n">
        <v>53.4</v>
      </c>
      <c r="C126" s="53" t="n">
        <v>29.63</v>
      </c>
      <c r="D126" s="53" t="n">
        <v>20.73</v>
      </c>
      <c r="E126" s="53" t="n">
        <v>83.39074162080711</v>
      </c>
      <c r="F126" s="53" t="n">
        <v>2.64334877558757</v>
      </c>
      <c r="G126" s="53" t="n">
        <v>13.3531519553555</v>
      </c>
      <c r="H126" s="53" t="n">
        <v>46.9836807397435</v>
      </c>
      <c r="I126" s="53" t="n">
        <v>43.0919936922057</v>
      </c>
      <c r="J126" s="53" t="n">
        <v>6.11949784761262</v>
      </c>
      <c r="K126" s="53" t="n">
        <v>4</v>
      </c>
      <c r="L126" s="53" t="n">
        <v>5</v>
      </c>
      <c r="M126" s="53" t="n">
        <v>0</v>
      </c>
      <c r="N126" s="53" t="n">
        <v>1</v>
      </c>
      <c r="O126" s="53" t="n">
        <v>4</v>
      </c>
      <c r="P126" s="53" t="n">
        <v>139.166315398153</v>
      </c>
      <c r="Q126" s="53" t="n">
        <v>5</v>
      </c>
      <c r="R126" s="53" t="n">
        <v>1200</v>
      </c>
      <c r="S126" s="53" t="n">
        <v>0</v>
      </c>
      <c r="T126" s="53" t="n">
        <v>5</v>
      </c>
      <c r="U126" s="53" t="n">
        <v>0</v>
      </c>
      <c r="V126" s="53" t="n">
        <v>0</v>
      </c>
      <c r="W126" s="53" t="n">
        <v>0</v>
      </c>
      <c r="X126" s="53" t="n">
        <v>1.8</v>
      </c>
    </row>
    <row r="127">
      <c r="A127" s="53" t="inlineStr">
        <is>
          <t>Kapok fiber</t>
        </is>
      </c>
      <c r="B127" s="53" t="n">
        <v>53.4</v>
      </c>
      <c r="C127" s="53" t="n">
        <v>29.63</v>
      </c>
      <c r="D127" s="53" t="n">
        <v>20.73</v>
      </c>
      <c r="E127" s="53" t="n">
        <v>83.39074162080711</v>
      </c>
      <c r="F127" s="53" t="n">
        <v>2.64334877558757</v>
      </c>
      <c r="G127" s="53" t="n">
        <v>13.3531519553555</v>
      </c>
      <c r="H127" s="53" t="n">
        <v>46.9836807397435</v>
      </c>
      <c r="I127" s="53" t="n">
        <v>43.0919936922057</v>
      </c>
      <c r="J127" s="53" t="n">
        <v>6.11949784761262</v>
      </c>
      <c r="K127" s="53" t="n">
        <v>4</v>
      </c>
      <c r="L127" s="53" t="n">
        <v>5</v>
      </c>
      <c r="M127" s="53" t="n">
        <v>0</v>
      </c>
      <c r="N127" s="53" t="n">
        <v>1</v>
      </c>
      <c r="O127" s="53" t="n">
        <v>4</v>
      </c>
      <c r="P127" s="53" t="n">
        <v>97.76292515657209</v>
      </c>
      <c r="Q127" s="53" t="n">
        <v>5</v>
      </c>
      <c r="R127" s="53" t="n">
        <v>1400</v>
      </c>
      <c r="S127" s="53" t="n">
        <v>0</v>
      </c>
      <c r="T127" s="53" t="n">
        <v>5</v>
      </c>
      <c r="U127" s="53" t="n">
        <v>0</v>
      </c>
      <c r="V127" s="53" t="n">
        <v>0</v>
      </c>
      <c r="W127" s="53" t="n">
        <v>0</v>
      </c>
      <c r="X127" s="53" t="n">
        <v>1.9</v>
      </c>
    </row>
    <row r="128">
      <c r="A128" s="53" t="inlineStr">
        <is>
          <t>Lignin</t>
        </is>
      </c>
      <c r="B128" s="53" t="n">
        <v>0</v>
      </c>
      <c r="C128" s="53" t="n">
        <v>0</v>
      </c>
      <c r="D128" s="53" t="n">
        <v>100</v>
      </c>
      <c r="E128" s="53" t="n">
        <v>74.413547453817</v>
      </c>
      <c r="F128" s="53" t="n">
        <v>7.93957117369227</v>
      </c>
      <c r="G128" s="53" t="n">
        <v>16.0485850317427</v>
      </c>
      <c r="H128" s="53" t="n">
        <v>46.9552486099622</v>
      </c>
      <c r="I128" s="53" t="n">
        <v>44.8534837562515</v>
      </c>
      <c r="J128" s="53" t="n">
        <v>5.81999479571385</v>
      </c>
      <c r="K128" s="53" t="n">
        <v>1</v>
      </c>
      <c r="L128" s="53" t="n">
        <v>5</v>
      </c>
      <c r="M128" s="53" t="n">
        <v>0</v>
      </c>
      <c r="N128" s="53" t="n">
        <v>1</v>
      </c>
      <c r="O128" s="53" t="n">
        <v>4</v>
      </c>
      <c r="P128" s="53" t="n">
        <v>120</v>
      </c>
      <c r="Q128" s="53" t="n">
        <v>5</v>
      </c>
      <c r="R128" s="53" t="n">
        <v>1000</v>
      </c>
      <c r="S128" s="53" t="n">
        <v>0</v>
      </c>
      <c r="T128" s="53" t="n">
        <v>5</v>
      </c>
      <c r="U128" s="53" t="n">
        <v>0</v>
      </c>
      <c r="V128" s="53" t="n">
        <v>0</v>
      </c>
      <c r="W128" s="53" t="n">
        <v>0</v>
      </c>
      <c r="X128" s="53" t="n">
        <v>0.54</v>
      </c>
    </row>
    <row r="129">
      <c r="A129" s="53" t="inlineStr">
        <is>
          <t>Lignin</t>
        </is>
      </c>
      <c r="B129" s="53" t="n">
        <v>0</v>
      </c>
      <c r="C129" s="53" t="n">
        <v>0</v>
      </c>
      <c r="D129" s="53" t="n">
        <v>100</v>
      </c>
      <c r="E129" s="53" t="n">
        <v>74.413547453817</v>
      </c>
      <c r="F129" s="53" t="n">
        <v>7.93957117369227</v>
      </c>
      <c r="G129" s="53" t="n">
        <v>16.0485850317427</v>
      </c>
      <c r="H129" s="53" t="n">
        <v>46.9552486099622</v>
      </c>
      <c r="I129" s="53" t="n">
        <v>44.8534837562515</v>
      </c>
      <c r="J129" s="53" t="n">
        <v>5.81999479571385</v>
      </c>
      <c r="K129" s="53" t="n">
        <v>1</v>
      </c>
      <c r="L129" s="53" t="n">
        <v>5</v>
      </c>
      <c r="M129" s="53" t="n">
        <v>0</v>
      </c>
      <c r="N129" s="53" t="n">
        <v>1</v>
      </c>
      <c r="O129" s="53" t="n">
        <v>4</v>
      </c>
      <c r="P129" s="53" t="n">
        <v>120</v>
      </c>
      <c r="Q129" s="53" t="n">
        <v>5</v>
      </c>
      <c r="R129" s="53" t="n">
        <v>1200</v>
      </c>
      <c r="S129" s="53" t="n">
        <v>0</v>
      </c>
      <c r="T129" s="53" t="n">
        <v>5</v>
      </c>
      <c r="U129" s="53" t="n">
        <v>0</v>
      </c>
      <c r="V129" s="53" t="n">
        <v>0</v>
      </c>
      <c r="W129" s="53" t="n">
        <v>0</v>
      </c>
      <c r="X129" s="53" t="n">
        <v>0.73</v>
      </c>
    </row>
    <row r="130">
      <c r="A130" s="53" t="inlineStr">
        <is>
          <t>Lignin</t>
        </is>
      </c>
      <c r="B130" s="53" t="n">
        <v>0</v>
      </c>
      <c r="C130" s="53" t="n">
        <v>0</v>
      </c>
      <c r="D130" s="53" t="n">
        <v>100</v>
      </c>
      <c r="E130" s="53" t="n">
        <v>74.413547453817</v>
      </c>
      <c r="F130" s="53" t="n">
        <v>7.93957117369227</v>
      </c>
      <c r="G130" s="53" t="n">
        <v>16.0485850317427</v>
      </c>
      <c r="H130" s="53" t="n">
        <v>46.9552486099622</v>
      </c>
      <c r="I130" s="53" t="n">
        <v>44.8534837562515</v>
      </c>
      <c r="J130" s="53" t="n">
        <v>5.81999479571385</v>
      </c>
      <c r="K130" s="53" t="n">
        <v>1</v>
      </c>
      <c r="L130" s="53" t="n">
        <v>5</v>
      </c>
      <c r="M130" s="53" t="n">
        <v>0</v>
      </c>
      <c r="N130" s="53" t="n">
        <v>1</v>
      </c>
      <c r="O130" s="53" t="n">
        <v>4</v>
      </c>
      <c r="P130" s="53" t="n">
        <v>120</v>
      </c>
      <c r="Q130" s="53" t="n">
        <v>5</v>
      </c>
      <c r="R130" s="53" t="n">
        <v>1400</v>
      </c>
      <c r="S130" s="53" t="n">
        <v>0</v>
      </c>
      <c r="T130" s="53" t="n">
        <v>5</v>
      </c>
      <c r="U130" s="53" t="n">
        <v>0</v>
      </c>
      <c r="V130" s="53" t="n">
        <v>0</v>
      </c>
      <c r="W130" s="53" t="n">
        <v>0</v>
      </c>
      <c r="X130" s="53" t="n">
        <v>0.79</v>
      </c>
    </row>
    <row r="131">
      <c r="A131" s="53" t="inlineStr">
        <is>
          <t>Lignin</t>
        </is>
      </c>
      <c r="B131" s="53" t="n">
        <v>0</v>
      </c>
      <c r="C131" s="53" t="n">
        <v>0</v>
      </c>
      <c r="D131" s="53" t="n">
        <v>100</v>
      </c>
      <c r="E131" s="53" t="n">
        <v>74.413547453817</v>
      </c>
      <c r="F131" s="53" t="n">
        <v>7.93957117369227</v>
      </c>
      <c r="G131" s="53" t="n">
        <v>16.0485850317427</v>
      </c>
      <c r="H131" s="53" t="n">
        <v>46.9552486099622</v>
      </c>
      <c r="I131" s="53" t="n">
        <v>44.8534837562515</v>
      </c>
      <c r="J131" s="53" t="n">
        <v>5.81999479571385</v>
      </c>
      <c r="K131" s="53" t="n">
        <v>1</v>
      </c>
      <c r="L131" s="53" t="n">
        <v>5</v>
      </c>
      <c r="M131" s="53" t="n">
        <v>0</v>
      </c>
      <c r="N131" s="53" t="n">
        <v>1</v>
      </c>
      <c r="O131" s="53" t="n">
        <v>4</v>
      </c>
      <c r="P131" s="53" t="n">
        <v>120</v>
      </c>
      <c r="Q131" s="53" t="n">
        <v>5</v>
      </c>
      <c r="R131" s="53" t="n">
        <v>1600</v>
      </c>
      <c r="S131" s="53" t="n">
        <v>0</v>
      </c>
      <c r="T131" s="53" t="n">
        <v>5</v>
      </c>
      <c r="U131" s="53" t="n">
        <v>0</v>
      </c>
      <c r="V131" s="53" t="n">
        <v>0</v>
      </c>
      <c r="W131" s="53" t="n">
        <v>0</v>
      </c>
      <c r="X131" s="53" t="n">
        <v>0.79</v>
      </c>
    </row>
    <row r="132">
      <c r="A132" s="53" t="inlineStr">
        <is>
          <t>Lignin</t>
        </is>
      </c>
      <c r="B132" s="53" t="n">
        <v>0</v>
      </c>
      <c r="C132" s="53" t="n">
        <v>0</v>
      </c>
      <c r="D132" s="53" t="n">
        <v>100</v>
      </c>
      <c r="E132" s="53" t="n">
        <v>74.413547453817</v>
      </c>
      <c r="F132" s="53" t="n">
        <v>7.93957117369227</v>
      </c>
      <c r="G132" s="53" t="n">
        <v>16.0485850317427</v>
      </c>
      <c r="H132" s="53" t="n">
        <v>46.9552486099622</v>
      </c>
      <c r="I132" s="53" t="n">
        <v>44.8534837562515</v>
      </c>
      <c r="J132" s="53" t="n">
        <v>5.81999479571385</v>
      </c>
      <c r="K132" s="53" t="n">
        <v>1</v>
      </c>
      <c r="L132" s="53" t="n">
        <v>5</v>
      </c>
      <c r="M132" s="53" t="n">
        <v>0</v>
      </c>
      <c r="N132" s="53" t="n">
        <v>1</v>
      </c>
      <c r="O132" s="53" t="n">
        <v>4</v>
      </c>
      <c r="P132" s="53" t="n">
        <v>120</v>
      </c>
      <c r="Q132" s="53" t="n">
        <v>5</v>
      </c>
      <c r="R132" s="53" t="n">
        <v>1800</v>
      </c>
      <c r="S132" s="53" t="n">
        <v>0</v>
      </c>
      <c r="T132" s="53" t="n">
        <v>5</v>
      </c>
      <c r="U132" s="53" t="n">
        <v>0</v>
      </c>
      <c r="V132" s="53" t="n">
        <v>0</v>
      </c>
      <c r="W132" s="53" t="n">
        <v>0</v>
      </c>
      <c r="X132" s="53" t="n">
        <v>0.8100000000000001</v>
      </c>
    </row>
    <row r="133">
      <c r="A133" s="53" t="inlineStr">
        <is>
          <t>lignin</t>
        </is>
      </c>
      <c r="B133" s="53" t="n">
        <v>0</v>
      </c>
      <c r="C133" s="53" t="n">
        <v>0</v>
      </c>
      <c r="D133" s="53" t="n">
        <v>100</v>
      </c>
      <c r="E133" s="53" t="n">
        <v>74.413547453817</v>
      </c>
      <c r="F133" s="53" t="n">
        <v>7.93957117369227</v>
      </c>
      <c r="G133" s="53" t="n">
        <v>16.0485850317427</v>
      </c>
      <c r="H133" s="53" t="n">
        <v>46.9552486099622</v>
      </c>
      <c r="I133" s="53" t="n">
        <v>44.8534837562515</v>
      </c>
      <c r="J133" s="53" t="n">
        <v>5.81999479571385</v>
      </c>
      <c r="K133" s="53" t="n">
        <v>4</v>
      </c>
      <c r="L133" s="53" t="n">
        <v>5</v>
      </c>
      <c r="M133" s="53" t="n">
        <v>0</v>
      </c>
      <c r="N133" s="53" t="n">
        <v>1</v>
      </c>
      <c r="O133" s="53" t="n">
        <v>4</v>
      </c>
      <c r="P133" s="53" t="n">
        <v>240</v>
      </c>
      <c r="Q133" s="53" t="n">
        <v>5</v>
      </c>
      <c r="R133" s="53" t="n">
        <v>600</v>
      </c>
      <c r="S133" s="53" t="n">
        <v>0</v>
      </c>
      <c r="T133" s="53" t="n">
        <v>5</v>
      </c>
      <c r="U133" s="53" t="n">
        <v>0</v>
      </c>
      <c r="V133" s="53" t="n">
        <v>0</v>
      </c>
      <c r="W133" s="53" t="n">
        <v>0</v>
      </c>
      <c r="X133" s="53" t="n">
        <v>0.82</v>
      </c>
    </row>
    <row r="134">
      <c r="A134" s="53" t="inlineStr">
        <is>
          <t>lignin</t>
        </is>
      </c>
      <c r="B134" s="53" t="n">
        <v>0</v>
      </c>
      <c r="C134" s="53" t="n">
        <v>0</v>
      </c>
      <c r="D134" s="53" t="n">
        <v>100</v>
      </c>
      <c r="E134" s="53" t="n">
        <v>74.413547453817</v>
      </c>
      <c r="F134" s="53" t="n">
        <v>7.93957117369227</v>
      </c>
      <c r="G134" s="53" t="n">
        <v>16.0485850317427</v>
      </c>
      <c r="H134" s="53" t="n">
        <v>46.9552486099622</v>
      </c>
      <c r="I134" s="53" t="n">
        <v>44.8534837562515</v>
      </c>
      <c r="J134" s="53" t="n">
        <v>5.81999479571385</v>
      </c>
      <c r="K134" s="53" t="n">
        <v>4</v>
      </c>
      <c r="L134" s="53" t="n">
        <v>5</v>
      </c>
      <c r="M134" s="53" t="n">
        <v>0</v>
      </c>
      <c r="N134" s="53" t="n">
        <v>1</v>
      </c>
      <c r="O134" s="53" t="n">
        <v>4</v>
      </c>
      <c r="P134" s="53" t="n">
        <v>240</v>
      </c>
      <c r="Q134" s="53" t="n">
        <v>5</v>
      </c>
      <c r="R134" s="53" t="n">
        <v>800</v>
      </c>
      <c r="S134" s="53" t="n">
        <v>0</v>
      </c>
      <c r="T134" s="53" t="n">
        <v>5</v>
      </c>
      <c r="U134" s="53" t="n">
        <v>0</v>
      </c>
      <c r="V134" s="53" t="n">
        <v>0</v>
      </c>
      <c r="W134" s="53" t="n">
        <v>0</v>
      </c>
      <c r="X134" s="53" t="n">
        <v>1.1</v>
      </c>
    </row>
    <row r="135">
      <c r="A135" s="53" t="inlineStr">
        <is>
          <t>Lotus stem</t>
        </is>
      </c>
      <c r="B135" s="53" t="n">
        <v>34.6</v>
      </c>
      <c r="C135" s="53" t="n">
        <v>19.2</v>
      </c>
      <c r="D135" s="53" t="n">
        <v>25.4</v>
      </c>
      <c r="E135" s="53" t="n">
        <v>77.44065266469779</v>
      </c>
      <c r="F135" s="53" t="n">
        <v>6.01739941318613</v>
      </c>
      <c r="G135" s="53" t="n">
        <v>17.7960359441177</v>
      </c>
      <c r="H135" s="53" t="n">
        <v>48.1519093848142</v>
      </c>
      <c r="I135" s="53" t="n">
        <v>41.0827448296098</v>
      </c>
      <c r="J135" s="53" t="n">
        <v>5.25526048251373</v>
      </c>
      <c r="K135" s="53" t="n">
        <v>4</v>
      </c>
      <c r="L135" s="53" t="n">
        <v>0</v>
      </c>
      <c r="M135" s="53" t="n">
        <v>0</v>
      </c>
      <c r="N135" s="53" t="n">
        <v>1</v>
      </c>
      <c r="O135" s="53" t="n">
        <v>4</v>
      </c>
      <c r="P135" s="53" t="n">
        <v>142.382692282759</v>
      </c>
      <c r="Q135" s="53" t="n">
        <v>5</v>
      </c>
      <c r="R135" s="53" t="n">
        <v>1200</v>
      </c>
      <c r="S135" s="53" t="n">
        <v>0</v>
      </c>
      <c r="T135" s="53" t="n">
        <v>5</v>
      </c>
      <c r="U135" s="53" t="n">
        <v>0</v>
      </c>
      <c r="V135" s="53" t="n">
        <v>0</v>
      </c>
      <c r="W135" s="53" t="n">
        <v>0</v>
      </c>
      <c r="X135" s="53" t="n">
        <v>15.95</v>
      </c>
    </row>
    <row r="136">
      <c r="A136" s="53" t="inlineStr">
        <is>
          <t>Lotus stem</t>
        </is>
      </c>
      <c r="B136" s="53" t="n">
        <v>34.6</v>
      </c>
      <c r="C136" s="53" t="n">
        <v>19.2</v>
      </c>
      <c r="D136" s="53" t="n">
        <v>25.4</v>
      </c>
      <c r="E136" s="53" t="n">
        <v>77.44065266469779</v>
      </c>
      <c r="F136" s="53" t="n">
        <v>6.01739941318613</v>
      </c>
      <c r="G136" s="53" t="n">
        <v>17.7960359441177</v>
      </c>
      <c r="H136" s="53" t="n">
        <v>48.1519093848142</v>
      </c>
      <c r="I136" s="53" t="n">
        <v>41.0827448296098</v>
      </c>
      <c r="J136" s="53" t="n">
        <v>5.25526048251373</v>
      </c>
      <c r="K136" s="53" t="n">
        <v>4</v>
      </c>
      <c r="L136" s="53" t="n">
        <v>0</v>
      </c>
      <c r="M136" s="53" t="n">
        <v>0</v>
      </c>
      <c r="N136" s="53" t="n">
        <v>1</v>
      </c>
      <c r="O136" s="53" t="n">
        <v>4</v>
      </c>
      <c r="P136" s="53" t="n">
        <v>87.684466777146</v>
      </c>
      <c r="Q136" s="53" t="n">
        <v>5</v>
      </c>
      <c r="R136" s="53" t="n">
        <v>1400</v>
      </c>
      <c r="S136" s="53" t="n">
        <v>0</v>
      </c>
      <c r="T136" s="53" t="n">
        <v>5</v>
      </c>
      <c r="U136" s="53" t="n">
        <v>0</v>
      </c>
      <c r="V136" s="53" t="n">
        <v>0</v>
      </c>
      <c r="W136" s="53" t="n">
        <v>0</v>
      </c>
      <c r="X136" s="53" t="n">
        <v>14.35</v>
      </c>
    </row>
    <row r="137">
      <c r="A137" s="53" t="inlineStr">
        <is>
          <t>Lotus stem</t>
        </is>
      </c>
      <c r="B137" s="53" t="n">
        <v>34.6</v>
      </c>
      <c r="C137" s="53" t="n">
        <v>19.2</v>
      </c>
      <c r="D137" s="53" t="n">
        <v>25.4</v>
      </c>
      <c r="E137" s="53" t="n">
        <v>77.44065266469779</v>
      </c>
      <c r="F137" s="53" t="n">
        <v>6.01739941318613</v>
      </c>
      <c r="G137" s="53" t="n">
        <v>17.7960359441177</v>
      </c>
      <c r="H137" s="53" t="n">
        <v>48.1519093848142</v>
      </c>
      <c r="I137" s="53" t="n">
        <v>41.0827448296098</v>
      </c>
      <c r="J137" s="53" t="n">
        <v>5.25526048251373</v>
      </c>
      <c r="K137" s="53" t="n">
        <v>4</v>
      </c>
      <c r="L137" s="53" t="n">
        <v>0</v>
      </c>
      <c r="M137" s="53" t="n">
        <v>0</v>
      </c>
      <c r="N137" s="53" t="n">
        <v>1</v>
      </c>
      <c r="O137" s="53" t="n">
        <v>4</v>
      </c>
      <c r="P137" s="53" t="n">
        <v>127.864903119767</v>
      </c>
      <c r="Q137" s="53" t="n">
        <v>3.82737909684301</v>
      </c>
      <c r="R137" s="53" t="n">
        <v>1600</v>
      </c>
      <c r="S137" s="53" t="n">
        <v>0</v>
      </c>
      <c r="T137" s="53" t="n">
        <v>5</v>
      </c>
      <c r="U137" s="53" t="n">
        <v>0</v>
      </c>
      <c r="V137" s="53" t="n">
        <v>0</v>
      </c>
      <c r="W137" s="53" t="n">
        <v>0</v>
      </c>
      <c r="X137" s="53" t="n">
        <v>13.19</v>
      </c>
    </row>
    <row r="138">
      <c r="A138" s="53" t="inlineStr">
        <is>
          <t>Macadamia nutshell</t>
        </is>
      </c>
      <c r="B138" s="53" t="n">
        <v>29.5</v>
      </c>
      <c r="C138" s="53" t="n">
        <v>30</v>
      </c>
      <c r="D138" s="53" t="n">
        <v>40.1</v>
      </c>
      <c r="E138" s="53" t="n">
        <v>76.25</v>
      </c>
      <c r="F138" s="53" t="n">
        <v>0.36</v>
      </c>
      <c r="G138" s="53" t="n">
        <v>23.4</v>
      </c>
      <c r="H138" s="53" t="n">
        <v>49.7</v>
      </c>
      <c r="I138" s="53" t="n">
        <v>35.2</v>
      </c>
      <c r="J138" s="53" t="n">
        <v>6.2</v>
      </c>
      <c r="K138" s="53" t="n">
        <v>4</v>
      </c>
      <c r="L138" s="53" t="n">
        <v>5</v>
      </c>
      <c r="M138" s="53" t="n">
        <v>0</v>
      </c>
      <c r="N138" s="53" t="n">
        <v>1</v>
      </c>
      <c r="O138" s="53" t="n">
        <v>4</v>
      </c>
      <c r="P138" s="53" t="n">
        <v>60</v>
      </c>
      <c r="Q138" s="53" t="n">
        <v>5.08108108108108</v>
      </c>
      <c r="R138" s="53" t="n">
        <v>700</v>
      </c>
      <c r="S138" s="53" t="n">
        <v>0</v>
      </c>
      <c r="T138" s="53" t="n">
        <v>5</v>
      </c>
      <c r="U138" s="53" t="n">
        <v>0</v>
      </c>
      <c r="V138" s="53" t="n">
        <v>0</v>
      </c>
      <c r="W138" s="53" t="n">
        <v>0</v>
      </c>
      <c r="X138" s="53" t="n">
        <v>11</v>
      </c>
    </row>
    <row r="139">
      <c r="A139" s="53" t="inlineStr">
        <is>
          <t>Macadamia nutshell</t>
        </is>
      </c>
      <c r="B139" s="53" t="n">
        <v>29.5</v>
      </c>
      <c r="C139" s="53" t="n">
        <v>30</v>
      </c>
      <c r="D139" s="53" t="n">
        <v>40.1</v>
      </c>
      <c r="E139" s="53" t="n">
        <v>76.25</v>
      </c>
      <c r="F139" s="53" t="n">
        <v>0.36</v>
      </c>
      <c r="G139" s="53" t="n">
        <v>23.4</v>
      </c>
      <c r="H139" s="53" t="n">
        <v>49.7</v>
      </c>
      <c r="I139" s="53" t="n">
        <v>35.2</v>
      </c>
      <c r="J139" s="53" t="n">
        <v>6.2</v>
      </c>
      <c r="K139" s="53" t="n">
        <v>4</v>
      </c>
      <c r="L139" s="53" t="n">
        <v>5</v>
      </c>
      <c r="M139" s="53" t="n">
        <v>0</v>
      </c>
      <c r="N139" s="53" t="n">
        <v>1</v>
      </c>
      <c r="O139" s="53" t="n">
        <v>4</v>
      </c>
      <c r="P139" s="53" t="n">
        <v>60</v>
      </c>
      <c r="Q139" s="53" t="n">
        <v>5.08108108108108</v>
      </c>
      <c r="R139" s="53" t="n">
        <v>900</v>
      </c>
      <c r="S139" s="53" t="n">
        <v>0</v>
      </c>
      <c r="T139" s="53" t="n">
        <v>5</v>
      </c>
      <c r="U139" s="53" t="n">
        <v>0</v>
      </c>
      <c r="V139" s="53" t="n">
        <v>0</v>
      </c>
      <c r="W139" s="53" t="n">
        <v>0</v>
      </c>
      <c r="X139" s="53" t="n">
        <v>12</v>
      </c>
    </row>
    <row r="140">
      <c r="A140" s="53" t="inlineStr">
        <is>
          <t>Macadamia nutshell</t>
        </is>
      </c>
      <c r="B140" s="53" t="n">
        <v>29.5</v>
      </c>
      <c r="C140" s="53" t="n">
        <v>30</v>
      </c>
      <c r="D140" s="53" t="n">
        <v>40.1</v>
      </c>
      <c r="E140" s="53" t="n">
        <v>76.25</v>
      </c>
      <c r="F140" s="53" t="n">
        <v>0.36</v>
      </c>
      <c r="G140" s="53" t="n">
        <v>23.4</v>
      </c>
      <c r="H140" s="53" t="n">
        <v>49.7</v>
      </c>
      <c r="I140" s="53" t="n">
        <v>35.2</v>
      </c>
      <c r="J140" s="53" t="n">
        <v>6.2</v>
      </c>
      <c r="K140" s="53" t="n">
        <v>4</v>
      </c>
      <c r="L140" s="53" t="n">
        <v>5</v>
      </c>
      <c r="M140" s="53" t="n">
        <v>0</v>
      </c>
      <c r="N140" s="53" t="n">
        <v>1</v>
      </c>
      <c r="O140" s="53" t="n">
        <v>4</v>
      </c>
      <c r="P140" s="53" t="n">
        <v>60</v>
      </c>
      <c r="Q140" s="53" t="n">
        <v>5.08108108108108</v>
      </c>
      <c r="R140" s="53" t="n">
        <v>1100</v>
      </c>
      <c r="S140" s="53" t="n">
        <v>0</v>
      </c>
      <c r="T140" s="53" t="n">
        <v>5</v>
      </c>
      <c r="U140" s="53" t="n">
        <v>0</v>
      </c>
      <c r="V140" s="53" t="n">
        <v>0</v>
      </c>
      <c r="W140" s="53" t="n">
        <v>0</v>
      </c>
      <c r="X140" s="53" t="n">
        <v>12</v>
      </c>
    </row>
    <row r="141">
      <c r="A141" s="53" t="inlineStr">
        <is>
          <t>Mangosteen shell</t>
        </is>
      </c>
      <c r="B141" s="53" t="n">
        <v>26.22</v>
      </c>
      <c r="C141" s="53" t="n">
        <v>15.39</v>
      </c>
      <c r="D141" s="53" t="n">
        <v>48.52</v>
      </c>
      <c r="E141" s="53" t="n">
        <v>62.28</v>
      </c>
      <c r="F141" s="53" t="n">
        <v>1.85</v>
      </c>
      <c r="G141" s="53" t="n">
        <v>32.29</v>
      </c>
      <c r="H141" s="53" t="n">
        <v>48.81</v>
      </c>
      <c r="I141" s="53" t="n">
        <v>42.7</v>
      </c>
      <c r="J141" s="53" t="n">
        <v>5.73</v>
      </c>
      <c r="K141" s="53" t="n">
        <v>4</v>
      </c>
      <c r="L141" s="53" t="n">
        <v>5</v>
      </c>
      <c r="M141" s="53" t="n">
        <v>0</v>
      </c>
      <c r="N141" s="53" t="n">
        <v>1</v>
      </c>
      <c r="O141" s="53" t="n">
        <v>4</v>
      </c>
      <c r="P141" s="53" t="n">
        <v>120</v>
      </c>
      <c r="Q141" s="53" t="n">
        <v>3</v>
      </c>
      <c r="R141" s="53" t="n">
        <v>800</v>
      </c>
      <c r="S141" s="53" t="n">
        <v>0</v>
      </c>
      <c r="T141" s="53" t="n">
        <v>5</v>
      </c>
      <c r="U141" s="53" t="n">
        <v>0</v>
      </c>
      <c r="V141" s="53" t="n">
        <v>0</v>
      </c>
      <c r="W141" s="53" t="n">
        <v>0</v>
      </c>
      <c r="X141" s="53" t="n">
        <v>1.38</v>
      </c>
    </row>
    <row r="142">
      <c r="A142" s="53" t="inlineStr">
        <is>
          <t>Mangosteen shell</t>
        </is>
      </c>
      <c r="B142" s="53" t="n">
        <v>26.22</v>
      </c>
      <c r="C142" s="53" t="n">
        <v>15.39</v>
      </c>
      <c r="D142" s="53" t="n">
        <v>48.52</v>
      </c>
      <c r="E142" s="53" t="n">
        <v>62.28</v>
      </c>
      <c r="F142" s="53" t="n">
        <v>1.85</v>
      </c>
      <c r="G142" s="53" t="n">
        <v>32.29</v>
      </c>
      <c r="H142" s="53" t="n">
        <v>48.81</v>
      </c>
      <c r="I142" s="53" t="n">
        <v>42.7</v>
      </c>
      <c r="J142" s="53" t="n">
        <v>5.73</v>
      </c>
      <c r="K142" s="53" t="n">
        <v>4</v>
      </c>
      <c r="L142" s="53" t="n">
        <v>5</v>
      </c>
      <c r="M142" s="53" t="n">
        <v>0</v>
      </c>
      <c r="N142" s="53" t="n">
        <v>1</v>
      </c>
      <c r="O142" s="53" t="n">
        <v>4</v>
      </c>
      <c r="P142" s="53" t="n">
        <v>120</v>
      </c>
      <c r="Q142" s="53" t="n">
        <v>3</v>
      </c>
      <c r="R142" s="53" t="n">
        <v>900</v>
      </c>
      <c r="S142" s="53" t="n">
        <v>0</v>
      </c>
      <c r="T142" s="53" t="n">
        <v>5</v>
      </c>
      <c r="U142" s="53" t="n">
        <v>0</v>
      </c>
      <c r="V142" s="53" t="n">
        <v>0</v>
      </c>
      <c r="W142" s="53" t="n">
        <v>0</v>
      </c>
      <c r="X142" s="53" t="n">
        <v>1.43</v>
      </c>
    </row>
    <row r="143">
      <c r="A143" s="53" t="inlineStr">
        <is>
          <t>Mangosteen shell</t>
        </is>
      </c>
      <c r="B143" s="53" t="n">
        <v>26.22</v>
      </c>
      <c r="C143" s="53" t="n">
        <v>15.39</v>
      </c>
      <c r="D143" s="53" t="n">
        <v>48.52</v>
      </c>
      <c r="E143" s="53" t="n">
        <v>62.28</v>
      </c>
      <c r="F143" s="53" t="n">
        <v>1.85</v>
      </c>
      <c r="G143" s="53" t="n">
        <v>32.29</v>
      </c>
      <c r="H143" s="53" t="n">
        <v>48.81</v>
      </c>
      <c r="I143" s="53" t="n">
        <v>42.7</v>
      </c>
      <c r="J143" s="53" t="n">
        <v>5.73</v>
      </c>
      <c r="K143" s="53" t="n">
        <v>4</v>
      </c>
      <c r="L143" s="53" t="n">
        <v>5</v>
      </c>
      <c r="M143" s="53" t="n">
        <v>0</v>
      </c>
      <c r="N143" s="53" t="n">
        <v>1</v>
      </c>
      <c r="O143" s="53" t="n">
        <v>4</v>
      </c>
      <c r="P143" s="53" t="n">
        <v>120</v>
      </c>
      <c r="Q143" s="53" t="n">
        <v>3</v>
      </c>
      <c r="R143" s="53" t="n">
        <v>1000</v>
      </c>
      <c r="S143" s="53" t="n">
        <v>0</v>
      </c>
      <c r="T143" s="53" t="n">
        <v>5</v>
      </c>
      <c r="U143" s="53" t="n">
        <v>0</v>
      </c>
      <c r="V143" s="53" t="n">
        <v>0</v>
      </c>
      <c r="W143" s="53" t="n">
        <v>0</v>
      </c>
      <c r="X143" s="53" t="n">
        <v>1.49</v>
      </c>
    </row>
    <row r="144">
      <c r="A144" s="53" t="inlineStr">
        <is>
          <t>Mangosteen shell</t>
        </is>
      </c>
      <c r="B144" s="53" t="n">
        <v>26.22</v>
      </c>
      <c r="C144" s="53" t="n">
        <v>15.39</v>
      </c>
      <c r="D144" s="53" t="n">
        <v>48.52</v>
      </c>
      <c r="E144" s="53" t="n">
        <v>62.28</v>
      </c>
      <c r="F144" s="53" t="n">
        <v>1.85</v>
      </c>
      <c r="G144" s="53" t="n">
        <v>32.29</v>
      </c>
      <c r="H144" s="53" t="n">
        <v>48.81</v>
      </c>
      <c r="I144" s="53" t="n">
        <v>42.7</v>
      </c>
      <c r="J144" s="53" t="n">
        <v>5.73</v>
      </c>
      <c r="K144" s="53" t="n">
        <v>4</v>
      </c>
      <c r="L144" s="53" t="n">
        <v>5</v>
      </c>
      <c r="M144" s="53" t="n">
        <v>0</v>
      </c>
      <c r="N144" s="53" t="n">
        <v>1</v>
      </c>
      <c r="O144" s="53" t="n">
        <v>4</v>
      </c>
      <c r="P144" s="53" t="n">
        <v>120</v>
      </c>
      <c r="Q144" s="53" t="n">
        <v>3</v>
      </c>
      <c r="R144" s="53" t="n">
        <v>1100</v>
      </c>
      <c r="S144" s="53" t="n">
        <v>0</v>
      </c>
      <c r="T144" s="53" t="n">
        <v>5</v>
      </c>
      <c r="U144" s="53" t="n">
        <v>0</v>
      </c>
      <c r="V144" s="53" t="n">
        <v>0</v>
      </c>
      <c r="W144" s="53" t="n">
        <v>0</v>
      </c>
      <c r="X144" s="53" t="n">
        <v>1.52</v>
      </c>
    </row>
    <row r="145">
      <c r="A145" s="53" t="inlineStr">
        <is>
          <t>Mangosteen shell</t>
        </is>
      </c>
      <c r="B145" s="53" t="n">
        <v>26.22</v>
      </c>
      <c r="C145" s="53" t="n">
        <v>15.39</v>
      </c>
      <c r="D145" s="53" t="n">
        <v>48.52</v>
      </c>
      <c r="E145" s="53" t="n">
        <v>62.28</v>
      </c>
      <c r="F145" s="53" t="n">
        <v>1.85</v>
      </c>
      <c r="G145" s="53" t="n">
        <v>32.29</v>
      </c>
      <c r="H145" s="53" t="n">
        <v>48.81</v>
      </c>
      <c r="I145" s="53" t="n">
        <v>42.7</v>
      </c>
      <c r="J145" s="53" t="n">
        <v>5.73</v>
      </c>
      <c r="K145" s="53" t="n">
        <v>4</v>
      </c>
      <c r="L145" s="53" t="n">
        <v>5</v>
      </c>
      <c r="M145" s="53" t="n">
        <v>0</v>
      </c>
      <c r="N145" s="53" t="n">
        <v>1</v>
      </c>
      <c r="O145" s="53" t="n">
        <v>4</v>
      </c>
      <c r="P145" s="53" t="n">
        <v>120</v>
      </c>
      <c r="Q145" s="53" t="n">
        <v>3</v>
      </c>
      <c r="R145" s="53" t="n">
        <v>1200</v>
      </c>
      <c r="S145" s="53" t="n">
        <v>0</v>
      </c>
      <c r="T145" s="53" t="n">
        <v>5</v>
      </c>
      <c r="U145" s="53" t="n">
        <v>0</v>
      </c>
      <c r="V145" s="53" t="n">
        <v>0</v>
      </c>
      <c r="W145" s="53" t="n">
        <v>0</v>
      </c>
      <c r="X145" s="53" t="n">
        <v>1.55</v>
      </c>
    </row>
    <row r="146">
      <c r="A146" s="53" t="inlineStr">
        <is>
          <t>Mangosteen shell</t>
        </is>
      </c>
      <c r="B146" s="53" t="n">
        <v>26.22</v>
      </c>
      <c r="C146" s="53" t="n">
        <v>15.39</v>
      </c>
      <c r="D146" s="53" t="n">
        <v>48.52</v>
      </c>
      <c r="E146" s="53" t="n">
        <v>62.28</v>
      </c>
      <c r="F146" s="53" t="n">
        <v>1.85</v>
      </c>
      <c r="G146" s="53" t="n">
        <v>32.29</v>
      </c>
      <c r="H146" s="53" t="n">
        <v>48.81</v>
      </c>
      <c r="I146" s="53" t="n">
        <v>42.7</v>
      </c>
      <c r="J146" s="53" t="n">
        <v>5.73</v>
      </c>
      <c r="K146" s="53" t="n">
        <v>4</v>
      </c>
      <c r="L146" s="53" t="n">
        <v>5</v>
      </c>
      <c r="M146" s="53" t="n">
        <v>0</v>
      </c>
      <c r="N146" s="53" t="n">
        <v>1</v>
      </c>
      <c r="O146" s="53" t="n">
        <v>4</v>
      </c>
      <c r="P146" s="53" t="n">
        <v>120</v>
      </c>
      <c r="Q146" s="53" t="n">
        <v>3</v>
      </c>
      <c r="R146" s="53" t="n">
        <v>1300</v>
      </c>
      <c r="S146" s="53" t="n">
        <v>0</v>
      </c>
      <c r="T146" s="53" t="n">
        <v>5</v>
      </c>
      <c r="U146" s="53" t="n">
        <v>0</v>
      </c>
      <c r="V146" s="53" t="n">
        <v>0</v>
      </c>
      <c r="W146" s="53" t="n">
        <v>0</v>
      </c>
      <c r="X146" s="53" t="n">
        <v>1.58</v>
      </c>
    </row>
    <row r="147">
      <c r="A147" s="53" t="inlineStr">
        <is>
          <t>Mangosteen shell</t>
        </is>
      </c>
      <c r="B147" s="53" t="n">
        <v>26.22</v>
      </c>
      <c r="C147" s="53" t="n">
        <v>15.39</v>
      </c>
      <c r="D147" s="53" t="n">
        <v>48.52</v>
      </c>
      <c r="E147" s="53" t="n">
        <v>62.28</v>
      </c>
      <c r="F147" s="53" t="n">
        <v>1.85</v>
      </c>
      <c r="G147" s="53" t="n">
        <v>32.29</v>
      </c>
      <c r="H147" s="53" t="n">
        <v>48.81</v>
      </c>
      <c r="I147" s="53" t="n">
        <v>42.7</v>
      </c>
      <c r="J147" s="53" t="n">
        <v>5.73</v>
      </c>
      <c r="K147" s="53" t="n">
        <v>4</v>
      </c>
      <c r="L147" s="53" t="n">
        <v>5</v>
      </c>
      <c r="M147" s="53" t="n">
        <v>0</v>
      </c>
      <c r="N147" s="53" t="n">
        <v>1</v>
      </c>
      <c r="O147" s="53" t="n">
        <v>4</v>
      </c>
      <c r="P147" s="53" t="n">
        <v>120</v>
      </c>
      <c r="Q147" s="53" t="n">
        <v>3</v>
      </c>
      <c r="R147" s="53" t="n">
        <v>1400</v>
      </c>
      <c r="S147" s="53" t="n">
        <v>0</v>
      </c>
      <c r="T147" s="53" t="n">
        <v>5</v>
      </c>
      <c r="U147" s="53" t="n">
        <v>0</v>
      </c>
      <c r="V147" s="53" t="n">
        <v>0</v>
      </c>
      <c r="W147" s="53" t="n">
        <v>0</v>
      </c>
      <c r="X147" s="53" t="n">
        <v>1.61</v>
      </c>
    </row>
    <row r="148">
      <c r="A148" s="53" t="inlineStr">
        <is>
          <t>Mangosteen shell</t>
        </is>
      </c>
      <c r="B148" s="53" t="n">
        <v>26.22</v>
      </c>
      <c r="C148" s="53" t="n">
        <v>15.39</v>
      </c>
      <c r="D148" s="53" t="n">
        <v>48.52</v>
      </c>
      <c r="E148" s="53" t="n">
        <v>62.28</v>
      </c>
      <c r="F148" s="53" t="n">
        <v>1.85</v>
      </c>
      <c r="G148" s="53" t="n">
        <v>32.29</v>
      </c>
      <c r="H148" s="53" t="n">
        <v>48.81</v>
      </c>
      <c r="I148" s="53" t="n">
        <v>42.7</v>
      </c>
      <c r="J148" s="53" t="n">
        <v>5.73</v>
      </c>
      <c r="K148" s="53" t="n">
        <v>4</v>
      </c>
      <c r="L148" s="53" t="n">
        <v>5</v>
      </c>
      <c r="M148" s="53" t="n">
        <v>0</v>
      </c>
      <c r="N148" s="53" t="n">
        <v>1</v>
      </c>
      <c r="O148" s="53" t="n">
        <v>4</v>
      </c>
      <c r="P148" s="53" t="n">
        <v>120</v>
      </c>
      <c r="Q148" s="53" t="n">
        <v>3</v>
      </c>
      <c r="R148" s="53" t="n">
        <v>1500</v>
      </c>
      <c r="S148" s="53" t="n">
        <v>0</v>
      </c>
      <c r="T148" s="53" t="n">
        <v>5</v>
      </c>
      <c r="U148" s="53" t="n">
        <v>0</v>
      </c>
      <c r="V148" s="53" t="n">
        <v>0</v>
      </c>
      <c r="W148" s="53" t="n">
        <v>0</v>
      </c>
      <c r="X148" s="53" t="n">
        <v>1.64</v>
      </c>
    </row>
    <row r="149">
      <c r="A149" s="53" t="inlineStr">
        <is>
          <t>Mangosteen shell</t>
        </is>
      </c>
      <c r="B149" s="53" t="n">
        <v>26.22</v>
      </c>
      <c r="C149" s="53" t="n">
        <v>15.39</v>
      </c>
      <c r="D149" s="53" t="n">
        <v>48.52</v>
      </c>
      <c r="E149" s="53" t="n">
        <v>62.28</v>
      </c>
      <c r="F149" s="53" t="n">
        <v>1.85</v>
      </c>
      <c r="G149" s="53" t="n">
        <v>32.29</v>
      </c>
      <c r="H149" s="53" t="n">
        <v>48.81</v>
      </c>
      <c r="I149" s="53" t="n">
        <v>42.7</v>
      </c>
      <c r="J149" s="53" t="n">
        <v>5.73</v>
      </c>
      <c r="K149" s="53" t="n">
        <v>4</v>
      </c>
      <c r="L149" s="53" t="n">
        <v>5</v>
      </c>
      <c r="M149" s="53" t="n">
        <v>0</v>
      </c>
      <c r="N149" s="53" t="n">
        <v>1</v>
      </c>
      <c r="O149" s="53" t="n">
        <v>4</v>
      </c>
      <c r="P149" s="53" t="n">
        <v>120</v>
      </c>
      <c r="Q149" s="53" t="n">
        <v>3</v>
      </c>
      <c r="R149" s="53" t="n">
        <v>1600</v>
      </c>
      <c r="S149" s="53" t="n">
        <v>0</v>
      </c>
      <c r="T149" s="53" t="n">
        <v>5</v>
      </c>
      <c r="U149" s="53" t="n">
        <v>0</v>
      </c>
      <c r="V149" s="53" t="n">
        <v>0</v>
      </c>
      <c r="W149" s="53" t="n">
        <v>0</v>
      </c>
      <c r="X149" s="53" t="n">
        <v>1.65</v>
      </c>
    </row>
    <row r="150">
      <c r="A150" s="53" t="inlineStr">
        <is>
          <t>Olive Shells</t>
        </is>
      </c>
      <c r="B150" s="53" t="n">
        <v>53.5</v>
      </c>
      <c r="C150" s="53" t="n">
        <v>22.3</v>
      </c>
      <c r="D150" s="53" t="n">
        <v>22.5</v>
      </c>
      <c r="E150" s="53" t="n">
        <v>89.3</v>
      </c>
      <c r="F150" s="53" t="n">
        <v>0.6</v>
      </c>
      <c r="G150" s="53" t="n">
        <v>10</v>
      </c>
      <c r="H150" s="53" t="n">
        <v>49.5</v>
      </c>
      <c r="I150" s="53" t="n">
        <v>40.7</v>
      </c>
      <c r="J150" s="53" t="n">
        <v>6.4</v>
      </c>
      <c r="K150" s="53" t="n">
        <v>4</v>
      </c>
      <c r="L150" s="53" t="n">
        <v>5</v>
      </c>
      <c r="M150" s="53" t="n">
        <v>0</v>
      </c>
      <c r="N150" s="53" t="n">
        <v>1</v>
      </c>
      <c r="O150" s="53" t="n">
        <v>4</v>
      </c>
      <c r="P150" s="53" t="n">
        <v>120</v>
      </c>
      <c r="Q150" s="53" t="n">
        <v>5</v>
      </c>
      <c r="R150" s="53" t="n">
        <v>1300</v>
      </c>
      <c r="S150" s="53" t="n">
        <v>0</v>
      </c>
      <c r="T150" s="53" t="n">
        <v>5</v>
      </c>
      <c r="U150" s="53" t="n">
        <v>0</v>
      </c>
      <c r="V150" s="53" t="n">
        <v>0</v>
      </c>
      <c r="W150" s="53" t="n">
        <v>0</v>
      </c>
      <c r="X150" s="53" t="n">
        <v>0.66</v>
      </c>
    </row>
    <row r="151">
      <c r="A151" s="53" t="inlineStr">
        <is>
          <t>Olive Shells</t>
        </is>
      </c>
      <c r="B151" s="53" t="n">
        <v>53.5</v>
      </c>
      <c r="C151" s="53" t="n">
        <v>22.3</v>
      </c>
      <c r="D151" s="53" t="n">
        <v>22.5</v>
      </c>
      <c r="E151" s="53" t="n">
        <v>89.3</v>
      </c>
      <c r="F151" s="53" t="n">
        <v>0.6</v>
      </c>
      <c r="G151" s="53" t="n">
        <v>10</v>
      </c>
      <c r="H151" s="53" t="n">
        <v>49.5</v>
      </c>
      <c r="I151" s="53" t="n">
        <v>40.7</v>
      </c>
      <c r="J151" s="53" t="n">
        <v>6.4</v>
      </c>
      <c r="K151" s="53" t="n">
        <v>4</v>
      </c>
      <c r="L151" s="53" t="n">
        <v>5</v>
      </c>
      <c r="M151" s="53" t="n">
        <v>0</v>
      </c>
      <c r="N151" s="53" t="n">
        <v>1</v>
      </c>
      <c r="O151" s="53" t="n">
        <v>4</v>
      </c>
      <c r="P151" s="53" t="n">
        <v>120</v>
      </c>
      <c r="Q151" s="53" t="n">
        <v>5</v>
      </c>
      <c r="R151" s="53" t="n">
        <v>1200</v>
      </c>
      <c r="S151" s="53" t="n">
        <v>0</v>
      </c>
      <c r="T151" s="53" t="n">
        <v>5</v>
      </c>
      <c r="U151" s="53" t="n">
        <v>0</v>
      </c>
      <c r="V151" s="53" t="n">
        <v>0</v>
      </c>
      <c r="W151" s="53" t="n">
        <v>0</v>
      </c>
      <c r="X151" s="53" t="n">
        <v>0.67</v>
      </c>
    </row>
    <row r="152">
      <c r="A152" s="53" t="inlineStr">
        <is>
          <t>Olive Shells</t>
        </is>
      </c>
      <c r="B152" s="53" t="n">
        <v>53.5</v>
      </c>
      <c r="C152" s="53" t="n">
        <v>22.3</v>
      </c>
      <c r="D152" s="53" t="n">
        <v>22.5</v>
      </c>
      <c r="E152" s="53" t="n">
        <v>89.3</v>
      </c>
      <c r="F152" s="53" t="n">
        <v>0.6</v>
      </c>
      <c r="G152" s="53" t="n">
        <v>10</v>
      </c>
      <c r="H152" s="53" t="n">
        <v>49.5</v>
      </c>
      <c r="I152" s="53" t="n">
        <v>40.7</v>
      </c>
      <c r="J152" s="53" t="n">
        <v>6.4</v>
      </c>
      <c r="K152" s="53" t="n">
        <v>4</v>
      </c>
      <c r="L152" s="53" t="n">
        <v>5</v>
      </c>
      <c r="M152" s="53" t="n">
        <v>0</v>
      </c>
      <c r="N152" s="53" t="n">
        <v>1</v>
      </c>
      <c r="O152" s="53" t="n">
        <v>4</v>
      </c>
      <c r="P152" s="53" t="n">
        <v>120</v>
      </c>
      <c r="Q152" s="53" t="n">
        <v>5</v>
      </c>
      <c r="R152" s="53" t="n">
        <v>1400</v>
      </c>
      <c r="S152" s="53" t="n">
        <v>0</v>
      </c>
      <c r="T152" s="53" t="n">
        <v>5</v>
      </c>
      <c r="U152" s="53" t="n">
        <v>0</v>
      </c>
      <c r="V152" s="53" t="n">
        <v>0</v>
      </c>
      <c r="W152" s="53" t="n">
        <v>0</v>
      </c>
      <c r="X152" s="53" t="n">
        <v>0.73</v>
      </c>
    </row>
    <row r="153">
      <c r="A153" s="53" t="inlineStr">
        <is>
          <t>Olive Shells</t>
        </is>
      </c>
      <c r="B153" s="53" t="n">
        <v>53.5</v>
      </c>
      <c r="C153" s="53" t="n">
        <v>22.3</v>
      </c>
      <c r="D153" s="53" t="n">
        <v>22.5</v>
      </c>
      <c r="E153" s="53" t="n">
        <v>89.3</v>
      </c>
      <c r="F153" s="53" t="n">
        <v>0.6</v>
      </c>
      <c r="G153" s="53" t="n">
        <v>10</v>
      </c>
      <c r="H153" s="53" t="n">
        <v>49.5</v>
      </c>
      <c r="I153" s="53" t="n">
        <v>40.7</v>
      </c>
      <c r="J153" s="53" t="n">
        <v>6.4</v>
      </c>
      <c r="K153" s="53" t="n">
        <v>4</v>
      </c>
      <c r="L153" s="53" t="n">
        <v>5</v>
      </c>
      <c r="M153" s="53" t="n">
        <v>1</v>
      </c>
      <c r="N153" s="53" t="n">
        <v>1</v>
      </c>
      <c r="O153" s="53" t="n">
        <v>4</v>
      </c>
      <c r="P153" s="53" t="n">
        <v>120</v>
      </c>
      <c r="Q153" s="53" t="n">
        <v>5</v>
      </c>
      <c r="R153" s="53" t="n">
        <v>300</v>
      </c>
      <c r="S153" s="53" t="n">
        <v>1</v>
      </c>
      <c r="T153" s="53" t="n">
        <v>5</v>
      </c>
      <c r="U153" s="53" t="n">
        <v>120</v>
      </c>
      <c r="V153" s="53" t="n">
        <v>5</v>
      </c>
      <c r="W153" s="53" t="n">
        <v>1300</v>
      </c>
      <c r="X153" s="53" t="n">
        <v>0.73</v>
      </c>
    </row>
    <row r="154">
      <c r="A154" s="53" t="inlineStr">
        <is>
          <t>Olive Shells</t>
        </is>
      </c>
      <c r="B154" s="53" t="n">
        <v>53.5</v>
      </c>
      <c r="C154" s="53" t="n">
        <v>22.3</v>
      </c>
      <c r="D154" s="53" t="n">
        <v>22.5</v>
      </c>
      <c r="E154" s="53" t="n">
        <v>89.3</v>
      </c>
      <c r="F154" s="53" t="n">
        <v>0.6</v>
      </c>
      <c r="G154" s="53" t="n">
        <v>10</v>
      </c>
      <c r="H154" s="53" t="n">
        <v>49.5</v>
      </c>
      <c r="I154" s="53" t="n">
        <v>40.7</v>
      </c>
      <c r="J154" s="53" t="n">
        <v>6.4</v>
      </c>
      <c r="K154" s="53" t="n">
        <v>4</v>
      </c>
      <c r="L154" s="53" t="n">
        <v>5</v>
      </c>
      <c r="M154" s="53" t="n">
        <v>1</v>
      </c>
      <c r="N154" s="53" t="n">
        <v>1</v>
      </c>
      <c r="O154" s="53" t="n">
        <v>4</v>
      </c>
      <c r="P154" s="53" t="n">
        <v>120</v>
      </c>
      <c r="Q154" s="53" t="n">
        <v>5</v>
      </c>
      <c r="R154" s="53" t="n">
        <v>300</v>
      </c>
      <c r="S154" s="53" t="n">
        <v>1</v>
      </c>
      <c r="T154" s="53" t="n">
        <v>5</v>
      </c>
      <c r="U154" s="53" t="n">
        <v>120</v>
      </c>
      <c r="V154" s="53" t="n">
        <v>5</v>
      </c>
      <c r="W154" s="53" t="n">
        <v>1300</v>
      </c>
      <c r="X154" s="53" t="n">
        <v>0.8</v>
      </c>
    </row>
    <row r="155">
      <c r="A155" s="53" t="inlineStr">
        <is>
          <t>Olive Shells</t>
        </is>
      </c>
      <c r="B155" s="53" t="n">
        <v>53.5</v>
      </c>
      <c r="C155" s="53" t="n">
        <v>22.3</v>
      </c>
      <c r="D155" s="53" t="n">
        <v>22.5</v>
      </c>
      <c r="E155" s="53" t="n">
        <v>89.3</v>
      </c>
      <c r="F155" s="53" t="n">
        <v>0.6</v>
      </c>
      <c r="G155" s="53" t="n">
        <v>10</v>
      </c>
      <c r="H155" s="53" t="n">
        <v>49.5</v>
      </c>
      <c r="I155" s="53" t="n">
        <v>40.7</v>
      </c>
      <c r="J155" s="53" t="n">
        <v>6.4</v>
      </c>
      <c r="K155" s="53" t="n">
        <v>4</v>
      </c>
      <c r="L155" s="53" t="n">
        <v>5</v>
      </c>
      <c r="M155" s="53" t="n">
        <v>1</v>
      </c>
      <c r="N155" s="53" t="n">
        <v>1</v>
      </c>
      <c r="O155" s="53" t="n">
        <v>4</v>
      </c>
      <c r="P155" s="53" t="n">
        <v>120</v>
      </c>
      <c r="Q155" s="53" t="n">
        <v>5</v>
      </c>
      <c r="R155" s="53" t="n">
        <v>300</v>
      </c>
      <c r="S155" s="53" t="n">
        <v>1</v>
      </c>
      <c r="T155" s="53" t="n">
        <v>5</v>
      </c>
      <c r="U155" s="53" t="n">
        <v>120</v>
      </c>
      <c r="V155" s="53" t="n">
        <v>5</v>
      </c>
      <c r="W155" s="53" t="n">
        <v>1300</v>
      </c>
      <c r="X155" s="53" t="n">
        <v>0.88</v>
      </c>
    </row>
    <row r="156">
      <c r="A156" s="53" t="inlineStr">
        <is>
          <t>Paulownia wood</t>
        </is>
      </c>
      <c r="B156" s="53" t="n">
        <v>44.25</v>
      </c>
      <c r="C156" s="53" t="n">
        <v>24.8</v>
      </c>
      <c r="D156" s="53" t="n">
        <v>22.61</v>
      </c>
      <c r="E156" s="53" t="n">
        <v>71.8</v>
      </c>
      <c r="F156" s="53" t="n">
        <v>1.06</v>
      </c>
      <c r="G156" s="53" t="n">
        <v>20.6</v>
      </c>
      <c r="H156" s="53" t="n">
        <v>44.73</v>
      </c>
      <c r="I156" s="53" t="n">
        <v>48.28</v>
      </c>
      <c r="J156" s="53" t="n">
        <v>6.1</v>
      </c>
      <c r="K156" s="53" t="n">
        <v>1</v>
      </c>
      <c r="L156" s="53" t="n">
        <v>5</v>
      </c>
      <c r="M156" s="53" t="n">
        <v>1</v>
      </c>
      <c r="N156" s="53" t="n">
        <v>1</v>
      </c>
      <c r="O156" s="53" t="n">
        <v>4</v>
      </c>
      <c r="P156" s="53" t="n">
        <v>120</v>
      </c>
      <c r="Q156" s="53" t="n">
        <v>5</v>
      </c>
      <c r="R156" s="53" t="n">
        <v>600</v>
      </c>
      <c r="S156" s="53" t="n">
        <v>1</v>
      </c>
      <c r="T156" s="53" t="n">
        <v>5</v>
      </c>
      <c r="U156" s="53" t="n">
        <v>120</v>
      </c>
      <c r="V156" s="53" t="n">
        <v>5</v>
      </c>
      <c r="W156" s="53" t="n">
        <v>1000</v>
      </c>
      <c r="X156" s="53" t="n">
        <v>1.15</v>
      </c>
    </row>
    <row r="157">
      <c r="A157" s="53" t="inlineStr">
        <is>
          <t>Paulownia wood</t>
        </is>
      </c>
      <c r="B157" s="53" t="n">
        <v>44.25</v>
      </c>
      <c r="C157" s="53" t="n">
        <v>24.8</v>
      </c>
      <c r="D157" s="53" t="n">
        <v>22.61</v>
      </c>
      <c r="E157" s="53" t="n">
        <v>71.8</v>
      </c>
      <c r="F157" s="53" t="n">
        <v>1.06</v>
      </c>
      <c r="G157" s="53" t="n">
        <v>20.6</v>
      </c>
      <c r="H157" s="53" t="n">
        <v>44.73</v>
      </c>
      <c r="I157" s="53" t="n">
        <v>48.28</v>
      </c>
      <c r="J157" s="53" t="n">
        <v>6.1</v>
      </c>
      <c r="K157" s="53" t="n">
        <v>1</v>
      </c>
      <c r="L157" s="53" t="n">
        <v>5</v>
      </c>
      <c r="M157" s="53" t="n">
        <v>1</v>
      </c>
      <c r="N157" s="53" t="n">
        <v>1</v>
      </c>
      <c r="O157" s="53" t="n">
        <v>4</v>
      </c>
      <c r="P157" s="53" t="n">
        <v>120</v>
      </c>
      <c r="Q157" s="53" t="n">
        <v>5</v>
      </c>
      <c r="R157" s="53" t="n">
        <v>600</v>
      </c>
      <c r="S157" s="53" t="n">
        <v>1</v>
      </c>
      <c r="T157" s="53" t="n">
        <v>5</v>
      </c>
      <c r="U157" s="53" t="n">
        <v>120</v>
      </c>
      <c r="V157" s="53" t="n">
        <v>5</v>
      </c>
      <c r="W157" s="53" t="n">
        <v>1100</v>
      </c>
      <c r="X157" s="53" t="n">
        <v>1.25</v>
      </c>
    </row>
    <row r="158">
      <c r="A158" s="53" t="inlineStr">
        <is>
          <t>Paulownia wood</t>
        </is>
      </c>
      <c r="B158" s="53" t="n">
        <v>44.25</v>
      </c>
      <c r="C158" s="53" t="n">
        <v>24.8</v>
      </c>
      <c r="D158" s="53" t="n">
        <v>22.61</v>
      </c>
      <c r="E158" s="53" t="n">
        <v>71.8</v>
      </c>
      <c r="F158" s="53" t="n">
        <v>1.06</v>
      </c>
      <c r="G158" s="53" t="n">
        <v>20.6</v>
      </c>
      <c r="H158" s="53" t="n">
        <v>44.73</v>
      </c>
      <c r="I158" s="53" t="n">
        <v>48.28</v>
      </c>
      <c r="J158" s="53" t="n">
        <v>6.1</v>
      </c>
      <c r="K158" s="53" t="n">
        <v>1</v>
      </c>
      <c r="L158" s="53" t="n">
        <v>5</v>
      </c>
      <c r="M158" s="53" t="n">
        <v>1</v>
      </c>
      <c r="N158" s="53" t="n">
        <v>1</v>
      </c>
      <c r="O158" s="53" t="n">
        <v>4</v>
      </c>
      <c r="P158" s="53" t="n">
        <v>120</v>
      </c>
      <c r="Q158" s="53" t="n">
        <v>5</v>
      </c>
      <c r="R158" s="53" t="n">
        <v>600</v>
      </c>
      <c r="S158" s="53" t="n">
        <v>1</v>
      </c>
      <c r="T158" s="53" t="n">
        <v>5</v>
      </c>
      <c r="U158" s="53" t="n">
        <v>120</v>
      </c>
      <c r="V158" s="53" t="n">
        <v>5</v>
      </c>
      <c r="W158" s="53" t="n">
        <v>1200</v>
      </c>
      <c r="X158" s="53" t="n">
        <v>1.28</v>
      </c>
    </row>
    <row r="159">
      <c r="A159" s="53" t="inlineStr">
        <is>
          <t>Paulownia wood</t>
        </is>
      </c>
      <c r="B159" s="53" t="n">
        <v>44.25</v>
      </c>
      <c r="C159" s="53" t="n">
        <v>24.8</v>
      </c>
      <c r="D159" s="53" t="n">
        <v>22.61</v>
      </c>
      <c r="E159" s="53" t="n">
        <v>71.8</v>
      </c>
      <c r="F159" s="53" t="n">
        <v>1.06</v>
      </c>
      <c r="G159" s="53" t="n">
        <v>20.6</v>
      </c>
      <c r="H159" s="53" t="n">
        <v>44.73</v>
      </c>
      <c r="I159" s="53" t="n">
        <v>48.28</v>
      </c>
      <c r="J159" s="53" t="n">
        <v>6.1</v>
      </c>
      <c r="K159" s="53" t="n">
        <v>1</v>
      </c>
      <c r="L159" s="53" t="n">
        <v>5</v>
      </c>
      <c r="M159" s="53" t="n">
        <v>1</v>
      </c>
      <c r="N159" s="53" t="n">
        <v>1</v>
      </c>
      <c r="O159" s="53" t="n">
        <v>4</v>
      </c>
      <c r="P159" s="53" t="n">
        <v>120</v>
      </c>
      <c r="Q159" s="53" t="n">
        <v>5</v>
      </c>
      <c r="R159" s="53" t="n">
        <v>600</v>
      </c>
      <c r="S159" s="53" t="n">
        <v>1</v>
      </c>
      <c r="T159" s="53" t="n">
        <v>5</v>
      </c>
      <c r="U159" s="53" t="n">
        <v>120</v>
      </c>
      <c r="V159" s="53" t="n">
        <v>5</v>
      </c>
      <c r="W159" s="53" t="n">
        <v>1300</v>
      </c>
      <c r="X159" s="53" t="n">
        <v>1.29</v>
      </c>
    </row>
    <row r="160">
      <c r="A160" s="53" t="inlineStr">
        <is>
          <t>Paulownia wood</t>
        </is>
      </c>
      <c r="B160" s="53" t="n">
        <v>44.25</v>
      </c>
      <c r="C160" s="53" t="n">
        <v>24.8</v>
      </c>
      <c r="D160" s="53" t="n">
        <v>22.61</v>
      </c>
      <c r="E160" s="53" t="n">
        <v>71.8</v>
      </c>
      <c r="F160" s="53" t="n">
        <v>1.06</v>
      </c>
      <c r="G160" s="53" t="n">
        <v>20.6</v>
      </c>
      <c r="H160" s="53" t="n">
        <v>44.73</v>
      </c>
      <c r="I160" s="53" t="n">
        <v>48.28</v>
      </c>
      <c r="J160" s="53" t="n">
        <v>6.1</v>
      </c>
      <c r="K160" s="53" t="n">
        <v>1</v>
      </c>
      <c r="L160" s="53" t="n">
        <v>5</v>
      </c>
      <c r="M160" s="53" t="n">
        <v>1</v>
      </c>
      <c r="N160" s="53" t="n">
        <v>1</v>
      </c>
      <c r="O160" s="53" t="n">
        <v>4</v>
      </c>
      <c r="P160" s="53" t="n">
        <v>120</v>
      </c>
      <c r="Q160" s="53" t="n">
        <v>5</v>
      </c>
      <c r="R160" s="53" t="n">
        <v>600</v>
      </c>
      <c r="S160" s="53" t="n">
        <v>1</v>
      </c>
      <c r="T160" s="53" t="n">
        <v>5</v>
      </c>
      <c r="U160" s="53" t="n">
        <v>120</v>
      </c>
      <c r="V160" s="53" t="n">
        <v>5</v>
      </c>
      <c r="W160" s="53" t="n">
        <v>1400</v>
      </c>
      <c r="X160" s="53" t="n">
        <v>1.48</v>
      </c>
    </row>
    <row r="161">
      <c r="A161" s="53" t="inlineStr">
        <is>
          <t>Peanut skin</t>
        </is>
      </c>
      <c r="B161" s="53" t="n">
        <v>30</v>
      </c>
      <c r="C161" s="53" t="n">
        <v>20</v>
      </c>
      <c r="D161" s="53" t="n">
        <v>32</v>
      </c>
      <c r="E161" s="53" t="n">
        <v>77.3537993726442</v>
      </c>
      <c r="F161" s="53" t="n">
        <v>3.27902428678273</v>
      </c>
      <c r="G161" s="53" t="n">
        <v>15.2615332636271</v>
      </c>
      <c r="H161" s="53" t="n">
        <v>44.506272442111</v>
      </c>
      <c r="I161" s="53" t="n">
        <v>47.3301034802248</v>
      </c>
      <c r="J161" s="53" t="n">
        <v>5.76776304107581</v>
      </c>
      <c r="K161" s="53" t="n">
        <v>4</v>
      </c>
      <c r="L161" s="53" t="n">
        <v>1</v>
      </c>
      <c r="M161" s="53" t="n">
        <v>1</v>
      </c>
      <c r="N161" s="53" t="n">
        <v>0</v>
      </c>
      <c r="O161" s="53" t="n">
        <v>0</v>
      </c>
      <c r="P161" s="53" t="n">
        <v>1440</v>
      </c>
      <c r="Q161" s="53" t="n">
        <v>5.08108108108108</v>
      </c>
      <c r="R161" s="53" t="n">
        <v>180</v>
      </c>
      <c r="S161" s="53" t="n">
        <v>1</v>
      </c>
      <c r="T161" s="53" t="n">
        <v>8</v>
      </c>
      <c r="U161" s="53" t="n">
        <v>48.9473684210526</v>
      </c>
      <c r="V161" s="53" t="n">
        <v>1.73979591836735</v>
      </c>
      <c r="W161" s="53" t="n">
        <v>800</v>
      </c>
      <c r="X161" s="53" t="n">
        <v>0.6899999999999999</v>
      </c>
    </row>
    <row r="162">
      <c r="A162" s="53" t="inlineStr">
        <is>
          <t>Peanut skin</t>
        </is>
      </c>
      <c r="B162" s="53" t="n">
        <v>30</v>
      </c>
      <c r="C162" s="53" t="n">
        <v>20</v>
      </c>
      <c r="D162" s="53" t="n">
        <v>32</v>
      </c>
      <c r="E162" s="53" t="n">
        <v>77.3537993735514</v>
      </c>
      <c r="F162" s="53" t="n">
        <v>3.27902428671859</v>
      </c>
      <c r="G162" s="53" t="n">
        <v>15.2615332637279</v>
      </c>
      <c r="H162" s="53" t="n">
        <v>44.5062724425234</v>
      </c>
      <c r="I162" s="53" t="n">
        <v>47.3301034795743</v>
      </c>
      <c r="J162" s="53" t="n">
        <v>5.76776304106023</v>
      </c>
      <c r="K162" s="53" t="n">
        <v>4</v>
      </c>
      <c r="L162" s="53" t="n">
        <v>1</v>
      </c>
      <c r="M162" s="53" t="n">
        <v>1</v>
      </c>
      <c r="N162" s="53" t="n">
        <v>0</v>
      </c>
      <c r="O162" s="53" t="n">
        <v>0</v>
      </c>
      <c r="P162" s="53" t="n">
        <v>1440</v>
      </c>
      <c r="Q162" s="53" t="n">
        <v>5.08108108108108</v>
      </c>
      <c r="R162" s="53" t="n">
        <v>180</v>
      </c>
      <c r="S162" s="53" t="n">
        <v>1</v>
      </c>
      <c r="T162" s="53" t="n">
        <v>8</v>
      </c>
      <c r="U162" s="53" t="n">
        <v>48.9473684210526</v>
      </c>
      <c r="V162" s="53" t="n">
        <v>1.73979591836735</v>
      </c>
      <c r="W162" s="53" t="n">
        <v>800</v>
      </c>
      <c r="X162" s="53" t="n">
        <v>0.78</v>
      </c>
    </row>
    <row r="163">
      <c r="A163" s="53" t="inlineStr">
        <is>
          <t>Peanut skin</t>
        </is>
      </c>
      <c r="B163" s="53" t="n">
        <v>30</v>
      </c>
      <c r="C163" s="53" t="n">
        <v>20</v>
      </c>
      <c r="D163" s="53" t="n">
        <v>32</v>
      </c>
      <c r="E163" s="53" t="n">
        <v>77.3537993736269</v>
      </c>
      <c r="F163" s="53" t="n">
        <v>3.27902428671325</v>
      </c>
      <c r="G163" s="53" t="n">
        <v>15.2615332637363</v>
      </c>
      <c r="H163" s="53" t="n">
        <v>44.5062724425577</v>
      </c>
      <c r="I163" s="53" t="n">
        <v>47.3301034795201</v>
      </c>
      <c r="J163" s="53" t="n">
        <v>5.76776304105893</v>
      </c>
      <c r="K163" s="53" t="n">
        <v>4</v>
      </c>
      <c r="L163" s="53" t="n">
        <v>1</v>
      </c>
      <c r="M163" s="53" t="n">
        <v>1</v>
      </c>
      <c r="N163" s="53" t="n">
        <v>0</v>
      </c>
      <c r="O163" s="53" t="n">
        <v>0</v>
      </c>
      <c r="P163" s="53" t="n">
        <v>1440</v>
      </c>
      <c r="Q163" s="53" t="n">
        <v>5.08108108108108</v>
      </c>
      <c r="R163" s="53" t="n">
        <v>180</v>
      </c>
      <c r="S163" s="53" t="n">
        <v>1</v>
      </c>
      <c r="T163" s="53" t="n">
        <v>8</v>
      </c>
      <c r="U163" s="53" t="n">
        <v>48.9473684210526</v>
      </c>
      <c r="V163" s="53" t="n">
        <v>1.73979591836735</v>
      </c>
      <c r="W163" s="53" t="n">
        <v>800</v>
      </c>
      <c r="X163" s="53" t="n">
        <v>0.79</v>
      </c>
    </row>
    <row r="164">
      <c r="A164" s="53" t="inlineStr">
        <is>
          <t>Peanut skin</t>
        </is>
      </c>
      <c r="B164" s="53" t="n">
        <v>30</v>
      </c>
      <c r="C164" s="53" t="n">
        <v>20</v>
      </c>
      <c r="D164" s="53" t="n">
        <v>32</v>
      </c>
      <c r="E164" s="53" t="n">
        <v>77.3537993740789</v>
      </c>
      <c r="F164" s="53" t="n">
        <v>3.27902428668129</v>
      </c>
      <c r="G164" s="53" t="n">
        <v>15.2615332637865</v>
      </c>
      <c r="H164" s="53" t="n">
        <v>44.5062724427631</v>
      </c>
      <c r="I164" s="53" t="n">
        <v>47.330103479196</v>
      </c>
      <c r="J164" s="53" t="n">
        <v>5.76776304105117</v>
      </c>
      <c r="K164" s="53" t="n">
        <v>4</v>
      </c>
      <c r="L164" s="53" t="n">
        <v>1</v>
      </c>
      <c r="M164" s="53" t="n">
        <v>1</v>
      </c>
      <c r="N164" s="53" t="n">
        <v>0</v>
      </c>
      <c r="O164" s="53" t="n">
        <v>0</v>
      </c>
      <c r="P164" s="53" t="n">
        <v>1440</v>
      </c>
      <c r="Q164" s="53" t="n">
        <v>5.08108108108108</v>
      </c>
      <c r="R164" s="53" t="n">
        <v>180</v>
      </c>
      <c r="S164" s="53" t="n">
        <v>1</v>
      </c>
      <c r="T164" s="53" t="n">
        <v>8</v>
      </c>
      <c r="U164" s="53" t="n">
        <v>48.9473684210526</v>
      </c>
      <c r="V164" s="53" t="n">
        <v>1.73979591836735</v>
      </c>
      <c r="W164" s="53" t="n">
        <v>800</v>
      </c>
      <c r="X164" s="53" t="n">
        <v>0.88</v>
      </c>
    </row>
    <row r="165">
      <c r="A165" s="53" t="inlineStr">
        <is>
          <t>Peat moss</t>
        </is>
      </c>
      <c r="B165" s="53" t="n">
        <v>55</v>
      </c>
      <c r="C165" s="53" t="n">
        <v>65</v>
      </c>
      <c r="D165" s="53" t="n">
        <v>3</v>
      </c>
      <c r="E165" s="53" t="n">
        <v>69.2</v>
      </c>
      <c r="F165" s="53" t="n">
        <v>5.16</v>
      </c>
      <c r="G165" s="53" t="n">
        <v>25.3</v>
      </c>
      <c r="H165" s="53" t="n">
        <v>53.6</v>
      </c>
      <c r="I165" s="53" t="n">
        <v>32.9</v>
      </c>
      <c r="J165" s="53" t="n">
        <v>5.7</v>
      </c>
      <c r="K165" s="53" t="n">
        <v>4</v>
      </c>
      <c r="L165" s="53" t="n">
        <v>2</v>
      </c>
      <c r="M165" s="53" t="n">
        <v>0</v>
      </c>
      <c r="N165" s="53" t="n">
        <v>1</v>
      </c>
      <c r="O165" s="53" t="n">
        <v>4</v>
      </c>
      <c r="P165" s="53" t="n">
        <v>60</v>
      </c>
      <c r="Q165" s="53" t="n">
        <v>5</v>
      </c>
      <c r="R165" s="53" t="n">
        <v>900</v>
      </c>
      <c r="S165" s="53" t="n">
        <v>0</v>
      </c>
      <c r="T165" s="53" t="n">
        <v>5</v>
      </c>
      <c r="U165" s="53" t="n">
        <v>0</v>
      </c>
      <c r="V165" s="53" t="n">
        <v>0</v>
      </c>
      <c r="W165" s="53" t="n">
        <v>0</v>
      </c>
      <c r="X165" s="53" t="n">
        <v>1.79</v>
      </c>
    </row>
    <row r="166">
      <c r="A166" s="53" t="inlineStr">
        <is>
          <t>Peat moss</t>
        </is>
      </c>
      <c r="B166" s="53" t="n">
        <v>55</v>
      </c>
      <c r="C166" s="53" t="n">
        <v>65</v>
      </c>
      <c r="D166" s="53" t="n">
        <v>3</v>
      </c>
      <c r="E166" s="53" t="n">
        <v>69.2</v>
      </c>
      <c r="F166" s="53" t="n">
        <v>5.16</v>
      </c>
      <c r="G166" s="53" t="n">
        <v>25.3</v>
      </c>
      <c r="H166" s="53" t="n">
        <v>53.6</v>
      </c>
      <c r="I166" s="53" t="n">
        <v>32.9</v>
      </c>
      <c r="J166" s="53" t="n">
        <v>5.7</v>
      </c>
      <c r="K166" s="53" t="n">
        <v>4</v>
      </c>
      <c r="L166" s="53" t="n">
        <v>2</v>
      </c>
      <c r="M166" s="53" t="n">
        <v>0</v>
      </c>
      <c r="N166" s="53" t="n">
        <v>1</v>
      </c>
      <c r="O166" s="53" t="n">
        <v>4</v>
      </c>
      <c r="P166" s="53" t="n">
        <v>60</v>
      </c>
      <c r="Q166" s="53" t="n">
        <v>5</v>
      </c>
      <c r="R166" s="53" t="n">
        <v>600</v>
      </c>
      <c r="S166" s="53" t="n">
        <v>0</v>
      </c>
      <c r="T166" s="53" t="n">
        <v>5</v>
      </c>
      <c r="U166" s="53" t="n">
        <v>0</v>
      </c>
      <c r="V166" s="53" t="n">
        <v>0</v>
      </c>
      <c r="W166" s="53" t="n">
        <v>0</v>
      </c>
      <c r="X166" s="53" t="n">
        <v>1.8</v>
      </c>
    </row>
    <row r="167">
      <c r="A167" s="53" t="inlineStr">
        <is>
          <t>Peat moss</t>
        </is>
      </c>
      <c r="B167" s="53" t="n">
        <v>55</v>
      </c>
      <c r="C167" s="53" t="n">
        <v>65</v>
      </c>
      <c r="D167" s="53" t="n">
        <v>3</v>
      </c>
      <c r="E167" s="53" t="n">
        <v>69.2</v>
      </c>
      <c r="F167" s="53" t="n">
        <v>5.16</v>
      </c>
      <c r="G167" s="53" t="n">
        <v>25.3</v>
      </c>
      <c r="H167" s="53" t="n">
        <v>53.6</v>
      </c>
      <c r="I167" s="53" t="n">
        <v>32.9</v>
      </c>
      <c r="J167" s="53" t="n">
        <v>5.7</v>
      </c>
      <c r="K167" s="53" t="n">
        <v>4</v>
      </c>
      <c r="L167" s="53" t="n">
        <v>2</v>
      </c>
      <c r="M167" s="53" t="n">
        <v>1</v>
      </c>
      <c r="N167" s="53" t="n">
        <v>1</v>
      </c>
      <c r="O167" s="53" t="n">
        <v>4</v>
      </c>
      <c r="P167" s="53" t="n">
        <v>60</v>
      </c>
      <c r="Q167" s="53" t="n">
        <v>5</v>
      </c>
      <c r="R167" s="53" t="n">
        <v>600</v>
      </c>
      <c r="S167" s="53" t="n">
        <v>1</v>
      </c>
      <c r="T167" s="53" t="n">
        <v>6</v>
      </c>
      <c r="U167" s="53" t="n">
        <v>3</v>
      </c>
      <c r="V167" s="53" t="n">
        <v>5</v>
      </c>
      <c r="W167" s="53" t="n">
        <v>300</v>
      </c>
      <c r="X167" s="53" t="n">
        <v>1.8</v>
      </c>
    </row>
    <row r="168">
      <c r="A168" s="53" t="inlineStr">
        <is>
          <t>Peat moss</t>
        </is>
      </c>
      <c r="B168" s="53" t="n">
        <v>55</v>
      </c>
      <c r="C168" s="53" t="n">
        <v>65</v>
      </c>
      <c r="D168" s="53" t="n">
        <v>3</v>
      </c>
      <c r="E168" s="53" t="n">
        <v>69.2</v>
      </c>
      <c r="F168" s="53" t="n">
        <v>5.16</v>
      </c>
      <c r="G168" s="53" t="n">
        <v>25.3</v>
      </c>
      <c r="H168" s="53" t="n">
        <v>53.6</v>
      </c>
      <c r="I168" s="53" t="n">
        <v>32.9</v>
      </c>
      <c r="J168" s="53" t="n">
        <v>5.7</v>
      </c>
      <c r="K168" s="53" t="n">
        <v>4</v>
      </c>
      <c r="L168" s="53" t="n">
        <v>2</v>
      </c>
      <c r="M168" s="53" t="n">
        <v>0</v>
      </c>
      <c r="N168" s="53" t="n">
        <v>1</v>
      </c>
      <c r="O168" s="53" t="n">
        <v>4</v>
      </c>
      <c r="P168" s="53" t="n">
        <v>60</v>
      </c>
      <c r="Q168" s="53" t="n">
        <v>5</v>
      </c>
      <c r="R168" s="53" t="n">
        <v>1100</v>
      </c>
      <c r="S168" s="53" t="n">
        <v>0</v>
      </c>
      <c r="T168" s="53" t="n">
        <v>5</v>
      </c>
      <c r="U168" s="53" t="n">
        <v>0</v>
      </c>
      <c r="V168" s="53" t="n">
        <v>0</v>
      </c>
      <c r="W168" s="53" t="n">
        <v>0</v>
      </c>
      <c r="X168" s="53" t="n">
        <v>1.83</v>
      </c>
    </row>
    <row r="169">
      <c r="A169" s="53" t="inlineStr">
        <is>
          <t>Peat moss</t>
        </is>
      </c>
      <c r="B169" s="53" t="n">
        <v>55</v>
      </c>
      <c r="C169" s="53" t="n">
        <v>65</v>
      </c>
      <c r="D169" s="53" t="n">
        <v>3</v>
      </c>
      <c r="E169" s="53" t="n">
        <v>69.2</v>
      </c>
      <c r="F169" s="53" t="n">
        <v>5.16</v>
      </c>
      <c r="G169" s="53" t="n">
        <v>25.3</v>
      </c>
      <c r="H169" s="53" t="n">
        <v>53.6</v>
      </c>
      <c r="I169" s="53" t="n">
        <v>32.9</v>
      </c>
      <c r="J169" s="53" t="n">
        <v>5.7</v>
      </c>
      <c r="K169" s="53" t="n">
        <v>4</v>
      </c>
      <c r="L169" s="53" t="n">
        <v>2</v>
      </c>
      <c r="M169" s="53" t="n">
        <v>1</v>
      </c>
      <c r="N169" s="53" t="n">
        <v>1</v>
      </c>
      <c r="O169" s="53" t="n">
        <v>4</v>
      </c>
      <c r="P169" s="53" t="n">
        <v>60</v>
      </c>
      <c r="Q169" s="53" t="n">
        <v>5</v>
      </c>
      <c r="R169" s="53" t="n">
        <v>900</v>
      </c>
      <c r="S169" s="53" t="n">
        <v>1</v>
      </c>
      <c r="T169" s="53" t="n">
        <v>6</v>
      </c>
      <c r="U169" s="53" t="n">
        <v>3</v>
      </c>
      <c r="V169" s="53" t="n">
        <v>5</v>
      </c>
      <c r="W169" s="53" t="n">
        <v>300</v>
      </c>
      <c r="X169" s="53" t="n">
        <v>1.83</v>
      </c>
    </row>
    <row r="170">
      <c r="A170" s="53" t="inlineStr">
        <is>
          <t>Peat moss</t>
        </is>
      </c>
      <c r="B170" s="53" t="n">
        <v>55</v>
      </c>
      <c r="C170" s="53" t="n">
        <v>65</v>
      </c>
      <c r="D170" s="53" t="n">
        <v>3</v>
      </c>
      <c r="E170" s="53" t="n">
        <v>69.2</v>
      </c>
      <c r="F170" s="53" t="n">
        <v>5.16</v>
      </c>
      <c r="G170" s="53" t="n">
        <v>25.3</v>
      </c>
      <c r="H170" s="53" t="n">
        <v>53.6</v>
      </c>
      <c r="I170" s="53" t="n">
        <v>32.9</v>
      </c>
      <c r="J170" s="53" t="n">
        <v>5.7</v>
      </c>
      <c r="K170" s="53" t="n">
        <v>4</v>
      </c>
      <c r="L170" s="53" t="n">
        <v>2</v>
      </c>
      <c r="M170" s="53" t="n">
        <v>1</v>
      </c>
      <c r="N170" s="53" t="n">
        <v>1</v>
      </c>
      <c r="O170" s="53" t="n">
        <v>4</v>
      </c>
      <c r="P170" s="53" t="n">
        <v>60</v>
      </c>
      <c r="Q170" s="53" t="n">
        <v>5</v>
      </c>
      <c r="R170" s="53" t="n">
        <v>1100</v>
      </c>
      <c r="S170" s="53" t="n">
        <v>1</v>
      </c>
      <c r="T170" s="53" t="n">
        <v>6</v>
      </c>
      <c r="U170" s="53" t="n">
        <v>3</v>
      </c>
      <c r="V170" s="53" t="n">
        <v>5</v>
      </c>
      <c r="W170" s="53" t="n">
        <v>300</v>
      </c>
      <c r="X170" s="53" t="n">
        <v>1.86</v>
      </c>
    </row>
    <row r="171">
      <c r="A171" s="53" t="inlineStr">
        <is>
          <t>Peat moss</t>
        </is>
      </c>
      <c r="B171" s="53" t="n">
        <v>55</v>
      </c>
      <c r="C171" s="53" t="n">
        <v>65</v>
      </c>
      <c r="D171" s="53" t="n">
        <v>3</v>
      </c>
      <c r="E171" s="53" t="n">
        <v>69.2</v>
      </c>
      <c r="F171" s="53" t="n">
        <v>5.16</v>
      </c>
      <c r="G171" s="53" t="n">
        <v>25.3</v>
      </c>
      <c r="H171" s="53" t="n">
        <v>53.6</v>
      </c>
      <c r="I171" s="53" t="n">
        <v>32.9</v>
      </c>
      <c r="J171" s="53" t="n">
        <v>5.7</v>
      </c>
      <c r="K171" s="53" t="n">
        <v>4</v>
      </c>
      <c r="L171" s="53" t="n">
        <v>2</v>
      </c>
      <c r="M171" s="53" t="n">
        <v>0</v>
      </c>
      <c r="N171" s="53" t="n">
        <v>1</v>
      </c>
      <c r="O171" s="53" t="n">
        <v>4</v>
      </c>
      <c r="P171" s="53" t="n">
        <v>60</v>
      </c>
      <c r="Q171" s="53" t="n">
        <v>5</v>
      </c>
      <c r="R171" s="53" t="n">
        <v>1400</v>
      </c>
      <c r="S171" s="53" t="n">
        <v>0</v>
      </c>
      <c r="T171" s="53" t="n">
        <v>5</v>
      </c>
      <c r="U171" s="53" t="n">
        <v>0</v>
      </c>
      <c r="V171" s="53" t="n">
        <v>0</v>
      </c>
      <c r="W171" s="53" t="n">
        <v>0</v>
      </c>
      <c r="X171" s="53" t="n">
        <v>1.9</v>
      </c>
    </row>
    <row r="172">
      <c r="A172" s="53" t="inlineStr">
        <is>
          <t>Peat moss</t>
        </is>
      </c>
      <c r="B172" s="53" t="n">
        <v>55</v>
      </c>
      <c r="C172" s="53" t="n">
        <v>65</v>
      </c>
      <c r="D172" s="53" t="n">
        <v>3</v>
      </c>
      <c r="E172" s="53" t="n">
        <v>69.2</v>
      </c>
      <c r="F172" s="53" t="n">
        <v>5.16</v>
      </c>
      <c r="G172" s="53" t="n">
        <v>25.3</v>
      </c>
      <c r="H172" s="53" t="n">
        <v>53.6</v>
      </c>
      <c r="I172" s="53" t="n">
        <v>32.9</v>
      </c>
      <c r="J172" s="53" t="n">
        <v>5.7</v>
      </c>
      <c r="K172" s="53" t="n">
        <v>4</v>
      </c>
      <c r="L172" s="53" t="n">
        <v>2</v>
      </c>
      <c r="M172" s="53" t="n">
        <v>1</v>
      </c>
      <c r="N172" s="53" t="n">
        <v>1</v>
      </c>
      <c r="O172" s="53" t="n">
        <v>4</v>
      </c>
      <c r="P172" s="53" t="n">
        <v>60</v>
      </c>
      <c r="Q172" s="53" t="n">
        <v>5</v>
      </c>
      <c r="R172" s="53" t="n">
        <v>1400</v>
      </c>
      <c r="S172" s="53" t="n">
        <v>1</v>
      </c>
      <c r="T172" s="53" t="n">
        <v>6</v>
      </c>
      <c r="U172" s="53" t="n">
        <v>3</v>
      </c>
      <c r="V172" s="53" t="n">
        <v>5</v>
      </c>
      <c r="W172" s="53" t="n">
        <v>300</v>
      </c>
      <c r="X172" s="53" t="n">
        <v>2.21</v>
      </c>
    </row>
    <row r="173">
      <c r="A173" s="53" t="inlineStr">
        <is>
          <t>Pinecone</t>
        </is>
      </c>
      <c r="B173" s="53" t="n">
        <v>32.91</v>
      </c>
      <c r="C173" s="53" t="n">
        <v>22.92</v>
      </c>
      <c r="D173" s="53" t="n">
        <v>30</v>
      </c>
      <c r="E173" s="53" t="n">
        <v>80.34999999999999</v>
      </c>
      <c r="F173" s="53" t="n">
        <v>1.41</v>
      </c>
      <c r="G173" s="53" t="n">
        <v>10.27</v>
      </c>
      <c r="H173" s="53" t="n">
        <v>48.62</v>
      </c>
      <c r="I173" s="53" t="n">
        <v>38.45</v>
      </c>
      <c r="J173" s="53" t="n">
        <v>5.31</v>
      </c>
      <c r="K173" s="53" t="n">
        <v>6</v>
      </c>
      <c r="L173" s="53" t="n">
        <v>7</v>
      </c>
      <c r="M173" s="53" t="n">
        <v>1</v>
      </c>
      <c r="N173" s="53" t="n">
        <v>1</v>
      </c>
      <c r="O173" s="53" t="n">
        <v>4</v>
      </c>
      <c r="P173" s="53" t="n">
        <v>120</v>
      </c>
      <c r="Q173" s="53" t="n">
        <v>5.08108108108108</v>
      </c>
      <c r="R173" s="53" t="n">
        <v>500</v>
      </c>
      <c r="S173" s="53" t="n">
        <v>1</v>
      </c>
      <c r="T173" s="53" t="n">
        <v>5</v>
      </c>
      <c r="U173" s="53" t="n">
        <v>120</v>
      </c>
      <c r="V173" s="53" t="n">
        <v>5</v>
      </c>
      <c r="W173" s="53" t="n">
        <v>500</v>
      </c>
      <c r="X173" s="53" t="n">
        <v>1.12</v>
      </c>
    </row>
    <row r="174">
      <c r="A174" s="53" t="inlineStr">
        <is>
          <t>Pinecone</t>
        </is>
      </c>
      <c r="B174" s="53" t="n">
        <v>32.91</v>
      </c>
      <c r="C174" s="53" t="n">
        <v>22.92</v>
      </c>
      <c r="D174" s="53" t="n">
        <v>30</v>
      </c>
      <c r="E174" s="53" t="n">
        <v>80.34999999999999</v>
      </c>
      <c r="F174" s="53" t="n">
        <v>1.41</v>
      </c>
      <c r="G174" s="53" t="n">
        <v>10.27</v>
      </c>
      <c r="H174" s="53" t="n">
        <v>48.62</v>
      </c>
      <c r="I174" s="53" t="n">
        <v>38.45</v>
      </c>
      <c r="J174" s="53" t="n">
        <v>5.31</v>
      </c>
      <c r="K174" s="53" t="n">
        <v>6</v>
      </c>
      <c r="L174" s="53" t="n">
        <v>7</v>
      </c>
      <c r="M174" s="53" t="n">
        <v>1</v>
      </c>
      <c r="N174" s="53" t="n">
        <v>1</v>
      </c>
      <c r="O174" s="53" t="n">
        <v>4</v>
      </c>
      <c r="P174" s="53" t="n">
        <v>120</v>
      </c>
      <c r="Q174" s="53" t="n">
        <v>5.08108108108108</v>
      </c>
      <c r="R174" s="53" t="n">
        <v>500</v>
      </c>
      <c r="S174" s="53" t="n">
        <v>1</v>
      </c>
      <c r="T174" s="53" t="n">
        <v>5</v>
      </c>
      <c r="U174" s="53" t="n">
        <v>120</v>
      </c>
      <c r="V174" s="53" t="n">
        <v>5</v>
      </c>
      <c r="W174" s="53" t="n">
        <v>800</v>
      </c>
      <c r="X174" s="53" t="n">
        <v>1.25</v>
      </c>
    </row>
    <row r="175">
      <c r="A175" s="53" t="inlineStr">
        <is>
          <t>Pinecone</t>
        </is>
      </c>
      <c r="B175" s="53" t="n">
        <v>32.91</v>
      </c>
      <c r="C175" s="53" t="n">
        <v>22.92</v>
      </c>
      <c r="D175" s="53" t="n">
        <v>30</v>
      </c>
      <c r="E175" s="53" t="n">
        <v>80.34999999999999</v>
      </c>
      <c r="F175" s="53" t="n">
        <v>1.41</v>
      </c>
      <c r="G175" s="53" t="n">
        <v>10.27</v>
      </c>
      <c r="H175" s="53" t="n">
        <v>48.62</v>
      </c>
      <c r="I175" s="53" t="n">
        <v>38.45</v>
      </c>
      <c r="J175" s="53" t="n">
        <v>5.31</v>
      </c>
      <c r="K175" s="53" t="n">
        <v>6</v>
      </c>
      <c r="L175" s="53" t="n">
        <v>7</v>
      </c>
      <c r="M175" s="53" t="n">
        <v>1</v>
      </c>
      <c r="N175" s="53" t="n">
        <v>1</v>
      </c>
      <c r="O175" s="53" t="n">
        <v>4</v>
      </c>
      <c r="P175" s="53" t="n">
        <v>120</v>
      </c>
      <c r="Q175" s="53" t="n">
        <v>5.08108108108108</v>
      </c>
      <c r="R175" s="53" t="n">
        <v>500</v>
      </c>
      <c r="S175" s="53" t="n">
        <v>1</v>
      </c>
      <c r="T175" s="53" t="n">
        <v>5</v>
      </c>
      <c r="U175" s="53" t="n">
        <v>120</v>
      </c>
      <c r="V175" s="53" t="n">
        <v>5</v>
      </c>
      <c r="W175" s="53" t="n">
        <v>850</v>
      </c>
      <c r="X175" s="53" t="n">
        <v>1.43</v>
      </c>
    </row>
    <row r="176">
      <c r="A176" s="53" t="inlineStr">
        <is>
          <t>Pinecone</t>
        </is>
      </c>
      <c r="B176" s="53" t="n">
        <v>32.91</v>
      </c>
      <c r="C176" s="53" t="n">
        <v>22.92</v>
      </c>
      <c r="D176" s="53" t="n">
        <v>30</v>
      </c>
      <c r="E176" s="53" t="n">
        <v>80.34999999999999</v>
      </c>
      <c r="F176" s="53" t="n">
        <v>1.41</v>
      </c>
      <c r="G176" s="53" t="n">
        <v>10.27</v>
      </c>
      <c r="H176" s="53" t="n">
        <v>48.62</v>
      </c>
      <c r="I176" s="53" t="n">
        <v>38.45</v>
      </c>
      <c r="J176" s="53" t="n">
        <v>5.31</v>
      </c>
      <c r="K176" s="53" t="n">
        <v>6</v>
      </c>
      <c r="L176" s="53" t="n">
        <v>7</v>
      </c>
      <c r="M176" s="53" t="n">
        <v>1</v>
      </c>
      <c r="N176" s="53" t="n">
        <v>1</v>
      </c>
      <c r="O176" s="53" t="n">
        <v>4</v>
      </c>
      <c r="P176" s="53" t="n">
        <v>120</v>
      </c>
      <c r="Q176" s="53" t="n">
        <v>5.08108108108108</v>
      </c>
      <c r="R176" s="53" t="n">
        <v>500</v>
      </c>
      <c r="S176" s="53" t="n">
        <v>1</v>
      </c>
      <c r="T176" s="53" t="n">
        <v>5</v>
      </c>
      <c r="U176" s="53" t="n">
        <v>120</v>
      </c>
      <c r="V176" s="53" t="n">
        <v>5</v>
      </c>
      <c r="W176" s="53" t="n">
        <v>900</v>
      </c>
      <c r="X176" s="53" t="n">
        <v>1.46</v>
      </c>
    </row>
    <row r="177">
      <c r="A177" s="53" t="inlineStr">
        <is>
          <t>Pinecone</t>
        </is>
      </c>
      <c r="B177" s="53" t="n">
        <v>32.91</v>
      </c>
      <c r="C177" s="53" t="n">
        <v>22.92</v>
      </c>
      <c r="D177" s="53" t="n">
        <v>30</v>
      </c>
      <c r="E177" s="53" t="n">
        <v>80.34999999999999</v>
      </c>
      <c r="F177" s="53" t="n">
        <v>1.41</v>
      </c>
      <c r="G177" s="53" t="n">
        <v>10.27</v>
      </c>
      <c r="H177" s="53" t="n">
        <v>48.62</v>
      </c>
      <c r="I177" s="53" t="n">
        <v>38.45</v>
      </c>
      <c r="J177" s="53" t="n">
        <v>5.31</v>
      </c>
      <c r="K177" s="53" t="n">
        <v>6</v>
      </c>
      <c r="L177" s="53" t="n">
        <v>7</v>
      </c>
      <c r="M177" s="53" t="n">
        <v>1</v>
      </c>
      <c r="N177" s="53" t="n">
        <v>1</v>
      </c>
      <c r="O177" s="53" t="n">
        <v>4</v>
      </c>
      <c r="P177" s="53" t="n">
        <v>120</v>
      </c>
      <c r="Q177" s="53" t="n">
        <v>5.08108108108108</v>
      </c>
      <c r="R177" s="53" t="n">
        <v>500</v>
      </c>
      <c r="S177" s="53" t="n">
        <v>1</v>
      </c>
      <c r="T177" s="53" t="n">
        <v>5</v>
      </c>
      <c r="U177" s="53" t="n">
        <v>120</v>
      </c>
      <c r="V177" s="53" t="n">
        <v>5</v>
      </c>
      <c r="W177" s="53" t="n">
        <v>1000</v>
      </c>
      <c r="X177" s="53" t="n">
        <v>1.64</v>
      </c>
    </row>
    <row r="178">
      <c r="A178" s="53" t="inlineStr">
        <is>
          <t>Pinecone</t>
        </is>
      </c>
      <c r="B178" s="53" t="n">
        <v>32.91</v>
      </c>
      <c r="C178" s="53" t="n">
        <v>22.92</v>
      </c>
      <c r="D178" s="53" t="n">
        <v>30</v>
      </c>
      <c r="E178" s="53" t="n">
        <v>80.34999999999999</v>
      </c>
      <c r="F178" s="53" t="n">
        <v>1.41</v>
      </c>
      <c r="G178" s="53" t="n">
        <v>10.27</v>
      </c>
      <c r="H178" s="53" t="n">
        <v>48.62</v>
      </c>
      <c r="I178" s="53" t="n">
        <v>38.45</v>
      </c>
      <c r="J178" s="53" t="n">
        <v>5.31</v>
      </c>
      <c r="K178" s="53" t="n">
        <v>6</v>
      </c>
      <c r="L178" s="53" t="n">
        <v>7</v>
      </c>
      <c r="M178" s="53" t="n">
        <v>1</v>
      </c>
      <c r="N178" s="53" t="n">
        <v>1</v>
      </c>
      <c r="O178" s="53" t="n">
        <v>4</v>
      </c>
      <c r="P178" s="53" t="n">
        <v>120</v>
      </c>
      <c r="Q178" s="53" t="n">
        <v>5.08108108108108</v>
      </c>
      <c r="R178" s="53" t="n">
        <v>500</v>
      </c>
      <c r="S178" s="53" t="n">
        <v>1</v>
      </c>
      <c r="T178" s="53" t="n">
        <v>5</v>
      </c>
      <c r="U178" s="53" t="n">
        <v>120</v>
      </c>
      <c r="V178" s="53" t="n">
        <v>5</v>
      </c>
      <c r="W178" s="53" t="n">
        <v>1200</v>
      </c>
      <c r="X178" s="53" t="n">
        <v>1.72</v>
      </c>
    </row>
    <row r="179">
      <c r="A179" s="53" t="inlineStr">
        <is>
          <t>Pinecone</t>
        </is>
      </c>
      <c r="B179" s="53" t="n">
        <v>32.91</v>
      </c>
      <c r="C179" s="53" t="n">
        <v>22.92</v>
      </c>
      <c r="D179" s="53" t="n">
        <v>30</v>
      </c>
      <c r="E179" s="53" t="n">
        <v>80.34999999999999</v>
      </c>
      <c r="F179" s="53" t="n">
        <v>1.41</v>
      </c>
      <c r="G179" s="53" t="n">
        <v>10.27</v>
      </c>
      <c r="H179" s="53" t="n">
        <v>48.62</v>
      </c>
      <c r="I179" s="53" t="n">
        <v>38.45</v>
      </c>
      <c r="J179" s="53" t="n">
        <v>5.31</v>
      </c>
      <c r="K179" s="53" t="n">
        <v>6</v>
      </c>
      <c r="L179" s="53" t="n">
        <v>7</v>
      </c>
      <c r="M179" s="53" t="n">
        <v>1</v>
      </c>
      <c r="N179" s="53" t="n">
        <v>1</v>
      </c>
      <c r="O179" s="53" t="n">
        <v>4</v>
      </c>
      <c r="P179" s="53" t="n">
        <v>120</v>
      </c>
      <c r="Q179" s="53" t="n">
        <v>5.08108108108108</v>
      </c>
      <c r="R179" s="53" t="n">
        <v>500</v>
      </c>
      <c r="S179" s="53" t="n">
        <v>1</v>
      </c>
      <c r="T179" s="53" t="n">
        <v>5</v>
      </c>
      <c r="U179" s="53" t="n">
        <v>120</v>
      </c>
      <c r="V179" s="53" t="n">
        <v>5</v>
      </c>
      <c r="W179" s="53" t="n">
        <v>1400</v>
      </c>
      <c r="X179" s="53" t="n">
        <v>1.85</v>
      </c>
    </row>
    <row r="180">
      <c r="A180" s="53" t="inlineStr">
        <is>
          <t>Pinecone</t>
        </is>
      </c>
      <c r="B180" s="53" t="n">
        <v>32.91</v>
      </c>
      <c r="C180" s="53" t="n">
        <v>22.92</v>
      </c>
      <c r="D180" s="53" t="n">
        <v>30</v>
      </c>
      <c r="E180" s="53" t="n">
        <v>80.34999999999999</v>
      </c>
      <c r="F180" s="53" t="n">
        <v>1.41</v>
      </c>
      <c r="G180" s="53" t="n">
        <v>10.27</v>
      </c>
      <c r="H180" s="53" t="n">
        <v>48.62</v>
      </c>
      <c r="I180" s="53" t="n">
        <v>38.45</v>
      </c>
      <c r="J180" s="53" t="n">
        <v>5.31</v>
      </c>
      <c r="K180" s="53" t="n">
        <v>6</v>
      </c>
      <c r="L180" s="53" t="n">
        <v>7</v>
      </c>
      <c r="M180" s="53" t="n">
        <v>1</v>
      </c>
      <c r="N180" s="53" t="n">
        <v>1</v>
      </c>
      <c r="O180" s="53" t="n">
        <v>4</v>
      </c>
      <c r="P180" s="53" t="n">
        <v>120</v>
      </c>
      <c r="Q180" s="53" t="n">
        <v>5.08108108108108</v>
      </c>
      <c r="R180" s="53" t="n">
        <v>500</v>
      </c>
      <c r="S180" s="53" t="n">
        <v>1</v>
      </c>
      <c r="T180" s="53" t="n">
        <v>5</v>
      </c>
      <c r="U180" s="53" t="n">
        <v>120</v>
      </c>
      <c r="V180" s="53" t="n">
        <v>5</v>
      </c>
      <c r="W180" s="53" t="n">
        <v>1600</v>
      </c>
      <c r="X180" s="53" t="n">
        <v>1.91</v>
      </c>
    </row>
    <row r="181">
      <c r="A181" s="53" t="inlineStr">
        <is>
          <t>Pistachio shells</t>
        </is>
      </c>
      <c r="B181" s="53" t="n">
        <v>74.56</v>
      </c>
      <c r="C181" s="53" t="n">
        <v>10.33</v>
      </c>
      <c r="D181" s="53" t="n">
        <v>27.02</v>
      </c>
      <c r="E181" s="53" t="n">
        <v>89.31</v>
      </c>
      <c r="F181" s="53" t="n">
        <v>0.33</v>
      </c>
      <c r="G181" s="53" t="n">
        <v>5.46</v>
      </c>
      <c r="H181" s="53" t="n">
        <v>44.58</v>
      </c>
      <c r="I181" s="53" t="n">
        <v>43.75</v>
      </c>
      <c r="J181" s="53" t="n">
        <v>5.68</v>
      </c>
      <c r="K181" s="53" t="n">
        <v>5</v>
      </c>
      <c r="L181" s="53" t="n">
        <v>5</v>
      </c>
      <c r="M181" s="53" t="n">
        <v>1</v>
      </c>
      <c r="N181" s="53" t="n">
        <v>0</v>
      </c>
      <c r="O181" s="53" t="n">
        <v>3</v>
      </c>
      <c r="P181" s="53" t="n">
        <v>360</v>
      </c>
      <c r="Q181" s="53" t="n">
        <v>5.08108108108108</v>
      </c>
      <c r="R181" s="53" t="n">
        <v>165</v>
      </c>
      <c r="S181" s="53" t="n">
        <v>1</v>
      </c>
      <c r="T181" s="53" t="n">
        <v>5</v>
      </c>
      <c r="U181" s="53" t="n">
        <v>48.9473684210526</v>
      </c>
      <c r="V181" s="53" t="n">
        <v>1.73979591836735</v>
      </c>
      <c r="W181" s="53" t="n">
        <v>800</v>
      </c>
      <c r="X181" s="53" t="n">
        <v>0.954</v>
      </c>
    </row>
    <row r="182">
      <c r="A182" s="53" t="inlineStr">
        <is>
          <t>Pistachio shells</t>
        </is>
      </c>
      <c r="B182" s="53" t="n">
        <v>74.56</v>
      </c>
      <c r="C182" s="53" t="n">
        <v>10.33</v>
      </c>
      <c r="D182" s="53" t="n">
        <v>27.02</v>
      </c>
      <c r="E182" s="53" t="n">
        <v>89.31</v>
      </c>
      <c r="F182" s="53" t="n">
        <v>0.33</v>
      </c>
      <c r="G182" s="53" t="n">
        <v>5.46</v>
      </c>
      <c r="H182" s="53" t="n">
        <v>44.58</v>
      </c>
      <c r="I182" s="53" t="n">
        <v>43.75</v>
      </c>
      <c r="J182" s="53" t="n">
        <v>5.68</v>
      </c>
      <c r="K182" s="53" t="n">
        <v>5</v>
      </c>
      <c r="L182" s="53" t="n">
        <v>5</v>
      </c>
      <c r="M182" s="53" t="n">
        <v>1</v>
      </c>
      <c r="N182" s="53" t="n">
        <v>0</v>
      </c>
      <c r="O182" s="53" t="n">
        <v>3</v>
      </c>
      <c r="P182" s="53" t="n">
        <v>360</v>
      </c>
      <c r="Q182" s="53" t="n">
        <v>5.08108108108108</v>
      </c>
      <c r="R182" s="53" t="n">
        <v>165</v>
      </c>
      <c r="S182" s="53" t="n">
        <v>1</v>
      </c>
      <c r="T182" s="53" t="n">
        <v>5</v>
      </c>
      <c r="U182" s="53" t="n">
        <v>48.9473684210526</v>
      </c>
      <c r="V182" s="53" t="n">
        <v>1.73979591836735</v>
      </c>
      <c r="W182" s="53" t="n">
        <v>900</v>
      </c>
      <c r="X182" s="53" t="n">
        <v>1.068</v>
      </c>
    </row>
    <row r="183">
      <c r="A183" s="53" t="inlineStr">
        <is>
          <t>Pistachio shells</t>
        </is>
      </c>
      <c r="B183" s="53" t="n">
        <v>74.56</v>
      </c>
      <c r="C183" s="53" t="n">
        <v>10.33</v>
      </c>
      <c r="D183" s="53" t="n">
        <v>27.02</v>
      </c>
      <c r="E183" s="53" t="n">
        <v>89.31</v>
      </c>
      <c r="F183" s="53" t="n">
        <v>0.33</v>
      </c>
      <c r="G183" s="53" t="n">
        <v>5.46</v>
      </c>
      <c r="H183" s="53" t="n">
        <v>44.58</v>
      </c>
      <c r="I183" s="53" t="n">
        <v>43.75</v>
      </c>
      <c r="J183" s="53" t="n">
        <v>5.68</v>
      </c>
      <c r="K183" s="53" t="n">
        <v>5</v>
      </c>
      <c r="L183" s="53" t="n">
        <v>5</v>
      </c>
      <c r="M183" s="53" t="n">
        <v>1</v>
      </c>
      <c r="N183" s="53" t="n">
        <v>0</v>
      </c>
      <c r="O183" s="53" t="n">
        <v>3</v>
      </c>
      <c r="P183" s="53" t="n">
        <v>360</v>
      </c>
      <c r="Q183" s="53" t="n">
        <v>5.08108108108108</v>
      </c>
      <c r="R183" s="53" t="n">
        <v>165</v>
      </c>
      <c r="S183" s="53" t="n">
        <v>1</v>
      </c>
      <c r="T183" s="53" t="n">
        <v>5</v>
      </c>
      <c r="U183" s="53" t="n">
        <v>48.9473684210526</v>
      </c>
      <c r="V183" s="53" t="n">
        <v>1.73979591836735</v>
      </c>
      <c r="W183" s="53" t="n">
        <v>1000</v>
      </c>
      <c r="X183" s="53" t="n">
        <v>1.072</v>
      </c>
    </row>
    <row r="184">
      <c r="A184" s="53" t="inlineStr">
        <is>
          <t>Pistachio shells</t>
        </is>
      </c>
      <c r="B184" s="53" t="n">
        <v>74.56</v>
      </c>
      <c r="C184" s="53" t="n">
        <v>10.33</v>
      </c>
      <c r="D184" s="53" t="n">
        <v>27.02</v>
      </c>
      <c r="E184" s="53" t="n">
        <v>89.31</v>
      </c>
      <c r="F184" s="53" t="n">
        <v>0.33</v>
      </c>
      <c r="G184" s="53" t="n">
        <v>5.46</v>
      </c>
      <c r="H184" s="53" t="n">
        <v>44.58</v>
      </c>
      <c r="I184" s="53" t="n">
        <v>43.75</v>
      </c>
      <c r="J184" s="53" t="n">
        <v>5.68</v>
      </c>
      <c r="K184" s="53" t="n">
        <v>5</v>
      </c>
      <c r="L184" s="53" t="n">
        <v>5</v>
      </c>
      <c r="M184" s="53" t="n">
        <v>1</v>
      </c>
      <c r="N184" s="53" t="n">
        <v>0</v>
      </c>
      <c r="O184" s="53" t="n">
        <v>3</v>
      </c>
      <c r="P184" s="53" t="n">
        <v>360</v>
      </c>
      <c r="Q184" s="53" t="n">
        <v>5.08108108108108</v>
      </c>
      <c r="R184" s="53" t="n">
        <v>165</v>
      </c>
      <c r="S184" s="53" t="n">
        <v>1</v>
      </c>
      <c r="T184" s="53" t="n">
        <v>5</v>
      </c>
      <c r="U184" s="53" t="n">
        <v>48.9473684210526</v>
      </c>
      <c r="V184" s="53" t="n">
        <v>1.73979591836735</v>
      </c>
      <c r="W184" s="53" t="n">
        <v>1100</v>
      </c>
      <c r="X184" s="53" t="n">
        <v>1.134</v>
      </c>
    </row>
    <row r="185">
      <c r="A185" s="53" t="inlineStr">
        <is>
          <t>Platanus</t>
        </is>
      </c>
      <c r="B185" s="53" t="n">
        <v>33.79</v>
      </c>
      <c r="C185" s="53" t="n">
        <v>19.91</v>
      </c>
      <c r="D185" s="53" t="n">
        <v>25.89</v>
      </c>
      <c r="E185" s="53" t="n">
        <v>74.09999999999999</v>
      </c>
      <c r="F185" s="53" t="n">
        <v>3.61</v>
      </c>
      <c r="G185" s="53" t="n">
        <v>22.29</v>
      </c>
      <c r="H185" s="53" t="n">
        <v>47.8</v>
      </c>
      <c r="I185" s="53" t="n">
        <v>40.33</v>
      </c>
      <c r="J185" s="53" t="n">
        <v>6.62</v>
      </c>
      <c r="K185" s="53" t="n">
        <v>0</v>
      </c>
      <c r="L185" s="53" t="n">
        <v>5</v>
      </c>
      <c r="M185" s="53" t="n">
        <v>1</v>
      </c>
      <c r="N185" s="53" t="n">
        <v>1</v>
      </c>
      <c r="O185" s="53" t="n">
        <v>4</v>
      </c>
      <c r="P185" s="53" t="n">
        <v>60</v>
      </c>
      <c r="Q185" s="53" t="n">
        <v>1</v>
      </c>
      <c r="R185" s="53" t="n">
        <v>550</v>
      </c>
      <c r="S185" s="53" t="n">
        <v>1</v>
      </c>
      <c r="T185" s="53" t="n">
        <v>5</v>
      </c>
      <c r="U185" s="53" t="n">
        <v>120</v>
      </c>
      <c r="V185" s="53" t="n">
        <v>10</v>
      </c>
      <c r="W185" s="53" t="n">
        <v>700</v>
      </c>
      <c r="X185" s="53" t="n">
        <v>7.6</v>
      </c>
    </row>
    <row r="186">
      <c r="A186" s="53" t="inlineStr">
        <is>
          <t>Platanus</t>
        </is>
      </c>
      <c r="B186" s="53" t="n">
        <v>33.79</v>
      </c>
      <c r="C186" s="53" t="n">
        <v>19.91</v>
      </c>
      <c r="D186" s="53" t="n">
        <v>25.89</v>
      </c>
      <c r="E186" s="53" t="n">
        <v>74.09999999999999</v>
      </c>
      <c r="F186" s="53" t="n">
        <v>3.61</v>
      </c>
      <c r="G186" s="53" t="n">
        <v>22.29</v>
      </c>
      <c r="H186" s="53" t="n">
        <v>47.8</v>
      </c>
      <c r="I186" s="53" t="n">
        <v>40.33</v>
      </c>
      <c r="J186" s="53" t="n">
        <v>6.62</v>
      </c>
      <c r="K186" s="53" t="n">
        <v>4</v>
      </c>
      <c r="L186" s="53" t="n">
        <v>5</v>
      </c>
      <c r="M186" s="53" t="n">
        <v>1</v>
      </c>
      <c r="N186" s="53" t="n">
        <v>1</v>
      </c>
      <c r="O186" s="53" t="n">
        <v>4</v>
      </c>
      <c r="P186" s="53" t="n">
        <v>60</v>
      </c>
      <c r="Q186" s="53" t="n">
        <v>1</v>
      </c>
      <c r="R186" s="53" t="n">
        <v>550</v>
      </c>
      <c r="S186" s="53" t="n">
        <v>1</v>
      </c>
      <c r="T186" s="53" t="n">
        <v>5</v>
      </c>
      <c r="U186" s="53" t="n">
        <v>120</v>
      </c>
      <c r="V186" s="53" t="n">
        <v>10</v>
      </c>
      <c r="W186" s="53" t="n">
        <v>700</v>
      </c>
      <c r="X186" s="53" t="n">
        <v>8.85</v>
      </c>
    </row>
    <row r="187">
      <c r="A187" s="53" t="inlineStr">
        <is>
          <t>Reed straw</t>
        </is>
      </c>
      <c r="B187" s="53" t="n">
        <v>56</v>
      </c>
      <c r="C187" s="53" t="n">
        <v>14.5</v>
      </c>
      <c r="D187" s="53" t="n">
        <v>20.5</v>
      </c>
      <c r="E187" s="53" t="n">
        <v>79.73</v>
      </c>
      <c r="F187" s="53" t="n">
        <v>2</v>
      </c>
      <c r="G187" s="53" t="n">
        <v>14.47</v>
      </c>
      <c r="H187" s="53" t="n">
        <v>45.16</v>
      </c>
      <c r="I187" s="53" t="n">
        <v>48.78</v>
      </c>
      <c r="J187" s="53" t="n">
        <v>5.58</v>
      </c>
      <c r="K187" s="53" t="n">
        <v>2</v>
      </c>
      <c r="L187" s="53" t="n">
        <v>5</v>
      </c>
      <c r="M187" s="53" t="n">
        <v>1</v>
      </c>
      <c r="N187" s="53" t="n">
        <v>1</v>
      </c>
      <c r="O187" s="53" t="n">
        <v>4</v>
      </c>
      <c r="P187" s="53" t="n">
        <v>180</v>
      </c>
      <c r="Q187" s="53" t="n">
        <v>10</v>
      </c>
      <c r="R187" s="53" t="n">
        <v>400</v>
      </c>
      <c r="S187" s="53" t="n">
        <v>1</v>
      </c>
      <c r="T187" s="53" t="n">
        <v>5</v>
      </c>
      <c r="U187" s="53" t="n">
        <v>120</v>
      </c>
      <c r="V187" s="53" t="n">
        <v>5</v>
      </c>
      <c r="W187" s="53" t="n">
        <v>1400</v>
      </c>
      <c r="X187" s="53" t="n">
        <v>0.959</v>
      </c>
    </row>
    <row r="188">
      <c r="A188" s="53" t="inlineStr">
        <is>
          <t>Reed straw</t>
        </is>
      </c>
      <c r="B188" s="53" t="n">
        <v>56</v>
      </c>
      <c r="C188" s="53" t="n">
        <v>14.5</v>
      </c>
      <c r="D188" s="53" t="n">
        <v>20.5</v>
      </c>
      <c r="E188" s="53" t="n">
        <v>79.73</v>
      </c>
      <c r="F188" s="53" t="n">
        <v>2</v>
      </c>
      <c r="G188" s="53" t="n">
        <v>14.47</v>
      </c>
      <c r="H188" s="53" t="n">
        <v>45.16</v>
      </c>
      <c r="I188" s="53" t="n">
        <v>48.78</v>
      </c>
      <c r="J188" s="53" t="n">
        <v>5.58</v>
      </c>
      <c r="K188" s="53" t="n">
        <v>2</v>
      </c>
      <c r="L188" s="53" t="n">
        <v>5</v>
      </c>
      <c r="M188" s="53" t="n">
        <v>1</v>
      </c>
      <c r="N188" s="53" t="n">
        <v>1</v>
      </c>
      <c r="O188" s="53" t="n">
        <v>4</v>
      </c>
      <c r="P188" s="53" t="n">
        <v>180</v>
      </c>
      <c r="Q188" s="53" t="n">
        <v>10</v>
      </c>
      <c r="R188" s="53" t="n">
        <v>400</v>
      </c>
      <c r="S188" s="53" t="n">
        <v>1</v>
      </c>
      <c r="T188" s="53" t="n">
        <v>5</v>
      </c>
      <c r="U188" s="53" t="n">
        <v>120</v>
      </c>
      <c r="V188" s="53" t="n">
        <v>5</v>
      </c>
      <c r="W188" s="53" t="n">
        <v>1400</v>
      </c>
      <c r="X188" s="53" t="n">
        <v>1.016</v>
      </c>
    </row>
    <row r="189">
      <c r="A189" s="53" t="inlineStr">
        <is>
          <t>Reed straw</t>
        </is>
      </c>
      <c r="B189" s="53" t="n">
        <v>56</v>
      </c>
      <c r="C189" s="53" t="n">
        <v>14.5</v>
      </c>
      <c r="D189" s="53" t="n">
        <v>20.5</v>
      </c>
      <c r="E189" s="53" t="n">
        <v>79.73</v>
      </c>
      <c r="F189" s="53" t="n">
        <v>2</v>
      </c>
      <c r="G189" s="53" t="n">
        <v>14.47</v>
      </c>
      <c r="H189" s="53" t="n">
        <v>45.16</v>
      </c>
      <c r="I189" s="53" t="n">
        <v>48.78</v>
      </c>
      <c r="J189" s="53" t="n">
        <v>5.58</v>
      </c>
      <c r="K189" s="53" t="n">
        <v>2</v>
      </c>
      <c r="L189" s="53" t="n">
        <v>5</v>
      </c>
      <c r="M189" s="53" t="n">
        <v>1</v>
      </c>
      <c r="N189" s="53" t="n">
        <v>1</v>
      </c>
      <c r="O189" s="53" t="n">
        <v>4</v>
      </c>
      <c r="P189" s="53" t="n">
        <v>180</v>
      </c>
      <c r="Q189" s="53" t="n">
        <v>10</v>
      </c>
      <c r="R189" s="53" t="n">
        <v>400</v>
      </c>
      <c r="S189" s="53" t="n">
        <v>1</v>
      </c>
      <c r="T189" s="53" t="n">
        <v>5</v>
      </c>
      <c r="U189" s="53" t="n">
        <v>120</v>
      </c>
      <c r="V189" s="53" t="n">
        <v>5</v>
      </c>
      <c r="W189" s="53" t="n">
        <v>1400</v>
      </c>
      <c r="X189" s="53" t="n">
        <v>1.058</v>
      </c>
    </row>
    <row r="190">
      <c r="A190" s="53" t="inlineStr">
        <is>
          <t>Reed straw</t>
        </is>
      </c>
      <c r="B190" s="53" t="n">
        <v>56</v>
      </c>
      <c r="C190" s="53" t="n">
        <v>14.5</v>
      </c>
      <c r="D190" s="53" t="n">
        <v>20.5</v>
      </c>
      <c r="E190" s="53" t="n">
        <v>79.73</v>
      </c>
      <c r="F190" s="53" t="n">
        <v>2</v>
      </c>
      <c r="G190" s="53" t="n">
        <v>14.47</v>
      </c>
      <c r="H190" s="53" t="n">
        <v>45.16</v>
      </c>
      <c r="I190" s="53" t="n">
        <v>48.78</v>
      </c>
      <c r="J190" s="53" t="n">
        <v>5.58</v>
      </c>
      <c r="K190" s="53" t="n">
        <v>2</v>
      </c>
      <c r="L190" s="53" t="n">
        <v>5</v>
      </c>
      <c r="M190" s="53" t="n">
        <v>1</v>
      </c>
      <c r="N190" s="53" t="n">
        <v>1</v>
      </c>
      <c r="O190" s="53" t="n">
        <v>4</v>
      </c>
      <c r="P190" s="53" t="n">
        <v>180</v>
      </c>
      <c r="Q190" s="53" t="n">
        <v>10</v>
      </c>
      <c r="R190" s="53" t="n">
        <v>400</v>
      </c>
      <c r="S190" s="53" t="n">
        <v>1</v>
      </c>
      <c r="T190" s="53" t="n">
        <v>5</v>
      </c>
      <c r="U190" s="53" t="n">
        <v>120</v>
      </c>
      <c r="V190" s="53" t="n">
        <v>5</v>
      </c>
      <c r="W190" s="53" t="n">
        <v>1400</v>
      </c>
      <c r="X190" s="53" t="n">
        <v>1.059</v>
      </c>
    </row>
    <row r="191">
      <c r="A191" s="53" t="inlineStr">
        <is>
          <t>Reed straw</t>
        </is>
      </c>
      <c r="B191" s="53" t="n">
        <v>56</v>
      </c>
      <c r="C191" s="53" t="n">
        <v>14.5</v>
      </c>
      <c r="D191" s="53" t="n">
        <v>20.5</v>
      </c>
      <c r="E191" s="53" t="n">
        <v>79.73</v>
      </c>
      <c r="F191" s="53" t="n">
        <v>2</v>
      </c>
      <c r="G191" s="53" t="n">
        <v>14.47</v>
      </c>
      <c r="H191" s="53" t="n">
        <v>45.16</v>
      </c>
      <c r="I191" s="53" t="n">
        <v>48.78</v>
      </c>
      <c r="J191" s="53" t="n">
        <v>5.58</v>
      </c>
      <c r="K191" s="53" t="n">
        <v>6</v>
      </c>
      <c r="L191" s="53" t="n">
        <v>5</v>
      </c>
      <c r="M191" s="53" t="n">
        <v>1</v>
      </c>
      <c r="N191" s="53" t="n">
        <v>0</v>
      </c>
      <c r="O191" s="53" t="n">
        <v>4</v>
      </c>
      <c r="P191" s="53" t="n">
        <v>24</v>
      </c>
      <c r="Q191" s="53" t="n">
        <v>10</v>
      </c>
      <c r="R191" s="53" t="n">
        <v>200</v>
      </c>
      <c r="S191" s="53" t="n">
        <v>1</v>
      </c>
      <c r="T191" s="53" t="n">
        <v>5</v>
      </c>
      <c r="U191" s="53" t="n">
        <v>120</v>
      </c>
      <c r="V191" s="53" t="n">
        <v>5</v>
      </c>
      <c r="W191" s="53" t="n">
        <v>900</v>
      </c>
      <c r="X191" s="53" t="n">
        <v>1.1</v>
      </c>
    </row>
    <row r="192">
      <c r="A192" s="53" t="inlineStr">
        <is>
          <t>Reed straw</t>
        </is>
      </c>
      <c r="B192" s="53" t="n">
        <v>56</v>
      </c>
      <c r="C192" s="53" t="n">
        <v>14.5</v>
      </c>
      <c r="D192" s="53" t="n">
        <v>20.5</v>
      </c>
      <c r="E192" s="53" t="n">
        <v>79.73</v>
      </c>
      <c r="F192" s="53" t="n">
        <v>2</v>
      </c>
      <c r="G192" s="53" t="n">
        <v>14.47</v>
      </c>
      <c r="H192" s="53" t="n">
        <v>45.16</v>
      </c>
      <c r="I192" s="53" t="n">
        <v>48.78</v>
      </c>
      <c r="J192" s="53" t="n">
        <v>5.58</v>
      </c>
      <c r="K192" s="53" t="n">
        <v>2</v>
      </c>
      <c r="L192" s="53" t="n">
        <v>5</v>
      </c>
      <c r="M192" s="53" t="n">
        <v>1</v>
      </c>
      <c r="N192" s="53" t="n">
        <v>1</v>
      </c>
      <c r="O192" s="53" t="n">
        <v>4</v>
      </c>
      <c r="P192" s="53" t="n">
        <v>180</v>
      </c>
      <c r="Q192" s="53" t="n">
        <v>10</v>
      </c>
      <c r="R192" s="53" t="n">
        <v>400</v>
      </c>
      <c r="S192" s="53" t="n">
        <v>1</v>
      </c>
      <c r="T192" s="53" t="n">
        <v>5</v>
      </c>
      <c r="U192" s="53" t="n">
        <v>120</v>
      </c>
      <c r="V192" s="53" t="n">
        <v>5</v>
      </c>
      <c r="W192" s="53" t="n">
        <v>1400</v>
      </c>
      <c r="X192" s="53" t="n">
        <v>1.127</v>
      </c>
    </row>
    <row r="193">
      <c r="A193" s="53" t="inlineStr">
        <is>
          <t>Reed straw</t>
        </is>
      </c>
      <c r="B193" s="53" t="n">
        <v>56</v>
      </c>
      <c r="C193" s="53" t="n">
        <v>14.5</v>
      </c>
      <c r="D193" s="53" t="n">
        <v>20.5</v>
      </c>
      <c r="E193" s="53" t="n">
        <v>79.73</v>
      </c>
      <c r="F193" s="53" t="n">
        <v>2</v>
      </c>
      <c r="G193" s="53" t="n">
        <v>14.47</v>
      </c>
      <c r="H193" s="53" t="n">
        <v>45.16</v>
      </c>
      <c r="I193" s="53" t="n">
        <v>48.78</v>
      </c>
      <c r="J193" s="53" t="n">
        <v>5.58</v>
      </c>
      <c r="K193" s="53" t="n">
        <v>6</v>
      </c>
      <c r="L193" s="53" t="n">
        <v>5</v>
      </c>
      <c r="M193" s="53" t="n">
        <v>1</v>
      </c>
      <c r="N193" s="53" t="n">
        <v>0</v>
      </c>
      <c r="O193" s="53" t="n">
        <v>4</v>
      </c>
      <c r="P193" s="53" t="n">
        <v>24</v>
      </c>
      <c r="Q193" s="53" t="n">
        <v>10</v>
      </c>
      <c r="R193" s="53" t="n">
        <v>200</v>
      </c>
      <c r="S193" s="53" t="n">
        <v>1</v>
      </c>
      <c r="T193" s="53" t="n">
        <v>5</v>
      </c>
      <c r="U193" s="53" t="n">
        <v>120</v>
      </c>
      <c r="V193" s="53" t="n">
        <v>5</v>
      </c>
      <c r="W193" s="53" t="n">
        <v>1100</v>
      </c>
      <c r="X193" s="53" t="n">
        <v>1.46</v>
      </c>
    </row>
    <row r="194">
      <c r="A194" s="53" t="inlineStr">
        <is>
          <t>Reed straw</t>
        </is>
      </c>
      <c r="B194" s="53" t="n">
        <v>56</v>
      </c>
      <c r="C194" s="53" t="n">
        <v>14.5</v>
      </c>
      <c r="D194" s="53" t="n">
        <v>20.5</v>
      </c>
      <c r="E194" s="53" t="n">
        <v>79.73</v>
      </c>
      <c r="F194" s="53" t="n">
        <v>2</v>
      </c>
      <c r="G194" s="53" t="n">
        <v>14.47</v>
      </c>
      <c r="H194" s="53" t="n">
        <v>45.16</v>
      </c>
      <c r="I194" s="53" t="n">
        <v>48.78</v>
      </c>
      <c r="J194" s="53" t="n">
        <v>5.58</v>
      </c>
      <c r="K194" s="53" t="n">
        <v>6</v>
      </c>
      <c r="L194" s="53" t="n">
        <v>5</v>
      </c>
      <c r="M194" s="53" t="n">
        <v>1</v>
      </c>
      <c r="N194" s="53" t="n">
        <v>0</v>
      </c>
      <c r="O194" s="53" t="n">
        <v>4</v>
      </c>
      <c r="P194" s="53" t="n">
        <v>24</v>
      </c>
      <c r="Q194" s="53" t="n">
        <v>10</v>
      </c>
      <c r="R194" s="53" t="n">
        <v>200</v>
      </c>
      <c r="S194" s="53" t="n">
        <v>1</v>
      </c>
      <c r="T194" s="53" t="n">
        <v>5</v>
      </c>
      <c r="U194" s="53" t="n">
        <v>120</v>
      </c>
      <c r="V194" s="53" t="n">
        <v>5</v>
      </c>
      <c r="W194" s="53" t="n">
        <v>1300</v>
      </c>
      <c r="X194" s="53" t="n">
        <v>1.6</v>
      </c>
    </row>
    <row r="195">
      <c r="A195" s="53" t="inlineStr">
        <is>
          <t>Reed straw</t>
        </is>
      </c>
      <c r="B195" s="53" t="n">
        <v>56</v>
      </c>
      <c r="C195" s="53" t="n">
        <v>14.5</v>
      </c>
      <c r="D195" s="53" t="n">
        <v>20.5</v>
      </c>
      <c r="E195" s="53" t="n">
        <v>79.73</v>
      </c>
      <c r="F195" s="53" t="n">
        <v>2</v>
      </c>
      <c r="G195" s="53" t="n">
        <v>14.47</v>
      </c>
      <c r="H195" s="53" t="n">
        <v>45.16</v>
      </c>
      <c r="I195" s="53" t="n">
        <v>48.78</v>
      </c>
      <c r="J195" s="53" t="n">
        <v>5.58</v>
      </c>
      <c r="K195" s="53" t="n">
        <v>6</v>
      </c>
      <c r="L195" s="53" t="n">
        <v>5</v>
      </c>
      <c r="M195" s="53" t="n">
        <v>1</v>
      </c>
      <c r="N195" s="53" t="n">
        <v>0</v>
      </c>
      <c r="O195" s="53" t="n">
        <v>4</v>
      </c>
      <c r="P195" s="53" t="n">
        <v>24</v>
      </c>
      <c r="Q195" s="53" t="n">
        <v>10</v>
      </c>
      <c r="R195" s="53" t="n">
        <v>200</v>
      </c>
      <c r="S195" s="53" t="n">
        <v>1</v>
      </c>
      <c r="T195" s="53" t="n">
        <v>5</v>
      </c>
      <c r="U195" s="53" t="n">
        <v>120</v>
      </c>
      <c r="V195" s="53" t="n">
        <v>5</v>
      </c>
      <c r="W195" s="53" t="n">
        <v>1500</v>
      </c>
      <c r="X195" s="53" t="n">
        <v>1.88</v>
      </c>
    </row>
    <row r="196">
      <c r="A196" s="53" t="inlineStr">
        <is>
          <t>Rice husk</t>
        </is>
      </c>
      <c r="B196" s="53" t="n">
        <v>38.3</v>
      </c>
      <c r="C196" s="53" t="n">
        <v>31.6</v>
      </c>
      <c r="D196" s="53" t="n">
        <v>11.8</v>
      </c>
      <c r="E196" s="53" t="n">
        <v>68.2</v>
      </c>
      <c r="F196" s="53" t="n">
        <v>16.1</v>
      </c>
      <c r="G196" s="53" t="n">
        <v>15.7</v>
      </c>
      <c r="H196" s="53" t="n">
        <v>45.2</v>
      </c>
      <c r="I196" s="53" t="n">
        <v>47.6</v>
      </c>
      <c r="J196" s="53" t="n">
        <v>5.8</v>
      </c>
      <c r="K196" s="53" t="n">
        <v>3</v>
      </c>
      <c r="L196" s="53" t="n">
        <v>5</v>
      </c>
      <c r="M196" s="53" t="n">
        <v>0</v>
      </c>
      <c r="N196" s="53" t="n">
        <v>1</v>
      </c>
      <c r="O196" s="53" t="n">
        <v>4</v>
      </c>
      <c r="P196" s="53" t="n">
        <v>120</v>
      </c>
      <c r="Q196" s="53" t="n">
        <v>5</v>
      </c>
      <c r="R196" s="53" t="n">
        <v>1100</v>
      </c>
      <c r="S196" s="53" t="n">
        <v>0</v>
      </c>
      <c r="T196" s="53" t="n">
        <v>5</v>
      </c>
      <c r="U196" s="53" t="n">
        <v>0</v>
      </c>
      <c r="V196" s="53" t="n">
        <v>0</v>
      </c>
      <c r="W196" s="53" t="n">
        <v>0</v>
      </c>
      <c r="X196" s="53" t="n">
        <v>1.16</v>
      </c>
    </row>
    <row r="197">
      <c r="A197" s="53" t="inlineStr">
        <is>
          <t>Rice husk</t>
        </is>
      </c>
      <c r="B197" s="53" t="n">
        <v>38.3</v>
      </c>
      <c r="C197" s="53" t="n">
        <v>31.6</v>
      </c>
      <c r="D197" s="53" t="n">
        <v>11.8</v>
      </c>
      <c r="E197" s="53" t="n">
        <v>68.2</v>
      </c>
      <c r="F197" s="53" t="n">
        <v>16.1</v>
      </c>
      <c r="G197" s="53" t="n">
        <v>15.7</v>
      </c>
      <c r="H197" s="53" t="n">
        <v>45.2</v>
      </c>
      <c r="I197" s="53" t="n">
        <v>47.6</v>
      </c>
      <c r="J197" s="53" t="n">
        <v>5.8</v>
      </c>
      <c r="K197" s="53" t="n">
        <v>1</v>
      </c>
      <c r="L197" s="53" t="n">
        <v>5</v>
      </c>
      <c r="M197" s="53" t="n">
        <v>0</v>
      </c>
      <c r="N197" s="53" t="n">
        <v>1</v>
      </c>
      <c r="O197" s="53" t="n">
        <v>4</v>
      </c>
      <c r="P197" s="53" t="n">
        <v>120</v>
      </c>
      <c r="Q197" s="53" t="n">
        <v>5</v>
      </c>
      <c r="R197" s="53" t="n">
        <v>1100</v>
      </c>
      <c r="S197" s="53" t="n">
        <v>0</v>
      </c>
      <c r="T197" s="53" t="n">
        <v>5</v>
      </c>
      <c r="U197" s="53" t="n">
        <v>0</v>
      </c>
      <c r="V197" s="53" t="n">
        <v>0</v>
      </c>
      <c r="W197" s="53" t="n">
        <v>0</v>
      </c>
      <c r="X197" s="53" t="n">
        <v>1.16</v>
      </c>
    </row>
    <row r="198">
      <c r="A198" s="53" t="inlineStr">
        <is>
          <t>Rice husk</t>
        </is>
      </c>
      <c r="B198" s="53" t="n">
        <v>38.3</v>
      </c>
      <c r="C198" s="53" t="n">
        <v>31.6</v>
      </c>
      <c r="D198" s="53" t="n">
        <v>11.8</v>
      </c>
      <c r="E198" s="53" t="n">
        <v>68.2</v>
      </c>
      <c r="F198" s="53" t="n">
        <v>16.1</v>
      </c>
      <c r="G198" s="53" t="n">
        <v>15.7</v>
      </c>
      <c r="H198" s="53" t="n">
        <v>45.2</v>
      </c>
      <c r="I198" s="53" t="n">
        <v>47.6</v>
      </c>
      <c r="J198" s="53" t="n">
        <v>5.8</v>
      </c>
      <c r="K198" s="53" t="n">
        <v>3</v>
      </c>
      <c r="L198" s="53" t="n">
        <v>5</v>
      </c>
      <c r="M198" s="53" t="n">
        <v>0</v>
      </c>
      <c r="N198" s="53" t="n">
        <v>1</v>
      </c>
      <c r="O198" s="53" t="n">
        <v>4</v>
      </c>
      <c r="P198" s="53" t="n">
        <v>120</v>
      </c>
      <c r="Q198" s="53" t="n">
        <v>5</v>
      </c>
      <c r="R198" s="53" t="n">
        <v>1300</v>
      </c>
      <c r="S198" s="53" t="n">
        <v>0</v>
      </c>
      <c r="T198" s="53" t="n">
        <v>5</v>
      </c>
      <c r="U198" s="53" t="n">
        <v>0</v>
      </c>
      <c r="V198" s="53" t="n">
        <v>0</v>
      </c>
      <c r="W198" s="53" t="n">
        <v>0</v>
      </c>
      <c r="X198" s="53" t="n">
        <v>1.23</v>
      </c>
    </row>
    <row r="199">
      <c r="A199" s="53" t="inlineStr">
        <is>
          <t>Rice husk</t>
        </is>
      </c>
      <c r="B199" s="53" t="n">
        <v>38.3</v>
      </c>
      <c r="C199" s="53" t="n">
        <v>31.6</v>
      </c>
      <c r="D199" s="53" t="n">
        <v>11.8</v>
      </c>
      <c r="E199" s="53" t="n">
        <v>68.2</v>
      </c>
      <c r="F199" s="53" t="n">
        <v>16.1</v>
      </c>
      <c r="G199" s="53" t="n">
        <v>15.7</v>
      </c>
      <c r="H199" s="53" t="n">
        <v>45.2</v>
      </c>
      <c r="I199" s="53" t="n">
        <v>47.6</v>
      </c>
      <c r="J199" s="53" t="n">
        <v>5.8</v>
      </c>
      <c r="K199" s="53" t="n">
        <v>1</v>
      </c>
      <c r="L199" s="53" t="n">
        <v>5</v>
      </c>
      <c r="M199" s="53" t="n">
        <v>0</v>
      </c>
      <c r="N199" s="53" t="n">
        <v>1</v>
      </c>
      <c r="O199" s="53" t="n">
        <v>4</v>
      </c>
      <c r="P199" s="53" t="n">
        <v>120</v>
      </c>
      <c r="Q199" s="53" t="n">
        <v>5</v>
      </c>
      <c r="R199" s="53" t="n">
        <v>1300</v>
      </c>
      <c r="S199" s="53" t="n">
        <v>0</v>
      </c>
      <c r="T199" s="53" t="n">
        <v>5</v>
      </c>
      <c r="U199" s="53" t="n">
        <v>0</v>
      </c>
      <c r="V199" s="53" t="n">
        <v>0</v>
      </c>
      <c r="W199" s="53" t="n">
        <v>0</v>
      </c>
      <c r="X199" s="53" t="n">
        <v>1.23</v>
      </c>
    </row>
    <row r="200">
      <c r="A200" s="53" t="inlineStr">
        <is>
          <t>Rice husk</t>
        </is>
      </c>
      <c r="B200" s="53" t="n">
        <v>38.3</v>
      </c>
      <c r="C200" s="53" t="n">
        <v>31.6</v>
      </c>
      <c r="D200" s="53" t="n">
        <v>11.8</v>
      </c>
      <c r="E200" s="53" t="n">
        <v>68.2</v>
      </c>
      <c r="F200" s="53" t="n">
        <v>16.1</v>
      </c>
      <c r="G200" s="53" t="n">
        <v>15.7</v>
      </c>
      <c r="H200" s="53" t="n">
        <v>45.2</v>
      </c>
      <c r="I200" s="53" t="n">
        <v>47.6</v>
      </c>
      <c r="J200" s="53" t="n">
        <v>5.8</v>
      </c>
      <c r="K200" s="53" t="n">
        <v>3</v>
      </c>
      <c r="L200" s="53" t="n">
        <v>5</v>
      </c>
      <c r="M200" s="53" t="n">
        <v>0</v>
      </c>
      <c r="N200" s="53" t="n">
        <v>1</v>
      </c>
      <c r="O200" s="53" t="n">
        <v>4</v>
      </c>
      <c r="P200" s="53" t="n">
        <v>120</v>
      </c>
      <c r="Q200" s="53" t="n">
        <v>5</v>
      </c>
      <c r="R200" s="53" t="n">
        <v>1500</v>
      </c>
      <c r="S200" s="53" t="n">
        <v>0</v>
      </c>
      <c r="T200" s="53" t="n">
        <v>5</v>
      </c>
      <c r="U200" s="53" t="n">
        <v>0</v>
      </c>
      <c r="V200" s="53" t="n">
        <v>0</v>
      </c>
      <c r="W200" s="53" t="n">
        <v>0</v>
      </c>
      <c r="X200" s="53" t="n">
        <v>1.31</v>
      </c>
    </row>
    <row r="201">
      <c r="A201" s="53" t="inlineStr">
        <is>
          <t>Rice husk</t>
        </is>
      </c>
      <c r="B201" s="53" t="n">
        <v>38.3</v>
      </c>
      <c r="C201" s="53" t="n">
        <v>31.6</v>
      </c>
      <c r="D201" s="53" t="n">
        <v>11.8</v>
      </c>
      <c r="E201" s="53" t="n">
        <v>68.2</v>
      </c>
      <c r="F201" s="53" t="n">
        <v>16.1</v>
      </c>
      <c r="G201" s="53" t="n">
        <v>15.7</v>
      </c>
      <c r="H201" s="53" t="n">
        <v>45.2</v>
      </c>
      <c r="I201" s="53" t="n">
        <v>47.6</v>
      </c>
      <c r="J201" s="53" t="n">
        <v>5.8</v>
      </c>
      <c r="K201" s="53" t="n">
        <v>1</v>
      </c>
      <c r="L201" s="53" t="n">
        <v>5</v>
      </c>
      <c r="M201" s="53" t="n">
        <v>0</v>
      </c>
      <c r="N201" s="53" t="n">
        <v>1</v>
      </c>
      <c r="O201" s="53" t="n">
        <v>4</v>
      </c>
      <c r="P201" s="53" t="n">
        <v>120</v>
      </c>
      <c r="Q201" s="53" t="n">
        <v>5</v>
      </c>
      <c r="R201" s="53" t="n">
        <v>1500</v>
      </c>
      <c r="S201" s="53" t="n">
        <v>0</v>
      </c>
      <c r="T201" s="53" t="n">
        <v>5</v>
      </c>
      <c r="U201" s="53" t="n">
        <v>0</v>
      </c>
      <c r="V201" s="53" t="n">
        <v>0</v>
      </c>
      <c r="W201" s="53" t="n">
        <v>0</v>
      </c>
      <c r="X201" s="53" t="n">
        <v>1.31</v>
      </c>
    </row>
    <row r="202">
      <c r="A202" s="53" t="inlineStr">
        <is>
          <t>Sorghum stalk</t>
        </is>
      </c>
      <c r="B202" s="53" t="n">
        <v>36.42</v>
      </c>
      <c r="C202" s="53" t="n">
        <v>30.1</v>
      </c>
      <c r="D202" s="53" t="n">
        <v>19.85</v>
      </c>
      <c r="E202" s="53" t="n">
        <v>71.70999999999999</v>
      </c>
      <c r="F202" s="53" t="n">
        <v>3.94</v>
      </c>
      <c r="G202" s="53" t="n">
        <v>17.95</v>
      </c>
      <c r="H202" s="53" t="n">
        <v>44.03</v>
      </c>
      <c r="I202" s="53" t="n">
        <v>5.68</v>
      </c>
      <c r="J202" s="53" t="n">
        <v>49.93</v>
      </c>
      <c r="K202" s="53" t="n">
        <v>4</v>
      </c>
      <c r="L202" s="53" t="n">
        <v>1</v>
      </c>
      <c r="M202" s="53" t="n">
        <v>0</v>
      </c>
      <c r="N202" s="53" t="n">
        <v>1</v>
      </c>
      <c r="O202" s="53" t="n">
        <v>4</v>
      </c>
      <c r="P202" s="53" t="n">
        <v>120</v>
      </c>
      <c r="Q202" s="53" t="n">
        <v>2</v>
      </c>
      <c r="R202" s="53" t="n">
        <v>1100</v>
      </c>
      <c r="S202" s="53" t="n">
        <v>0</v>
      </c>
      <c r="T202" s="53" t="n">
        <v>5</v>
      </c>
      <c r="U202" s="53" t="n">
        <v>0</v>
      </c>
      <c r="V202" s="53" t="n">
        <v>0</v>
      </c>
      <c r="W202" s="53" t="n">
        <v>0</v>
      </c>
      <c r="X202" s="53" t="n">
        <v>0.8</v>
      </c>
    </row>
    <row r="203">
      <c r="A203" s="53" t="inlineStr">
        <is>
          <t>Sorghum stalk</t>
        </is>
      </c>
      <c r="B203" s="53" t="n">
        <v>36.42</v>
      </c>
      <c r="C203" s="53" t="n">
        <v>30.1</v>
      </c>
      <c r="D203" s="53" t="n">
        <v>19.85</v>
      </c>
      <c r="E203" s="53" t="n">
        <v>71.70999999999999</v>
      </c>
      <c r="F203" s="53" t="n">
        <v>3.94</v>
      </c>
      <c r="G203" s="53" t="n">
        <v>17.95</v>
      </c>
      <c r="H203" s="53" t="n">
        <v>44.03</v>
      </c>
      <c r="I203" s="53" t="n">
        <v>5.68</v>
      </c>
      <c r="J203" s="53" t="n">
        <v>49.93</v>
      </c>
      <c r="K203" s="53" t="n">
        <v>4</v>
      </c>
      <c r="L203" s="53" t="n">
        <v>1</v>
      </c>
      <c r="M203" s="53" t="n">
        <v>0</v>
      </c>
      <c r="N203" s="53" t="n">
        <v>1</v>
      </c>
      <c r="O203" s="53" t="n">
        <v>4</v>
      </c>
      <c r="P203" s="53" t="n">
        <v>120</v>
      </c>
      <c r="Q203" s="53" t="n">
        <v>2</v>
      </c>
      <c r="R203" s="53" t="n">
        <v>1300</v>
      </c>
      <c r="S203" s="53" t="n">
        <v>0</v>
      </c>
      <c r="T203" s="53" t="n">
        <v>5</v>
      </c>
      <c r="U203" s="53" t="n">
        <v>0</v>
      </c>
      <c r="V203" s="53" t="n">
        <v>0</v>
      </c>
      <c r="W203" s="53" t="n">
        <v>0</v>
      </c>
      <c r="X203" s="53" t="n">
        <v>0.88</v>
      </c>
    </row>
    <row r="204">
      <c r="A204" s="53" t="inlineStr">
        <is>
          <t>Sorghum stalk</t>
        </is>
      </c>
      <c r="B204" s="53" t="n">
        <v>36.42</v>
      </c>
      <c r="C204" s="53" t="n">
        <v>30.1</v>
      </c>
      <c r="D204" s="53" t="n">
        <v>19.85</v>
      </c>
      <c r="E204" s="53" t="n">
        <v>71.70999999999999</v>
      </c>
      <c r="F204" s="53" t="n">
        <v>3.94</v>
      </c>
      <c r="G204" s="53" t="n">
        <v>17.95</v>
      </c>
      <c r="H204" s="53" t="n">
        <v>44.03</v>
      </c>
      <c r="I204" s="53" t="n">
        <v>5.68</v>
      </c>
      <c r="J204" s="53" t="n">
        <v>49.93</v>
      </c>
      <c r="K204" s="53" t="n">
        <v>4</v>
      </c>
      <c r="L204" s="53" t="n">
        <v>1</v>
      </c>
      <c r="M204" s="53" t="n">
        <v>0</v>
      </c>
      <c r="N204" s="53" t="n">
        <v>1</v>
      </c>
      <c r="O204" s="53" t="n">
        <v>4</v>
      </c>
      <c r="P204" s="53" t="n">
        <v>120</v>
      </c>
      <c r="Q204" s="53" t="n">
        <v>2</v>
      </c>
      <c r="R204" s="53" t="n">
        <v>1500</v>
      </c>
      <c r="S204" s="53" t="n">
        <v>0</v>
      </c>
      <c r="T204" s="53" t="n">
        <v>5</v>
      </c>
      <c r="U204" s="53" t="n">
        <v>0</v>
      </c>
      <c r="V204" s="53" t="n">
        <v>0</v>
      </c>
      <c r="W204" s="53" t="n">
        <v>0</v>
      </c>
      <c r="X204" s="53" t="n">
        <v>0.95</v>
      </c>
    </row>
    <row r="205">
      <c r="A205" s="53" t="inlineStr">
        <is>
          <t>Switchgrass</t>
        </is>
      </c>
      <c r="B205" s="53" t="n">
        <v>34.44</v>
      </c>
      <c r="C205" s="53" t="n">
        <v>28.84</v>
      </c>
      <c r="D205" s="53" t="n">
        <v>8.84</v>
      </c>
      <c r="E205" s="53" t="n">
        <v>79.76000000000001</v>
      </c>
      <c r="F205" s="53" t="n">
        <v>2.02</v>
      </c>
      <c r="G205" s="53" t="n">
        <v>18.22</v>
      </c>
      <c r="H205" s="53" t="n">
        <v>48.02</v>
      </c>
      <c r="I205" s="53" t="n">
        <v>44.19</v>
      </c>
      <c r="J205" s="53" t="n">
        <v>6.71</v>
      </c>
      <c r="K205" s="53" t="n">
        <v>4</v>
      </c>
      <c r="L205" s="53" t="n">
        <v>5</v>
      </c>
      <c r="M205" s="53" t="n">
        <v>1</v>
      </c>
      <c r="N205" s="53" t="n">
        <v>0</v>
      </c>
      <c r="O205" s="53" t="n">
        <v>4</v>
      </c>
      <c r="P205" s="53" t="n">
        <v>120</v>
      </c>
      <c r="Q205" s="53" t="n">
        <v>5.08108108108108</v>
      </c>
      <c r="R205" s="53" t="n">
        <v>220</v>
      </c>
      <c r="S205" s="53" t="n">
        <v>1</v>
      </c>
      <c r="T205" s="53" t="n">
        <v>5</v>
      </c>
      <c r="U205" s="53" t="n">
        <v>120</v>
      </c>
      <c r="V205" s="53" t="n">
        <v>0</v>
      </c>
      <c r="W205" s="53" t="n">
        <v>1600</v>
      </c>
      <c r="X205" s="53" t="n">
        <v>0.9</v>
      </c>
    </row>
    <row r="206">
      <c r="A206" s="53" t="inlineStr">
        <is>
          <t>Switchgrass</t>
        </is>
      </c>
      <c r="B206" s="53" t="n">
        <v>34.44</v>
      </c>
      <c r="C206" s="53" t="n">
        <v>28.84</v>
      </c>
      <c r="D206" s="53" t="n">
        <v>8.84</v>
      </c>
      <c r="E206" s="53" t="n">
        <v>79.76000000000001</v>
      </c>
      <c r="F206" s="53" t="n">
        <v>2.02</v>
      </c>
      <c r="G206" s="53" t="n">
        <v>18.22</v>
      </c>
      <c r="H206" s="53" t="n">
        <v>48.02</v>
      </c>
      <c r="I206" s="53" t="n">
        <v>44.19</v>
      </c>
      <c r="J206" s="53" t="n">
        <v>6.71</v>
      </c>
      <c r="K206" s="53" t="n">
        <v>4</v>
      </c>
      <c r="L206" s="53" t="n">
        <v>5</v>
      </c>
      <c r="M206" s="53" t="n">
        <v>0</v>
      </c>
      <c r="N206" s="53" t="n">
        <v>1</v>
      </c>
      <c r="O206" s="53" t="n">
        <v>4</v>
      </c>
      <c r="P206" s="53" t="n">
        <v>120</v>
      </c>
      <c r="Q206" s="53" t="n">
        <v>5.08108108108108</v>
      </c>
      <c r="R206" s="53" t="n">
        <v>1600</v>
      </c>
      <c r="S206" s="53" t="n">
        <v>0</v>
      </c>
      <c r="T206" s="53" t="n">
        <v>5</v>
      </c>
      <c r="U206" s="53" t="n">
        <v>0</v>
      </c>
      <c r="V206" s="53" t="n">
        <v>0</v>
      </c>
      <c r="W206" s="53" t="n">
        <v>0</v>
      </c>
      <c r="X206" s="53" t="n">
        <v>0.91</v>
      </c>
    </row>
    <row r="207">
      <c r="A207" s="53" t="inlineStr">
        <is>
          <t>Switchgrass</t>
        </is>
      </c>
      <c r="B207" s="53" t="n">
        <v>34.44</v>
      </c>
      <c r="C207" s="53" t="n">
        <v>28.84</v>
      </c>
      <c r="D207" s="53" t="n">
        <v>8.84</v>
      </c>
      <c r="E207" s="53" t="n">
        <v>79.76000000000001</v>
      </c>
      <c r="F207" s="53" t="n">
        <v>2.02</v>
      </c>
      <c r="G207" s="53" t="n">
        <v>18.22</v>
      </c>
      <c r="H207" s="53" t="n">
        <v>48.02</v>
      </c>
      <c r="I207" s="53" t="n">
        <v>44.19</v>
      </c>
      <c r="J207" s="53" t="n">
        <v>6.71</v>
      </c>
      <c r="K207" s="53" t="n">
        <v>4</v>
      </c>
      <c r="L207" s="53" t="n">
        <v>5</v>
      </c>
      <c r="M207" s="53" t="n">
        <v>1</v>
      </c>
      <c r="N207" s="53" t="n">
        <v>0</v>
      </c>
      <c r="O207" s="53" t="n">
        <v>4</v>
      </c>
      <c r="P207" s="53" t="n">
        <v>120</v>
      </c>
      <c r="Q207" s="53" t="n">
        <v>5.08108108108108</v>
      </c>
      <c r="R207" s="53" t="n">
        <v>190</v>
      </c>
      <c r="S207" s="53" t="n">
        <v>1</v>
      </c>
      <c r="T207" s="53" t="n">
        <v>5</v>
      </c>
      <c r="U207" s="53" t="n">
        <v>120</v>
      </c>
      <c r="V207" s="53" t="n">
        <v>0</v>
      </c>
      <c r="W207" s="53" t="n">
        <v>1600</v>
      </c>
      <c r="X207" s="53" t="n">
        <v>0.9399999999999999</v>
      </c>
    </row>
    <row r="208">
      <c r="A208" s="53" t="inlineStr">
        <is>
          <t>Switchgrass</t>
        </is>
      </c>
      <c r="B208" s="53" t="n">
        <v>34.44</v>
      </c>
      <c r="C208" s="53" t="n">
        <v>28.84</v>
      </c>
      <c r="D208" s="53" t="n">
        <v>8.84</v>
      </c>
      <c r="E208" s="53" t="n">
        <v>79.76000000000001</v>
      </c>
      <c r="F208" s="53" t="n">
        <v>2.02</v>
      </c>
      <c r="G208" s="53" t="n">
        <v>18.22</v>
      </c>
      <c r="H208" s="53" t="n">
        <v>48.02</v>
      </c>
      <c r="I208" s="53" t="n">
        <v>44.19</v>
      </c>
      <c r="J208" s="53" t="n">
        <v>6.71</v>
      </c>
      <c r="K208" s="53" t="n">
        <v>4</v>
      </c>
      <c r="L208" s="53" t="n">
        <v>5</v>
      </c>
      <c r="M208" s="53" t="n">
        <v>1</v>
      </c>
      <c r="N208" s="53" t="n">
        <v>0</v>
      </c>
      <c r="O208" s="53" t="n">
        <v>4</v>
      </c>
      <c r="P208" s="53" t="n">
        <v>120</v>
      </c>
      <c r="Q208" s="53" t="n">
        <v>5.08108108108108</v>
      </c>
      <c r="R208" s="53" t="n">
        <v>160</v>
      </c>
      <c r="S208" s="53" t="n">
        <v>1</v>
      </c>
      <c r="T208" s="53" t="n">
        <v>5</v>
      </c>
      <c r="U208" s="53" t="n">
        <v>120</v>
      </c>
      <c r="V208" s="53" t="n">
        <v>0</v>
      </c>
      <c r="W208" s="53" t="n">
        <v>1600</v>
      </c>
      <c r="X208" s="53" t="n">
        <v>0.98</v>
      </c>
    </row>
    <row r="209">
      <c r="A209" s="53" t="inlineStr">
        <is>
          <t>Typha</t>
        </is>
      </c>
      <c r="B209" s="53" t="n">
        <v>34.5</v>
      </c>
      <c r="C209" s="53" t="n">
        <v>28</v>
      </c>
      <c r="D209" s="53" t="n">
        <v>8</v>
      </c>
      <c r="E209" s="53" t="n">
        <v>80.05</v>
      </c>
      <c r="F209" s="53" t="n">
        <v>3.81</v>
      </c>
      <c r="G209" s="53" t="n">
        <v>2.18</v>
      </c>
      <c r="H209" s="53" t="n">
        <v>52.89</v>
      </c>
      <c r="I209" s="53" t="n">
        <v>40.04</v>
      </c>
      <c r="J209" s="53" t="n">
        <v>5.84</v>
      </c>
      <c r="K209" s="53" t="n">
        <v>6</v>
      </c>
      <c r="L209" s="53" t="n">
        <v>1</v>
      </c>
      <c r="M209" s="53" t="n">
        <v>0</v>
      </c>
      <c r="N209" s="53" t="n">
        <v>1</v>
      </c>
      <c r="O209" s="53" t="n">
        <v>0</v>
      </c>
      <c r="P209" s="53" t="n">
        <v>206.608695652174</v>
      </c>
      <c r="Q209" s="53" t="n">
        <v>5.08108108108108</v>
      </c>
      <c r="R209" s="53" t="n">
        <v>500</v>
      </c>
      <c r="S209" s="53" t="n">
        <v>0</v>
      </c>
      <c r="T209" s="53" t="n">
        <v>5</v>
      </c>
      <c r="U209" s="53" t="n">
        <v>0</v>
      </c>
      <c r="V209" s="53" t="n">
        <v>0</v>
      </c>
      <c r="W209" s="53" t="n">
        <v>0</v>
      </c>
      <c r="X209" s="53" t="n">
        <v>1.11</v>
      </c>
    </row>
    <row r="210">
      <c r="A210" s="53" t="inlineStr">
        <is>
          <t>Vine Shoots</t>
        </is>
      </c>
      <c r="B210" s="53" t="n">
        <v>31.9</v>
      </c>
      <c r="C210" s="53" t="n">
        <v>23.2</v>
      </c>
      <c r="D210" s="53" t="n">
        <v>38.5</v>
      </c>
      <c r="E210" s="53" t="n">
        <v>71.40000000000001</v>
      </c>
      <c r="F210" s="53" t="n">
        <v>3.7</v>
      </c>
      <c r="G210" s="53" t="n">
        <v>14.6</v>
      </c>
      <c r="H210" s="53" t="n">
        <v>41.8</v>
      </c>
      <c r="I210" s="53" t="n">
        <v>51.6</v>
      </c>
      <c r="J210" s="53" t="n">
        <v>5.87</v>
      </c>
      <c r="K210" s="53" t="n">
        <v>4</v>
      </c>
      <c r="L210" s="53" t="n">
        <v>1</v>
      </c>
      <c r="M210" s="53" t="n">
        <v>1</v>
      </c>
      <c r="N210" s="53" t="n">
        <v>0</v>
      </c>
      <c r="O210" s="53" t="n">
        <v>4</v>
      </c>
      <c r="P210" s="53" t="n">
        <v>720</v>
      </c>
      <c r="Q210" s="53" t="n">
        <v>5</v>
      </c>
      <c r="R210" s="53" t="n">
        <v>180</v>
      </c>
      <c r="S210" s="53" t="n">
        <v>1</v>
      </c>
      <c r="T210" s="53" t="n">
        <v>5</v>
      </c>
      <c r="U210" s="53" t="n">
        <v>120</v>
      </c>
      <c r="V210" s="53" t="n">
        <v>5</v>
      </c>
      <c r="W210" s="53" t="n">
        <v>1000</v>
      </c>
      <c r="X210" s="53" t="n">
        <v>0.874</v>
      </c>
    </row>
    <row r="211">
      <c r="A211" s="53" t="inlineStr">
        <is>
          <t>Vine Shoots</t>
        </is>
      </c>
      <c r="B211" s="53" t="n">
        <v>31.9</v>
      </c>
      <c r="C211" s="53" t="n">
        <v>23.2</v>
      </c>
      <c r="D211" s="53" t="n">
        <v>38.5</v>
      </c>
      <c r="E211" s="53" t="n">
        <v>71.40000000000001</v>
      </c>
      <c r="F211" s="53" t="n">
        <v>3.7</v>
      </c>
      <c r="G211" s="53" t="n">
        <v>14.6</v>
      </c>
      <c r="H211" s="53" t="n">
        <v>41.8</v>
      </c>
      <c r="I211" s="53" t="n">
        <v>51.6</v>
      </c>
      <c r="J211" s="53" t="n">
        <v>5.87</v>
      </c>
      <c r="K211" s="53" t="n">
        <v>4</v>
      </c>
      <c r="L211" s="53" t="n">
        <v>1</v>
      </c>
      <c r="M211" s="53" t="n">
        <v>1</v>
      </c>
      <c r="N211" s="53" t="n">
        <v>0</v>
      </c>
      <c r="O211" s="53" t="n">
        <v>4</v>
      </c>
      <c r="P211" s="53" t="n">
        <v>720</v>
      </c>
      <c r="Q211" s="53" t="n">
        <v>5</v>
      </c>
      <c r="R211" s="53" t="n">
        <v>180</v>
      </c>
      <c r="S211" s="53" t="n">
        <v>1</v>
      </c>
      <c r="T211" s="53" t="n">
        <v>5</v>
      </c>
      <c r="U211" s="53" t="n">
        <v>120</v>
      </c>
      <c r="V211" s="53" t="n">
        <v>5</v>
      </c>
      <c r="W211" s="53" t="n">
        <v>800</v>
      </c>
      <c r="X211" s="53" t="n">
        <v>0.887</v>
      </c>
    </row>
    <row r="212">
      <c r="A212" s="53" t="inlineStr">
        <is>
          <t>Vine Shoots</t>
        </is>
      </c>
      <c r="B212" s="53" t="n">
        <v>31.9</v>
      </c>
      <c r="C212" s="53" t="n">
        <v>23.2</v>
      </c>
      <c r="D212" s="53" t="n">
        <v>38.5</v>
      </c>
      <c r="E212" s="53" t="n">
        <v>71.40000000000001</v>
      </c>
      <c r="F212" s="53" t="n">
        <v>3.7</v>
      </c>
      <c r="G212" s="53" t="n">
        <v>14.6</v>
      </c>
      <c r="H212" s="53" t="n">
        <v>41.8</v>
      </c>
      <c r="I212" s="53" t="n">
        <v>51.6</v>
      </c>
      <c r="J212" s="53" t="n">
        <v>5.87</v>
      </c>
      <c r="K212" s="53" t="n">
        <v>4</v>
      </c>
      <c r="L212" s="53" t="n">
        <v>1</v>
      </c>
      <c r="M212" s="53" t="n">
        <v>1</v>
      </c>
      <c r="N212" s="53" t="n">
        <v>0</v>
      </c>
      <c r="O212" s="53" t="n">
        <v>4</v>
      </c>
      <c r="P212" s="53" t="n">
        <v>720</v>
      </c>
      <c r="Q212" s="53" t="n">
        <v>5</v>
      </c>
      <c r="R212" s="53" t="n">
        <v>180</v>
      </c>
      <c r="S212" s="53" t="n">
        <v>1</v>
      </c>
      <c r="T212" s="53" t="n">
        <v>5</v>
      </c>
      <c r="U212" s="53" t="n">
        <v>120</v>
      </c>
      <c r="V212" s="53" t="n">
        <v>5</v>
      </c>
      <c r="W212" s="53" t="n">
        <v>1200</v>
      </c>
      <c r="X212" s="53" t="n">
        <v>0.913</v>
      </c>
    </row>
    <row r="213">
      <c r="A213" s="53" t="inlineStr">
        <is>
          <t>Walnut shell</t>
        </is>
      </c>
      <c r="B213" s="53" t="n">
        <v>42.36</v>
      </c>
      <c r="C213" s="53" t="n">
        <v>10.26</v>
      </c>
      <c r="D213" s="53" t="n">
        <v>27.19</v>
      </c>
      <c r="E213" s="53" t="n">
        <v>71.52</v>
      </c>
      <c r="F213" s="53" t="n">
        <v>1.65</v>
      </c>
      <c r="G213" s="53" t="n">
        <v>19.33</v>
      </c>
      <c r="H213" s="53" t="n">
        <v>46.65</v>
      </c>
      <c r="I213" s="53" t="n">
        <v>47.54</v>
      </c>
      <c r="J213" s="53" t="n">
        <v>5.8</v>
      </c>
      <c r="K213" s="53" t="n">
        <v>6</v>
      </c>
      <c r="L213" s="53" t="n">
        <v>6</v>
      </c>
      <c r="M213" s="53" t="n">
        <v>0</v>
      </c>
      <c r="N213" s="53" t="n">
        <v>1</v>
      </c>
      <c r="O213" s="53" t="n">
        <v>4</v>
      </c>
      <c r="P213" s="53" t="n">
        <v>360</v>
      </c>
      <c r="Q213" s="53" t="n">
        <v>5</v>
      </c>
      <c r="R213" s="53" t="n">
        <v>1000</v>
      </c>
      <c r="S213" s="53" t="n">
        <v>0</v>
      </c>
      <c r="T213" s="53" t="n">
        <v>5</v>
      </c>
      <c r="U213" s="53" t="n">
        <v>0</v>
      </c>
      <c r="V213" s="53" t="n">
        <v>0</v>
      </c>
      <c r="W213" s="53" t="n">
        <v>0</v>
      </c>
      <c r="X213" s="53" t="n">
        <v>2.15</v>
      </c>
    </row>
    <row r="214">
      <c r="A214" s="53" t="inlineStr">
        <is>
          <t>Walnut shell</t>
        </is>
      </c>
      <c r="B214" s="53" t="n">
        <v>42.36</v>
      </c>
      <c r="C214" s="53" t="n">
        <v>10.26</v>
      </c>
      <c r="D214" s="53" t="n">
        <v>27.19</v>
      </c>
      <c r="E214" s="53" t="n">
        <v>71.52</v>
      </c>
      <c r="F214" s="53" t="n">
        <v>1.65</v>
      </c>
      <c r="G214" s="53" t="n">
        <v>19.33</v>
      </c>
      <c r="H214" s="53" t="n">
        <v>46.65</v>
      </c>
      <c r="I214" s="53" t="n">
        <v>47.54</v>
      </c>
      <c r="J214" s="53" t="n">
        <v>5.8</v>
      </c>
      <c r="K214" s="53" t="n">
        <v>4</v>
      </c>
      <c r="L214" s="53" t="n">
        <v>3</v>
      </c>
      <c r="M214" s="53" t="n">
        <v>0</v>
      </c>
      <c r="N214" s="53" t="n">
        <v>1</v>
      </c>
      <c r="O214" s="53" t="n">
        <v>4</v>
      </c>
      <c r="P214" s="53" t="n">
        <v>360</v>
      </c>
      <c r="Q214" s="53" t="n">
        <v>5</v>
      </c>
      <c r="R214" s="53" t="n">
        <v>1300</v>
      </c>
      <c r="S214" s="53" t="n">
        <v>0</v>
      </c>
      <c r="T214" s="53" t="n">
        <v>5</v>
      </c>
      <c r="U214" s="53" t="n">
        <v>0</v>
      </c>
      <c r="V214" s="53" t="n">
        <v>0</v>
      </c>
      <c r="W214" s="53" t="n">
        <v>0</v>
      </c>
      <c r="X214" s="53" t="n">
        <v>10</v>
      </c>
    </row>
    <row r="215">
      <c r="A215" s="53" t="inlineStr">
        <is>
          <t>Walnut shells</t>
        </is>
      </c>
      <c r="B215" s="53" t="n">
        <v>42.36</v>
      </c>
      <c r="C215" s="53" t="n">
        <v>10.26</v>
      </c>
      <c r="D215" s="53" t="n">
        <v>27.19</v>
      </c>
      <c r="E215" s="53" t="n">
        <v>71.52</v>
      </c>
      <c r="F215" s="53" t="n">
        <v>1.65</v>
      </c>
      <c r="G215" s="53" t="n">
        <v>19.33</v>
      </c>
      <c r="H215" s="53" t="n">
        <v>46.65</v>
      </c>
      <c r="I215" s="53" t="n">
        <v>47.54</v>
      </c>
      <c r="J215" s="53" t="n">
        <v>5.8</v>
      </c>
      <c r="K215" s="53" t="n">
        <v>4</v>
      </c>
      <c r="L215" s="53" t="n">
        <v>1</v>
      </c>
      <c r="M215" s="53" t="n">
        <v>0</v>
      </c>
      <c r="N215" s="53" t="n">
        <v>1</v>
      </c>
      <c r="O215" s="53" t="n">
        <v>4</v>
      </c>
      <c r="P215" s="53" t="n">
        <v>60</v>
      </c>
      <c r="Q215" s="53" t="n">
        <v>5</v>
      </c>
      <c r="R215" s="53" t="n">
        <v>1300</v>
      </c>
      <c r="S215" s="53" t="n">
        <v>0</v>
      </c>
      <c r="T215" s="53" t="n">
        <v>5</v>
      </c>
      <c r="U215" s="53" t="n">
        <v>0</v>
      </c>
      <c r="V215" s="53" t="n">
        <v>0</v>
      </c>
      <c r="W215" s="53" t="n">
        <v>0</v>
      </c>
      <c r="X215" s="53" t="n">
        <v>0.1</v>
      </c>
    </row>
    <row r="216">
      <c r="A216" s="53" t="inlineStr">
        <is>
          <t>Water caltrop</t>
        </is>
      </c>
      <c r="B216" s="53" t="n">
        <v>34.55</v>
      </c>
      <c r="C216" s="53" t="n">
        <v>12.78</v>
      </c>
      <c r="D216" s="53" t="n">
        <v>22</v>
      </c>
      <c r="E216" s="53" t="n">
        <v>71</v>
      </c>
      <c r="F216" s="53" t="n">
        <v>6.32</v>
      </c>
      <c r="G216" s="53" t="n">
        <v>13.58</v>
      </c>
      <c r="H216" s="53" t="n">
        <v>40.05</v>
      </c>
      <c r="I216" s="53" t="n">
        <v>45.49</v>
      </c>
      <c r="J216" s="53" t="n">
        <v>6.13</v>
      </c>
      <c r="K216" s="53" t="n">
        <v>5</v>
      </c>
      <c r="L216" s="53" t="n">
        <v>1</v>
      </c>
      <c r="M216" s="53" t="n">
        <v>0</v>
      </c>
      <c r="N216" s="53" t="n">
        <v>1</v>
      </c>
      <c r="O216" s="53" t="n">
        <v>4</v>
      </c>
      <c r="P216" s="53" t="n">
        <v>180</v>
      </c>
      <c r="Q216" s="53" t="n">
        <v>5</v>
      </c>
      <c r="R216" s="53" t="n">
        <v>900</v>
      </c>
      <c r="S216" s="53" t="n">
        <v>0</v>
      </c>
      <c r="T216" s="53" t="n">
        <v>5</v>
      </c>
      <c r="U216" s="53" t="n">
        <v>0</v>
      </c>
      <c r="V216" s="53" t="n">
        <v>0</v>
      </c>
      <c r="W216" s="53" t="n">
        <v>0</v>
      </c>
      <c r="X216" s="53" t="n">
        <v>1.52</v>
      </c>
    </row>
    <row r="217">
      <c r="A217" s="53" t="inlineStr">
        <is>
          <t>Water caltrop</t>
        </is>
      </c>
      <c r="B217" s="53" t="n">
        <v>34.55</v>
      </c>
      <c r="C217" s="53" t="n">
        <v>12.78</v>
      </c>
      <c r="D217" s="53" t="n">
        <v>22</v>
      </c>
      <c r="E217" s="53" t="n">
        <v>71</v>
      </c>
      <c r="F217" s="53" t="n">
        <v>6.32</v>
      </c>
      <c r="G217" s="53" t="n">
        <v>13.58</v>
      </c>
      <c r="H217" s="53" t="n">
        <v>40.05</v>
      </c>
      <c r="I217" s="53" t="n">
        <v>45.49</v>
      </c>
      <c r="J217" s="53" t="n">
        <v>6.13</v>
      </c>
      <c r="K217" s="53" t="n">
        <v>5</v>
      </c>
      <c r="L217" s="53" t="n">
        <v>1</v>
      </c>
      <c r="M217" s="53" t="n">
        <v>0</v>
      </c>
      <c r="N217" s="53" t="n">
        <v>1</v>
      </c>
      <c r="O217" s="53" t="n">
        <v>4</v>
      </c>
      <c r="P217" s="53" t="n">
        <v>180</v>
      </c>
      <c r="Q217" s="53" t="n">
        <v>5</v>
      </c>
      <c r="R217" s="53" t="n">
        <v>1100</v>
      </c>
      <c r="S217" s="53" t="n">
        <v>0</v>
      </c>
      <c r="T217" s="53" t="n">
        <v>5</v>
      </c>
      <c r="U217" s="53" t="n">
        <v>0</v>
      </c>
      <c r="V217" s="53" t="n">
        <v>0</v>
      </c>
      <c r="W217" s="53" t="n">
        <v>0</v>
      </c>
      <c r="X217" s="53" t="n">
        <v>1.53</v>
      </c>
    </row>
    <row r="218">
      <c r="A218" s="53" t="inlineStr">
        <is>
          <t>Water caltrop</t>
        </is>
      </c>
      <c r="B218" s="53" t="n">
        <v>34.55</v>
      </c>
      <c r="C218" s="53" t="n">
        <v>12.78</v>
      </c>
      <c r="D218" s="53" t="n">
        <v>22</v>
      </c>
      <c r="E218" s="53" t="n">
        <v>71</v>
      </c>
      <c r="F218" s="53" t="n">
        <v>6.32</v>
      </c>
      <c r="G218" s="53" t="n">
        <v>13.58</v>
      </c>
      <c r="H218" s="53" t="n">
        <v>40.05</v>
      </c>
      <c r="I218" s="53" t="n">
        <v>45.49</v>
      </c>
      <c r="J218" s="53" t="n">
        <v>6.13</v>
      </c>
      <c r="K218" s="53" t="n">
        <v>5</v>
      </c>
      <c r="L218" s="53" t="n">
        <v>1</v>
      </c>
      <c r="M218" s="53" t="n">
        <v>0</v>
      </c>
      <c r="N218" s="53" t="n">
        <v>1</v>
      </c>
      <c r="O218" s="53" t="n">
        <v>4</v>
      </c>
      <c r="P218" s="53" t="n">
        <v>180</v>
      </c>
      <c r="Q218" s="53" t="n">
        <v>5</v>
      </c>
      <c r="R218" s="53" t="n">
        <v>1300</v>
      </c>
      <c r="S218" s="53" t="n">
        <v>0</v>
      </c>
      <c r="T218" s="53" t="n">
        <v>5</v>
      </c>
      <c r="U218" s="53" t="n">
        <v>0</v>
      </c>
      <c r="V218" s="53" t="n">
        <v>0</v>
      </c>
      <c r="W218" s="53" t="n">
        <v>0</v>
      </c>
      <c r="X218" s="53" t="n">
        <v>1.58</v>
      </c>
    </row>
    <row r="219">
      <c r="A219" s="53" t="inlineStr">
        <is>
          <t>Water caltrop</t>
        </is>
      </c>
      <c r="B219" s="53" t="n">
        <v>34.55</v>
      </c>
      <c r="C219" s="53" t="n">
        <v>12.78</v>
      </c>
      <c r="D219" s="53" t="n">
        <v>22</v>
      </c>
      <c r="E219" s="53" t="n">
        <v>71</v>
      </c>
      <c r="F219" s="53" t="n">
        <v>6.32</v>
      </c>
      <c r="G219" s="53" t="n">
        <v>13.58</v>
      </c>
      <c r="H219" s="53" t="n">
        <v>40.05</v>
      </c>
      <c r="I219" s="53" t="n">
        <v>45.49</v>
      </c>
      <c r="J219" s="53" t="n">
        <v>6.13</v>
      </c>
      <c r="K219" s="53" t="n">
        <v>5</v>
      </c>
      <c r="L219" s="53" t="n">
        <v>1</v>
      </c>
      <c r="M219" s="53" t="n">
        <v>0</v>
      </c>
      <c r="N219" s="53" t="n">
        <v>1</v>
      </c>
      <c r="O219" s="53" t="n">
        <v>4</v>
      </c>
      <c r="P219" s="53" t="n">
        <v>180</v>
      </c>
      <c r="Q219" s="53" t="n">
        <v>5</v>
      </c>
      <c r="R219" s="53" t="n">
        <v>1500</v>
      </c>
      <c r="S219" s="53" t="n">
        <v>0</v>
      </c>
      <c r="T219" s="53" t="n">
        <v>5</v>
      </c>
      <c r="U219" s="53" t="n">
        <v>0</v>
      </c>
      <c r="V219" s="53" t="n">
        <v>0</v>
      </c>
      <c r="W219" s="53" t="n">
        <v>0</v>
      </c>
      <c r="X219" s="53" t="n">
        <v>1.7</v>
      </c>
    </row>
    <row r="220">
      <c r="A220" s="53" t="inlineStr">
        <is>
          <t>Wheat straw</t>
        </is>
      </c>
      <c r="B220" s="53" t="n">
        <v>57.09</v>
      </c>
      <c r="C220" s="53" t="n">
        <v>16.81</v>
      </c>
      <c r="D220" s="53" t="n">
        <v>19.1</v>
      </c>
      <c r="E220" s="53" t="n">
        <v>68.23</v>
      </c>
      <c r="F220" s="53" t="n">
        <v>17.04</v>
      </c>
      <c r="G220" s="53" t="n">
        <v>14.72</v>
      </c>
      <c r="H220" s="53" t="n">
        <v>37.2</v>
      </c>
      <c r="I220" s="53" t="n">
        <v>37.3</v>
      </c>
      <c r="J220" s="53" t="n">
        <v>5.57</v>
      </c>
      <c r="K220" s="53" t="n">
        <v>5</v>
      </c>
      <c r="L220" s="53" t="n">
        <v>1</v>
      </c>
      <c r="M220" s="53" t="n">
        <v>0</v>
      </c>
      <c r="N220" s="53" t="n">
        <v>1</v>
      </c>
      <c r="O220" s="53" t="n">
        <v>0</v>
      </c>
      <c r="P220" s="53" t="n">
        <v>120</v>
      </c>
      <c r="Q220" s="53" t="n">
        <v>2</v>
      </c>
      <c r="R220" s="53" t="n">
        <v>900</v>
      </c>
      <c r="S220" s="53" t="n">
        <v>0</v>
      </c>
      <c r="T220" s="53" t="n">
        <v>5</v>
      </c>
      <c r="U220" s="53" t="n">
        <v>0</v>
      </c>
      <c r="V220" s="53" t="n">
        <v>0</v>
      </c>
      <c r="W220" s="53" t="n">
        <v>0</v>
      </c>
      <c r="X220" s="53" t="n">
        <v>0.67</v>
      </c>
    </row>
    <row r="221">
      <c r="A221" s="53" t="inlineStr">
        <is>
          <t>Wheat straw</t>
        </is>
      </c>
      <c r="B221" s="53" t="n">
        <v>57.09</v>
      </c>
      <c r="C221" s="53" t="n">
        <v>16.81</v>
      </c>
      <c r="D221" s="53" t="n">
        <v>19.1</v>
      </c>
      <c r="E221" s="53" t="n">
        <v>68.23</v>
      </c>
      <c r="F221" s="53" t="n">
        <v>17.04</v>
      </c>
      <c r="G221" s="53" t="n">
        <v>14.72</v>
      </c>
      <c r="H221" s="53" t="n">
        <v>37.2</v>
      </c>
      <c r="I221" s="53" t="n">
        <v>37.3</v>
      </c>
      <c r="J221" s="53" t="n">
        <v>5.57</v>
      </c>
      <c r="K221" s="53" t="n">
        <v>5</v>
      </c>
      <c r="L221" s="53" t="n">
        <v>1</v>
      </c>
      <c r="M221" s="53" t="n">
        <v>0</v>
      </c>
      <c r="N221" s="53" t="n">
        <v>1</v>
      </c>
      <c r="O221" s="53" t="n">
        <v>0</v>
      </c>
      <c r="P221" s="53" t="n">
        <v>120</v>
      </c>
      <c r="Q221" s="53" t="n">
        <v>2</v>
      </c>
      <c r="R221" s="53" t="n">
        <v>1200</v>
      </c>
      <c r="S221" s="53" t="n">
        <v>0</v>
      </c>
      <c r="T221" s="53" t="n">
        <v>5</v>
      </c>
      <c r="U221" s="53" t="n">
        <v>0</v>
      </c>
      <c r="V221" s="53" t="n">
        <v>0</v>
      </c>
      <c r="W221" s="53" t="n">
        <v>0</v>
      </c>
      <c r="X221" s="53" t="n">
        <v>1.03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:X1048576"/>
    </sheetView>
  </sheetViews>
  <sheetFormatPr baseColWidth="8" defaultRowHeight="14.4"/>
  <cols>
    <col width="19.88671875" customWidth="1" style="51" min="1" max="1"/>
    <col width="12.88671875" customWidth="1" style="51" min="2" max="2"/>
    <col width="16" customWidth="1" style="51" min="3" max="3"/>
    <col width="12.88671875" customWidth="1" style="51" min="4" max="4"/>
    <col width="16.44140625" customWidth="1" style="51" min="5" max="5"/>
    <col width="12.88671875" customWidth="1" style="51" min="6" max="6"/>
    <col width="14.5546875" customWidth="1" style="51" min="7" max="7"/>
    <col width="12.88671875" customWidth="1" style="51" min="8" max="11"/>
    <col width="9.6640625" customWidth="1" style="51" min="12" max="12"/>
    <col width="5.77734375" customWidth="1" style="51" min="13" max="13"/>
    <col width="11.6640625" customWidth="1" style="51" min="14" max="14"/>
    <col width="12.6640625" customWidth="1" style="51" min="15" max="15"/>
    <col width="12.88671875" customWidth="1" style="51" min="16" max="16"/>
    <col width="15.5546875" customWidth="1" style="51" min="17" max="17"/>
    <col width="16.21875" customWidth="1" style="51" min="18" max="18"/>
    <col width="11.6640625" customWidth="1" style="51" min="19" max="19"/>
    <col width="12.6640625" customWidth="1" style="51" min="20" max="20"/>
    <col width="12.88671875" customWidth="1" style="51" min="21" max="21"/>
    <col width="15.5546875" customWidth="1" style="51" min="22" max="22"/>
    <col width="16.21875" customWidth="1" style="51" min="23" max="23"/>
    <col width="8.6640625" customWidth="1" style="51" min="24" max="24"/>
  </cols>
  <sheetData>
    <row r="1">
      <c r="A1" s="50" t="inlineStr">
        <is>
          <t>Biomass</t>
        </is>
      </c>
      <c r="B1" s="50" t="inlineStr">
        <is>
          <t>Cellulose%</t>
        </is>
      </c>
      <c r="C1" s="50" t="inlineStr">
        <is>
          <t>Hemi-cellulose%</t>
        </is>
      </c>
      <c r="D1" s="50" t="inlineStr">
        <is>
          <t>Lignin%</t>
        </is>
      </c>
      <c r="E1" s="50" t="inlineStr">
        <is>
          <t>Volatile Matter%</t>
        </is>
      </c>
      <c r="F1" s="50" t="inlineStr">
        <is>
          <t>Ash%</t>
        </is>
      </c>
      <c r="G1" s="50" t="inlineStr">
        <is>
          <t>Fixed Carbon%</t>
        </is>
      </c>
      <c r="H1" s="50" t="inlineStr">
        <is>
          <t>Carbon%</t>
        </is>
      </c>
      <c r="I1" s="50" t="inlineStr">
        <is>
          <t>Oxygen%</t>
        </is>
      </c>
      <c r="J1" s="50" t="inlineStr">
        <is>
          <t>Hydrogen%</t>
        </is>
      </c>
      <c r="K1" s="50" t="inlineStr">
        <is>
          <t>Prewash</t>
        </is>
      </c>
      <c r="L1" s="50" t="inlineStr">
        <is>
          <t>Postwash</t>
        </is>
      </c>
      <c r="M1" s="50" t="inlineStr">
        <is>
          <t>Type</t>
        </is>
      </c>
      <c r="N1" s="50" t="inlineStr">
        <is>
          <t>Method_01</t>
        </is>
      </c>
      <c r="O1" s="50" t="inlineStr">
        <is>
          <t>Activator_01</t>
        </is>
      </c>
      <c r="P1" s="50" t="inlineStr">
        <is>
          <t>Time_01</t>
        </is>
      </c>
      <c r="Q1" s="50" t="inlineStr">
        <is>
          <t>Heating rate_01</t>
        </is>
      </c>
      <c r="R1" s="50" t="inlineStr">
        <is>
          <t>Temperature_01</t>
        </is>
      </c>
      <c r="S1" s="50" t="inlineStr">
        <is>
          <t>Method_02</t>
        </is>
      </c>
      <c r="T1" s="50" t="inlineStr">
        <is>
          <t>Activator_02</t>
        </is>
      </c>
      <c r="U1" s="50" t="inlineStr">
        <is>
          <t>Time_02</t>
        </is>
      </c>
      <c r="V1" s="50" t="inlineStr">
        <is>
          <t>Heating rate_02</t>
        </is>
      </c>
      <c r="W1" s="50" t="inlineStr">
        <is>
          <t>Temperature_02</t>
        </is>
      </c>
      <c r="X1" s="50" t="inlineStr">
        <is>
          <t>PV</t>
        </is>
      </c>
    </row>
    <row r="2">
      <c r="A2" s="51" t="inlineStr">
        <is>
          <t>Alkali Lignin</t>
        </is>
      </c>
      <c r="B2" s="51" t="n">
        <v>0</v>
      </c>
      <c r="C2" s="51" t="n">
        <v>0</v>
      </c>
      <c r="D2" s="51" t="n">
        <v>100</v>
      </c>
      <c r="E2" s="51" t="n">
        <v>68.95923718526311</v>
      </c>
      <c r="F2" s="51" t="n">
        <v>3.85650251849244</v>
      </c>
      <c r="G2" s="51" t="n">
        <v>21.9334593054885</v>
      </c>
      <c r="H2" s="51" t="n">
        <v>45.695702977591</v>
      </c>
      <c r="I2" s="51" t="n">
        <v>44.7190770244817</v>
      </c>
      <c r="J2" s="51" t="n">
        <v>5.98146243273457</v>
      </c>
      <c r="K2" s="51" t="n">
        <v>6</v>
      </c>
      <c r="L2" s="51" t="n">
        <v>4</v>
      </c>
      <c r="M2" s="51" t="n">
        <v>5</v>
      </c>
      <c r="N2" s="51" t="n">
        <v>0</v>
      </c>
      <c r="O2" s="51" t="n">
        <v>1</v>
      </c>
      <c r="P2" s="51" t="n">
        <v>4</v>
      </c>
      <c r="Q2" s="51" t="n">
        <v>180</v>
      </c>
      <c r="R2" s="51" t="n">
        <v>2</v>
      </c>
      <c r="S2" s="51" t="n">
        <v>1300</v>
      </c>
      <c r="T2" s="51" t="n">
        <v>0</v>
      </c>
      <c r="U2" s="51" t="n">
        <v>5</v>
      </c>
      <c r="V2" s="51" t="n">
        <v>0</v>
      </c>
      <c r="W2" s="51" t="n">
        <v>0</v>
      </c>
      <c r="X2" s="51" t="n">
        <v>0</v>
      </c>
    </row>
    <row r="3">
      <c r="A3" s="51" t="inlineStr">
        <is>
          <t>Alkali Lignin</t>
        </is>
      </c>
      <c r="B3" s="51" t="n">
        <v>0</v>
      </c>
      <c r="C3" s="51" t="n">
        <v>0</v>
      </c>
      <c r="D3" s="51" t="n">
        <v>100</v>
      </c>
      <c r="E3" s="51" t="n">
        <v>68.9592372041144</v>
      </c>
      <c r="F3" s="51" t="n">
        <v>3.8565025196313</v>
      </c>
      <c r="G3" s="51" t="n">
        <v>21.9334592805848</v>
      </c>
      <c r="H3" s="51" t="n">
        <v>45.6957029750271</v>
      </c>
      <c r="I3" s="51" t="n">
        <v>44.7190770297867</v>
      </c>
      <c r="J3" s="51" t="n">
        <v>5.98146243361558</v>
      </c>
      <c r="K3" s="51" t="n">
        <v>6</v>
      </c>
      <c r="L3" s="51" t="n">
        <v>4</v>
      </c>
      <c r="M3" s="51" t="n">
        <v>5</v>
      </c>
      <c r="N3" s="51" t="n">
        <v>0</v>
      </c>
      <c r="O3" s="51" t="n">
        <v>1</v>
      </c>
      <c r="P3" s="51" t="n">
        <v>4</v>
      </c>
      <c r="Q3" s="51" t="n">
        <v>180</v>
      </c>
      <c r="R3" s="51" t="n">
        <v>2</v>
      </c>
      <c r="S3" s="51" t="n">
        <v>1300</v>
      </c>
      <c r="T3" s="51" t="n">
        <v>0</v>
      </c>
      <c r="U3" s="51" t="n">
        <v>5</v>
      </c>
      <c r="V3" s="51" t="n">
        <v>0</v>
      </c>
      <c r="W3" s="51" t="n">
        <v>0</v>
      </c>
      <c r="X3" s="51" t="n">
        <v>0</v>
      </c>
    </row>
    <row r="4">
      <c r="A4" s="51" t="inlineStr">
        <is>
          <t>Almond shell</t>
        </is>
      </c>
      <c r="B4" s="51" t="n">
        <v>38.47</v>
      </c>
      <c r="C4" s="51" t="n">
        <v>28.82</v>
      </c>
      <c r="D4" s="51" t="n">
        <v>29.54</v>
      </c>
      <c r="E4" s="51" t="n">
        <v>75.73</v>
      </c>
      <c r="F4" s="51" t="n">
        <v>12.48</v>
      </c>
      <c r="G4" s="51" t="n">
        <v>11.14</v>
      </c>
      <c r="H4" s="51" t="n">
        <v>42.92</v>
      </c>
      <c r="I4" s="51" t="n">
        <v>50.56</v>
      </c>
      <c r="J4" s="51" t="n">
        <v>5.8</v>
      </c>
      <c r="K4" s="51" t="n">
        <v>1</v>
      </c>
      <c r="L4" s="51" t="n">
        <v>5</v>
      </c>
      <c r="M4" s="51" t="n">
        <v>1</v>
      </c>
      <c r="N4" s="51" t="n">
        <v>1</v>
      </c>
      <c r="O4" s="51" t="n">
        <v>4</v>
      </c>
      <c r="P4" s="51" t="n">
        <v>120</v>
      </c>
      <c r="Q4" s="51" t="n">
        <v>5</v>
      </c>
      <c r="R4" s="51" t="n">
        <v>600</v>
      </c>
      <c r="S4" s="51" t="n">
        <v>1</v>
      </c>
      <c r="T4" s="51" t="n">
        <v>5</v>
      </c>
      <c r="U4" s="51" t="n">
        <v>180</v>
      </c>
      <c r="V4" s="51" t="n">
        <v>5</v>
      </c>
      <c r="W4" s="51" t="n">
        <v>1300</v>
      </c>
      <c r="X4" s="51" t="n">
        <v>0.037</v>
      </c>
    </row>
    <row r="5">
      <c r="A5" s="51" t="inlineStr">
        <is>
          <t>Almond shell</t>
        </is>
      </c>
      <c r="B5" s="51" t="n">
        <v>38.47</v>
      </c>
      <c r="C5" s="51" t="n">
        <v>28.82</v>
      </c>
      <c r="D5" s="51" t="n">
        <v>29.54</v>
      </c>
      <c r="E5" s="51" t="n">
        <v>75.73</v>
      </c>
      <c r="F5" s="51" t="n">
        <v>12.48</v>
      </c>
      <c r="G5" s="51" t="n">
        <v>11.14</v>
      </c>
      <c r="H5" s="51" t="n">
        <v>42.92</v>
      </c>
      <c r="I5" s="51" t="n">
        <v>50.56</v>
      </c>
      <c r="J5" s="51" t="n">
        <v>5.8</v>
      </c>
      <c r="K5" s="51" t="n">
        <v>1</v>
      </c>
      <c r="L5" s="51" t="n">
        <v>5</v>
      </c>
      <c r="M5" s="51" t="n">
        <v>1</v>
      </c>
      <c r="N5" s="51" t="n">
        <v>1</v>
      </c>
      <c r="O5" s="51" t="n">
        <v>4</v>
      </c>
      <c r="P5" s="51" t="n">
        <v>120</v>
      </c>
      <c r="Q5" s="51" t="n">
        <v>5</v>
      </c>
      <c r="R5" s="51" t="n">
        <v>600</v>
      </c>
      <c r="S5" s="51" t="n">
        <v>1</v>
      </c>
      <c r="T5" s="51" t="n">
        <v>5</v>
      </c>
      <c r="U5" s="51" t="n">
        <v>180</v>
      </c>
      <c r="V5" s="51" t="n">
        <v>5</v>
      </c>
      <c r="W5" s="51" t="n">
        <v>1300</v>
      </c>
      <c r="X5" s="51" t="n">
        <v>0.027</v>
      </c>
    </row>
    <row r="6">
      <c r="A6" s="51" t="inlineStr">
        <is>
          <t>Almond shell</t>
        </is>
      </c>
      <c r="B6" s="51" t="n">
        <v>38.47</v>
      </c>
      <c r="C6" s="51" t="n">
        <v>28.82</v>
      </c>
      <c r="D6" s="51" t="n">
        <v>29.54</v>
      </c>
      <c r="E6" s="51" t="n">
        <v>75.73</v>
      </c>
      <c r="F6" s="51" t="n">
        <v>12.48</v>
      </c>
      <c r="G6" s="51" t="n">
        <v>11.14</v>
      </c>
      <c r="H6" s="51" t="n">
        <v>42.92</v>
      </c>
      <c r="I6" s="51" t="n">
        <v>50.56</v>
      </c>
      <c r="J6" s="51" t="n">
        <v>5.8</v>
      </c>
      <c r="K6" s="51" t="n">
        <v>1</v>
      </c>
      <c r="L6" s="51" t="n">
        <v>5</v>
      </c>
      <c r="M6" s="51" t="n">
        <v>1</v>
      </c>
      <c r="N6" s="51" t="n">
        <v>1</v>
      </c>
      <c r="O6" s="51" t="n">
        <v>4</v>
      </c>
      <c r="P6" s="51" t="n">
        <v>120</v>
      </c>
      <c r="Q6" s="51" t="n">
        <v>5</v>
      </c>
      <c r="R6" s="51" t="n">
        <v>600</v>
      </c>
      <c r="S6" s="51" t="n">
        <v>1</v>
      </c>
      <c r="T6" s="51" t="n">
        <v>5</v>
      </c>
      <c r="U6" s="51" t="n">
        <v>180</v>
      </c>
      <c r="V6" s="51" t="n">
        <v>5</v>
      </c>
      <c r="W6" s="51" t="n">
        <v>1300</v>
      </c>
      <c r="X6" s="51" t="n">
        <v>0.0023</v>
      </c>
    </row>
    <row r="7">
      <c r="A7" s="51" t="inlineStr">
        <is>
          <t>Almond shell</t>
        </is>
      </c>
      <c r="B7" s="51" t="n">
        <v>38.47</v>
      </c>
      <c r="C7" s="51" t="n">
        <v>28.82</v>
      </c>
      <c r="D7" s="51" t="n">
        <v>29.54</v>
      </c>
      <c r="E7" s="51" t="n">
        <v>75.73</v>
      </c>
      <c r="F7" s="51" t="n">
        <v>12.48</v>
      </c>
      <c r="G7" s="51" t="n">
        <v>11.14</v>
      </c>
      <c r="H7" s="51" t="n">
        <v>42.92</v>
      </c>
      <c r="I7" s="51" t="n">
        <v>50.56</v>
      </c>
      <c r="J7" s="51" t="n">
        <v>5.8</v>
      </c>
      <c r="K7" s="51" t="n">
        <v>1</v>
      </c>
      <c r="L7" s="51" t="n">
        <v>5</v>
      </c>
      <c r="M7" s="51" t="n">
        <v>1</v>
      </c>
      <c r="N7" s="51" t="n">
        <v>1</v>
      </c>
      <c r="O7" s="51" t="n">
        <v>4</v>
      </c>
      <c r="P7" s="51" t="n">
        <v>120</v>
      </c>
      <c r="Q7" s="51" t="n">
        <v>5</v>
      </c>
      <c r="R7" s="51" t="n">
        <v>600</v>
      </c>
      <c r="S7" s="51" t="n">
        <v>1</v>
      </c>
      <c r="T7" s="51" t="n">
        <v>5</v>
      </c>
      <c r="U7" s="51" t="n">
        <v>180</v>
      </c>
      <c r="V7" s="51" t="n">
        <v>5</v>
      </c>
      <c r="W7" s="51" t="n">
        <v>1300</v>
      </c>
      <c r="X7" s="51" t="n">
        <v>0.0055</v>
      </c>
    </row>
    <row r="8">
      <c r="A8" s="51" t="inlineStr">
        <is>
          <t>Argan shell</t>
        </is>
      </c>
      <c r="B8" s="51" t="n">
        <v>31.07</v>
      </c>
      <c r="C8" s="51" t="n">
        <v>27.76</v>
      </c>
      <c r="D8" s="51" t="n">
        <v>37.53</v>
      </c>
      <c r="E8" s="51" t="n">
        <v>61</v>
      </c>
      <c r="F8" s="51" t="n">
        <v>28</v>
      </c>
      <c r="G8" s="51" t="n">
        <v>1.5</v>
      </c>
      <c r="H8" s="51" t="n">
        <v>51.33</v>
      </c>
      <c r="I8" s="51" t="n">
        <v>42.345</v>
      </c>
      <c r="J8" s="51" t="n">
        <v>6.32</v>
      </c>
      <c r="K8" s="51" t="n">
        <v>5</v>
      </c>
      <c r="L8" s="51" t="n">
        <v>5</v>
      </c>
      <c r="M8" s="51" t="n">
        <v>0</v>
      </c>
      <c r="N8" s="51" t="n">
        <v>1</v>
      </c>
      <c r="O8" s="51" t="n">
        <v>4</v>
      </c>
      <c r="P8" s="51" t="n">
        <v>60</v>
      </c>
      <c r="Q8" s="51" t="n">
        <v>5</v>
      </c>
      <c r="R8" s="51" t="n">
        <v>800</v>
      </c>
      <c r="S8" s="51" t="n">
        <v>0</v>
      </c>
      <c r="T8" s="51" t="n">
        <v>5</v>
      </c>
      <c r="U8" s="51" t="n">
        <v>0</v>
      </c>
      <c r="V8" s="51" t="n">
        <v>0</v>
      </c>
      <c r="W8" s="51" t="n">
        <v>0</v>
      </c>
      <c r="X8" s="51" t="n">
        <v>0.054</v>
      </c>
    </row>
    <row r="9">
      <c r="A9" s="51" t="inlineStr">
        <is>
          <t>Argan shell</t>
        </is>
      </c>
      <c r="B9" s="51" t="n">
        <v>31.07</v>
      </c>
      <c r="C9" s="51" t="n">
        <v>27.76</v>
      </c>
      <c r="D9" s="51" t="n">
        <v>37.53</v>
      </c>
      <c r="E9" s="51" t="n">
        <v>61</v>
      </c>
      <c r="F9" s="51" t="n">
        <v>28</v>
      </c>
      <c r="G9" s="51" t="n">
        <v>1.5</v>
      </c>
      <c r="H9" s="51" t="n">
        <v>51.33</v>
      </c>
      <c r="I9" s="51" t="n">
        <v>42.345</v>
      </c>
      <c r="J9" s="51" t="n">
        <v>6.32</v>
      </c>
      <c r="K9" s="51" t="n">
        <v>5</v>
      </c>
      <c r="L9" s="51" t="n">
        <v>5</v>
      </c>
      <c r="M9" s="51" t="n">
        <v>0</v>
      </c>
      <c r="N9" s="51" t="n">
        <v>1</v>
      </c>
      <c r="O9" s="51" t="n">
        <v>4</v>
      </c>
      <c r="P9" s="51" t="n">
        <v>60</v>
      </c>
      <c r="Q9" s="51" t="n">
        <v>5</v>
      </c>
      <c r="R9" s="51" t="n">
        <v>1000</v>
      </c>
      <c r="S9" s="51" t="n">
        <v>0</v>
      </c>
      <c r="T9" s="51" t="n">
        <v>5</v>
      </c>
      <c r="U9" s="51" t="n">
        <v>0</v>
      </c>
      <c r="V9" s="51" t="n">
        <v>0</v>
      </c>
      <c r="W9" s="51" t="n">
        <v>0</v>
      </c>
      <c r="X9" s="51" t="n">
        <v>0.0045</v>
      </c>
    </row>
    <row r="10">
      <c r="A10" s="51" t="inlineStr">
        <is>
          <t>Argan shell</t>
        </is>
      </c>
      <c r="B10" s="51" t="n">
        <v>31.07</v>
      </c>
      <c r="C10" s="51" t="n">
        <v>27.76</v>
      </c>
      <c r="D10" s="51" t="n">
        <v>37.53</v>
      </c>
      <c r="E10" s="51" t="n">
        <v>61</v>
      </c>
      <c r="F10" s="51" t="n">
        <v>28</v>
      </c>
      <c r="G10" s="51" t="n">
        <v>1.5</v>
      </c>
      <c r="H10" s="51" t="n">
        <v>51.33</v>
      </c>
      <c r="I10" s="51" t="n">
        <v>42.345</v>
      </c>
      <c r="J10" s="51" t="n">
        <v>6.32</v>
      </c>
      <c r="K10" s="51" t="n">
        <v>5</v>
      </c>
      <c r="L10" s="51" t="n">
        <v>5</v>
      </c>
      <c r="M10" s="51" t="n">
        <v>0</v>
      </c>
      <c r="N10" s="51" t="n">
        <v>1</v>
      </c>
      <c r="O10" s="51" t="n">
        <v>4</v>
      </c>
      <c r="P10" s="51" t="n">
        <v>60</v>
      </c>
      <c r="Q10" s="51" t="n">
        <v>5</v>
      </c>
      <c r="R10" s="51" t="n">
        <v>1200</v>
      </c>
      <c r="S10" s="51" t="n">
        <v>0</v>
      </c>
      <c r="T10" s="51" t="n">
        <v>5</v>
      </c>
      <c r="U10" s="51" t="n">
        <v>0</v>
      </c>
      <c r="V10" s="51" t="n">
        <v>0</v>
      </c>
      <c r="W10" s="51" t="n">
        <v>0</v>
      </c>
      <c r="X10" s="51" t="n">
        <v>0.0047</v>
      </c>
    </row>
    <row r="11">
      <c r="A11" s="51" t="inlineStr">
        <is>
          <t>Argan shell</t>
        </is>
      </c>
      <c r="B11" s="51" t="n">
        <v>31.07</v>
      </c>
      <c r="C11" s="51" t="n">
        <v>27.76</v>
      </c>
      <c r="D11" s="51" t="n">
        <v>37.53</v>
      </c>
      <c r="E11" s="51" t="n">
        <v>61</v>
      </c>
      <c r="F11" s="51" t="n">
        <v>28</v>
      </c>
      <c r="G11" s="51" t="n">
        <v>1.5</v>
      </c>
      <c r="H11" s="51" t="n">
        <v>51.33</v>
      </c>
      <c r="I11" s="51" t="n">
        <v>42.345</v>
      </c>
      <c r="J11" s="51" t="n">
        <v>6.32</v>
      </c>
      <c r="K11" s="51" t="n">
        <v>5</v>
      </c>
      <c r="L11" s="51" t="n">
        <v>5</v>
      </c>
      <c r="M11" s="51" t="n">
        <v>0</v>
      </c>
      <c r="N11" s="51" t="n">
        <v>1</v>
      </c>
      <c r="O11" s="51" t="n">
        <v>4</v>
      </c>
      <c r="P11" s="51" t="n">
        <v>60</v>
      </c>
      <c r="Q11" s="51" t="n">
        <v>5</v>
      </c>
      <c r="R11" s="51" t="n">
        <v>1300</v>
      </c>
      <c r="S11" s="51" t="n">
        <v>0</v>
      </c>
      <c r="T11" s="51" t="n">
        <v>5</v>
      </c>
      <c r="U11" s="51" t="n">
        <v>0</v>
      </c>
      <c r="V11" s="51" t="n">
        <v>0</v>
      </c>
      <c r="W11" s="51" t="n">
        <v>0</v>
      </c>
      <c r="X11" s="51" t="n">
        <v>0.0049</v>
      </c>
    </row>
    <row r="12">
      <c r="A12" s="51" t="inlineStr">
        <is>
          <t>Argan shell</t>
        </is>
      </c>
      <c r="B12" s="51" t="n">
        <v>31.07</v>
      </c>
      <c r="C12" s="51" t="n">
        <v>27.76</v>
      </c>
      <c r="D12" s="51" t="n">
        <v>37.53</v>
      </c>
      <c r="E12" s="51" t="n">
        <v>61</v>
      </c>
      <c r="F12" s="51" t="n">
        <v>28</v>
      </c>
      <c r="G12" s="51" t="n">
        <v>1.5</v>
      </c>
      <c r="H12" s="51" t="n">
        <v>51.33</v>
      </c>
      <c r="I12" s="51" t="n">
        <v>42.345</v>
      </c>
      <c r="J12" s="51" t="n">
        <v>6.32</v>
      </c>
      <c r="K12" s="51" t="n">
        <v>1</v>
      </c>
      <c r="L12" s="51" t="n">
        <v>5</v>
      </c>
      <c r="M12" s="51" t="n">
        <v>0</v>
      </c>
      <c r="N12" s="51" t="n">
        <v>1</v>
      </c>
      <c r="O12" s="51" t="n">
        <v>4</v>
      </c>
      <c r="P12" s="51" t="n">
        <v>60</v>
      </c>
      <c r="Q12" s="51" t="n">
        <v>5</v>
      </c>
      <c r="R12" s="51" t="n">
        <v>800</v>
      </c>
      <c r="S12" s="51" t="n">
        <v>0</v>
      </c>
      <c r="T12" s="51" t="n">
        <v>5</v>
      </c>
      <c r="U12" s="51" t="n">
        <v>0</v>
      </c>
      <c r="V12" s="51" t="n">
        <v>0</v>
      </c>
      <c r="W12" s="51" t="n">
        <v>0</v>
      </c>
      <c r="X12" s="51" t="n">
        <v>0.2</v>
      </c>
    </row>
    <row r="13">
      <c r="A13" s="51" t="inlineStr">
        <is>
          <t>Argan shell</t>
        </is>
      </c>
      <c r="B13" s="51" t="n">
        <v>31.07</v>
      </c>
      <c r="C13" s="51" t="n">
        <v>27.76</v>
      </c>
      <c r="D13" s="51" t="n">
        <v>37.53</v>
      </c>
      <c r="E13" s="51" t="n">
        <v>61</v>
      </c>
      <c r="F13" s="51" t="n">
        <v>28</v>
      </c>
      <c r="G13" s="51" t="n">
        <v>1.5</v>
      </c>
      <c r="H13" s="51" t="n">
        <v>51.33</v>
      </c>
      <c r="I13" s="51" t="n">
        <v>42.345</v>
      </c>
      <c r="J13" s="51" t="n">
        <v>6.32</v>
      </c>
      <c r="K13" s="51" t="n">
        <v>1</v>
      </c>
      <c r="L13" s="51" t="n">
        <v>5</v>
      </c>
      <c r="M13" s="51" t="n">
        <v>0</v>
      </c>
      <c r="N13" s="51" t="n">
        <v>1</v>
      </c>
      <c r="O13" s="51" t="n">
        <v>4</v>
      </c>
      <c r="P13" s="51" t="n">
        <v>60</v>
      </c>
      <c r="Q13" s="51" t="n">
        <v>5</v>
      </c>
      <c r="R13" s="51" t="n">
        <v>1000</v>
      </c>
      <c r="S13" s="51" t="n">
        <v>0</v>
      </c>
      <c r="T13" s="51" t="n">
        <v>5</v>
      </c>
      <c r="U13" s="51" t="n">
        <v>0</v>
      </c>
      <c r="V13" s="51" t="n">
        <v>0</v>
      </c>
      <c r="W13" s="51" t="n">
        <v>0</v>
      </c>
      <c r="X13" s="51" t="n">
        <v>0.15</v>
      </c>
    </row>
    <row r="14">
      <c r="A14" s="51" t="inlineStr">
        <is>
          <t>Argan shell</t>
        </is>
      </c>
      <c r="B14" s="51" t="n">
        <v>31.07</v>
      </c>
      <c r="C14" s="51" t="n">
        <v>27.76</v>
      </c>
      <c r="D14" s="51" t="n">
        <v>37.53</v>
      </c>
      <c r="E14" s="51" t="n">
        <v>61</v>
      </c>
      <c r="F14" s="51" t="n">
        <v>28</v>
      </c>
      <c r="G14" s="51" t="n">
        <v>1.5</v>
      </c>
      <c r="H14" s="51" t="n">
        <v>51.33</v>
      </c>
      <c r="I14" s="51" t="n">
        <v>42.345</v>
      </c>
      <c r="J14" s="51" t="n">
        <v>6.32</v>
      </c>
      <c r="K14" s="51" t="n">
        <v>1</v>
      </c>
      <c r="L14" s="51" t="n">
        <v>5</v>
      </c>
      <c r="M14" s="51" t="n">
        <v>0</v>
      </c>
      <c r="N14" s="51" t="n">
        <v>1</v>
      </c>
      <c r="O14" s="51" t="n">
        <v>4</v>
      </c>
      <c r="P14" s="51" t="n">
        <v>60</v>
      </c>
      <c r="Q14" s="51" t="n">
        <v>5</v>
      </c>
      <c r="R14" s="51" t="n">
        <v>1200</v>
      </c>
      <c r="S14" s="51" t="n">
        <v>0</v>
      </c>
      <c r="T14" s="51" t="n">
        <v>5</v>
      </c>
      <c r="U14" s="51" t="n">
        <v>0</v>
      </c>
      <c r="V14" s="51" t="n">
        <v>0</v>
      </c>
      <c r="W14" s="51" t="n">
        <v>0</v>
      </c>
      <c r="X14" s="51" t="n">
        <v>0.019</v>
      </c>
    </row>
    <row r="15">
      <c r="A15" s="51" t="inlineStr">
        <is>
          <t>Argan shell</t>
        </is>
      </c>
      <c r="B15" s="51" t="n">
        <v>31.07</v>
      </c>
      <c r="C15" s="51" t="n">
        <v>27.76</v>
      </c>
      <c r="D15" s="51" t="n">
        <v>37.53</v>
      </c>
      <c r="E15" s="51" t="n">
        <v>61</v>
      </c>
      <c r="F15" s="51" t="n">
        <v>28</v>
      </c>
      <c r="G15" s="51" t="n">
        <v>1.5</v>
      </c>
      <c r="H15" s="51" t="n">
        <v>51.33</v>
      </c>
      <c r="I15" s="51" t="n">
        <v>42.345</v>
      </c>
      <c r="J15" s="51" t="n">
        <v>6.32</v>
      </c>
      <c r="K15" s="51" t="n">
        <v>1</v>
      </c>
      <c r="L15" s="51" t="n">
        <v>5</v>
      </c>
      <c r="M15" s="51" t="n">
        <v>0</v>
      </c>
      <c r="N15" s="51" t="n">
        <v>1</v>
      </c>
      <c r="O15" s="51" t="n">
        <v>4</v>
      </c>
      <c r="P15" s="51" t="n">
        <v>60</v>
      </c>
      <c r="Q15" s="51" t="n">
        <v>5</v>
      </c>
      <c r="R15" s="51" t="n">
        <v>1300</v>
      </c>
      <c r="S15" s="51" t="n">
        <v>0</v>
      </c>
      <c r="T15" s="51" t="n">
        <v>5</v>
      </c>
      <c r="U15" s="51" t="n">
        <v>0</v>
      </c>
      <c r="V15" s="51" t="n">
        <v>0</v>
      </c>
      <c r="W15" s="51" t="n">
        <v>0</v>
      </c>
      <c r="X15" s="51" t="n">
        <v>0.018</v>
      </c>
    </row>
    <row r="16">
      <c r="A16" s="51" t="inlineStr">
        <is>
          <t>Bagasse</t>
        </is>
      </c>
      <c r="B16" s="51" t="n">
        <v>36.5</v>
      </c>
      <c r="C16" s="51" t="n">
        <v>26</v>
      </c>
      <c r="D16" s="51" t="n">
        <v>18.5</v>
      </c>
      <c r="E16" s="51" t="n">
        <v>83.5</v>
      </c>
      <c r="F16" s="51" t="n">
        <v>4.2</v>
      </c>
      <c r="G16" s="51" t="n">
        <v>12.5</v>
      </c>
      <c r="H16" s="51" t="n">
        <v>43.1</v>
      </c>
      <c r="I16" s="51" t="n">
        <v>51.4</v>
      </c>
      <c r="J16" s="51" t="n">
        <v>5.51</v>
      </c>
      <c r="K16" s="51" t="n">
        <v>4</v>
      </c>
      <c r="L16" s="51" t="n">
        <v>5</v>
      </c>
      <c r="M16" s="51" t="n">
        <v>0</v>
      </c>
      <c r="N16" s="51" t="n">
        <v>1</v>
      </c>
      <c r="O16" s="51" t="n">
        <v>4</v>
      </c>
      <c r="P16" s="51" t="n">
        <v>60</v>
      </c>
      <c r="Q16" s="51" t="n">
        <v>5</v>
      </c>
      <c r="R16" s="51" t="n">
        <v>1400</v>
      </c>
      <c r="S16" s="51" t="n">
        <v>0</v>
      </c>
      <c r="T16" s="51" t="n">
        <v>5</v>
      </c>
      <c r="U16" s="51" t="n">
        <v>0</v>
      </c>
      <c r="V16" s="51" t="n">
        <v>0</v>
      </c>
      <c r="W16" s="51" t="n">
        <v>0</v>
      </c>
      <c r="X16" s="51" t="n">
        <v>0.08500000000000001</v>
      </c>
    </row>
    <row r="17">
      <c r="A17" s="51" t="inlineStr">
        <is>
          <t>Bamboo</t>
        </is>
      </c>
      <c r="B17" s="51" t="n">
        <v>36.2914163522013</v>
      </c>
      <c r="C17" s="51" t="n">
        <v>25.0952394991015</v>
      </c>
      <c r="D17" s="51" t="n">
        <v>21.323777498253</v>
      </c>
      <c r="E17" s="51" t="n">
        <v>89.94</v>
      </c>
      <c r="F17" s="51" t="n">
        <v>0.51</v>
      </c>
      <c r="G17" s="51" t="n">
        <v>14.55</v>
      </c>
      <c r="H17" s="51" t="n">
        <v>48.75</v>
      </c>
      <c r="I17" s="51" t="n">
        <v>45.02</v>
      </c>
      <c r="J17" s="51" t="n">
        <v>5.98</v>
      </c>
      <c r="K17" s="51" t="n">
        <v>3</v>
      </c>
      <c r="L17" s="51" t="n">
        <v>5</v>
      </c>
      <c r="M17" s="51" t="n">
        <v>1</v>
      </c>
      <c r="N17" s="51" t="n">
        <v>1</v>
      </c>
      <c r="O17" s="51" t="n">
        <v>4</v>
      </c>
      <c r="P17" s="51" t="n">
        <v>120</v>
      </c>
      <c r="Q17" s="51" t="n">
        <v>10</v>
      </c>
      <c r="R17" s="51" t="n">
        <v>500</v>
      </c>
      <c r="S17" s="51" t="n">
        <v>1</v>
      </c>
      <c r="T17" s="51" t="n">
        <v>5</v>
      </c>
      <c r="U17" s="51" t="n">
        <v>120</v>
      </c>
      <c r="V17" s="51" t="n">
        <v>10</v>
      </c>
      <c r="W17" s="51" t="n">
        <v>1100</v>
      </c>
      <c r="X17" s="51" t="n">
        <v>0.033</v>
      </c>
    </row>
    <row r="18">
      <c r="A18" s="51" t="inlineStr">
        <is>
          <t>Bamboo</t>
        </is>
      </c>
      <c r="B18" s="51" t="n">
        <v>36.2914163522013</v>
      </c>
      <c r="C18" s="51" t="n">
        <v>25.0952394991015</v>
      </c>
      <c r="D18" s="51" t="n">
        <v>21.323777498253</v>
      </c>
      <c r="E18" s="51" t="n">
        <v>89.94</v>
      </c>
      <c r="F18" s="51" t="n">
        <v>0.51</v>
      </c>
      <c r="G18" s="51" t="n">
        <v>14.55</v>
      </c>
      <c r="H18" s="51" t="n">
        <v>48.75</v>
      </c>
      <c r="I18" s="51" t="n">
        <v>45.02</v>
      </c>
      <c r="J18" s="51" t="n">
        <v>5.98</v>
      </c>
      <c r="K18" s="51" t="n">
        <v>3</v>
      </c>
      <c r="L18" s="51" t="n">
        <v>5</v>
      </c>
      <c r="M18" s="51" t="n">
        <v>1</v>
      </c>
      <c r="N18" s="51" t="n">
        <v>1</v>
      </c>
      <c r="O18" s="51" t="n">
        <v>4</v>
      </c>
      <c r="P18" s="51" t="n">
        <v>120</v>
      </c>
      <c r="Q18" s="51" t="n">
        <v>10</v>
      </c>
      <c r="R18" s="51" t="n">
        <v>500</v>
      </c>
      <c r="S18" s="51" t="n">
        <v>1</v>
      </c>
      <c r="T18" s="51" t="n">
        <v>5</v>
      </c>
      <c r="U18" s="51" t="n">
        <v>120</v>
      </c>
      <c r="V18" s="51" t="n">
        <v>10</v>
      </c>
      <c r="W18" s="51" t="n">
        <v>1300</v>
      </c>
      <c r="X18" s="51" t="n">
        <v>0.017</v>
      </c>
    </row>
    <row r="19">
      <c r="A19" s="51" t="inlineStr">
        <is>
          <t>Bamboo</t>
        </is>
      </c>
      <c r="B19" s="51" t="n">
        <v>36.2914163522013</v>
      </c>
      <c r="C19" s="51" t="n">
        <v>25.0952394991015</v>
      </c>
      <c r="D19" s="51" t="n">
        <v>21.323777498253</v>
      </c>
      <c r="E19" s="51" t="n">
        <v>89.94</v>
      </c>
      <c r="F19" s="51" t="n">
        <v>0.51</v>
      </c>
      <c r="G19" s="51" t="n">
        <v>14.55</v>
      </c>
      <c r="H19" s="51" t="n">
        <v>48.75</v>
      </c>
      <c r="I19" s="51" t="n">
        <v>45.02</v>
      </c>
      <c r="J19" s="51" t="n">
        <v>5.98</v>
      </c>
      <c r="K19" s="51" t="n">
        <v>3</v>
      </c>
      <c r="L19" s="51" t="n">
        <v>5</v>
      </c>
      <c r="M19" s="51" t="n">
        <v>1</v>
      </c>
      <c r="N19" s="51" t="n">
        <v>1</v>
      </c>
      <c r="O19" s="51" t="n">
        <v>4</v>
      </c>
      <c r="P19" s="51" t="n">
        <v>120</v>
      </c>
      <c r="Q19" s="51" t="n">
        <v>10</v>
      </c>
      <c r="R19" s="51" t="n">
        <v>500</v>
      </c>
      <c r="S19" s="51" t="n">
        <v>1</v>
      </c>
      <c r="T19" s="51" t="n">
        <v>5</v>
      </c>
      <c r="U19" s="51" t="n">
        <v>120</v>
      </c>
      <c r="V19" s="51" t="n">
        <v>10</v>
      </c>
      <c r="W19" s="51" t="n">
        <v>1500</v>
      </c>
      <c r="X19" s="51" t="n">
        <v>0.017</v>
      </c>
    </row>
    <row r="20">
      <c r="A20" s="51" t="inlineStr">
        <is>
          <t>Bamboo</t>
        </is>
      </c>
      <c r="B20" s="51" t="n">
        <v>36.2914163522013</v>
      </c>
      <c r="C20" s="51" t="n">
        <v>25.0952394991015</v>
      </c>
      <c r="D20" s="51" t="n">
        <v>21.323777498253</v>
      </c>
      <c r="E20" s="51" t="n">
        <v>89.94</v>
      </c>
      <c r="F20" s="51" t="n">
        <v>0.51</v>
      </c>
      <c r="G20" s="51" t="n">
        <v>14.55</v>
      </c>
      <c r="H20" s="51" t="n">
        <v>48.75</v>
      </c>
      <c r="I20" s="51" t="n">
        <v>45.02</v>
      </c>
      <c r="J20" s="51" t="n">
        <v>5.98</v>
      </c>
      <c r="K20" s="51" t="n">
        <v>3</v>
      </c>
      <c r="L20" s="51" t="n">
        <v>5</v>
      </c>
      <c r="M20" s="51" t="n">
        <v>1</v>
      </c>
      <c r="N20" s="51" t="n">
        <v>1</v>
      </c>
      <c r="O20" s="51" t="n">
        <v>4</v>
      </c>
      <c r="P20" s="51" t="n">
        <v>120</v>
      </c>
      <c r="Q20" s="51" t="n">
        <v>10</v>
      </c>
      <c r="R20" s="51" t="n">
        <v>500</v>
      </c>
      <c r="S20" s="51" t="n">
        <v>1</v>
      </c>
      <c r="T20" s="51" t="n">
        <v>5</v>
      </c>
      <c r="U20" s="51" t="n">
        <v>120</v>
      </c>
      <c r="V20" s="51" t="n">
        <v>10</v>
      </c>
      <c r="W20" s="51" t="n">
        <v>1700</v>
      </c>
      <c r="X20" s="51" t="n">
        <v>0.014</v>
      </c>
    </row>
    <row r="21">
      <c r="A21" s="51" t="inlineStr">
        <is>
          <t>Bamboo powder</t>
        </is>
      </c>
      <c r="B21" s="51" t="n">
        <v>36.2914163522013</v>
      </c>
      <c r="C21" s="51" t="n">
        <v>25.0952394991015</v>
      </c>
      <c r="D21" s="51" t="n">
        <v>21.323777498253</v>
      </c>
      <c r="E21" s="51" t="n">
        <v>89.94</v>
      </c>
      <c r="F21" s="51" t="n">
        <v>0.51</v>
      </c>
      <c r="G21" s="51" t="n">
        <v>14.55</v>
      </c>
      <c r="H21" s="51" t="n">
        <v>48.75</v>
      </c>
      <c r="I21" s="51" t="n">
        <v>45.02</v>
      </c>
      <c r="J21" s="51" t="n">
        <v>5.98</v>
      </c>
      <c r="K21" s="51" t="n">
        <v>1</v>
      </c>
      <c r="L21" s="51" t="n">
        <v>5</v>
      </c>
      <c r="M21" s="51" t="n">
        <v>1</v>
      </c>
      <c r="N21" s="51" t="n">
        <v>1</v>
      </c>
      <c r="O21" s="51" t="n">
        <v>4</v>
      </c>
      <c r="P21" s="51" t="n">
        <v>300</v>
      </c>
      <c r="Q21" s="51" t="n">
        <v>4</v>
      </c>
      <c r="R21" s="51" t="n">
        <v>400</v>
      </c>
      <c r="S21" s="51" t="n">
        <v>1</v>
      </c>
      <c r="T21" s="51" t="n">
        <v>5</v>
      </c>
      <c r="U21" s="51" t="n">
        <v>120</v>
      </c>
      <c r="V21" s="51" t="n">
        <v>5</v>
      </c>
      <c r="W21" s="51" t="n">
        <v>1000</v>
      </c>
      <c r="X21" s="51" t="n">
        <v>0.062</v>
      </c>
    </row>
    <row r="22">
      <c r="A22" s="51" t="inlineStr">
        <is>
          <t>Bamboo powder</t>
        </is>
      </c>
      <c r="B22" s="51" t="n">
        <v>36.2914163522013</v>
      </c>
      <c r="C22" s="51" t="n">
        <v>25.0952394991015</v>
      </c>
      <c r="D22" s="51" t="n">
        <v>21.323777498253</v>
      </c>
      <c r="E22" s="51" t="n">
        <v>89.94</v>
      </c>
      <c r="F22" s="51" t="n">
        <v>0.51</v>
      </c>
      <c r="G22" s="51" t="n">
        <v>14.55</v>
      </c>
      <c r="H22" s="51" t="n">
        <v>48.75</v>
      </c>
      <c r="I22" s="51" t="n">
        <v>45.02</v>
      </c>
      <c r="J22" s="51" t="n">
        <v>5.98</v>
      </c>
      <c r="K22" s="51" t="n">
        <v>1</v>
      </c>
      <c r="L22" s="51" t="n">
        <v>5</v>
      </c>
      <c r="M22" s="51" t="n">
        <v>1</v>
      </c>
      <c r="N22" s="51" t="n">
        <v>1</v>
      </c>
      <c r="O22" s="51" t="n">
        <v>4</v>
      </c>
      <c r="P22" s="51" t="n">
        <v>300</v>
      </c>
      <c r="Q22" s="51" t="n">
        <v>4</v>
      </c>
      <c r="R22" s="51" t="n">
        <v>400</v>
      </c>
      <c r="S22" s="51" t="n">
        <v>1</v>
      </c>
      <c r="T22" s="51" t="n">
        <v>5</v>
      </c>
      <c r="U22" s="51" t="n">
        <v>120</v>
      </c>
      <c r="V22" s="51" t="n">
        <v>5</v>
      </c>
      <c r="W22" s="51" t="n">
        <v>1200</v>
      </c>
      <c r="X22" s="51" t="n">
        <v>0.029</v>
      </c>
    </row>
    <row r="23">
      <c r="A23" s="51" t="inlineStr">
        <is>
          <t>Bamboo powder</t>
        </is>
      </c>
      <c r="B23" s="51" t="n">
        <v>36.2914163522013</v>
      </c>
      <c r="C23" s="51" t="n">
        <v>25.0952394991015</v>
      </c>
      <c r="D23" s="51" t="n">
        <v>21.323777498253</v>
      </c>
      <c r="E23" s="51" t="n">
        <v>89.94</v>
      </c>
      <c r="F23" s="51" t="n">
        <v>0.51</v>
      </c>
      <c r="G23" s="51" t="n">
        <v>14.55</v>
      </c>
      <c r="H23" s="51" t="n">
        <v>48.75</v>
      </c>
      <c r="I23" s="51" t="n">
        <v>45.02</v>
      </c>
      <c r="J23" s="51" t="n">
        <v>5.98</v>
      </c>
      <c r="K23" s="51" t="n">
        <v>1</v>
      </c>
      <c r="L23" s="51" t="n">
        <v>5</v>
      </c>
      <c r="M23" s="51" t="n">
        <v>1</v>
      </c>
      <c r="N23" s="51" t="n">
        <v>1</v>
      </c>
      <c r="O23" s="51" t="n">
        <v>4</v>
      </c>
      <c r="P23" s="51" t="n">
        <v>300</v>
      </c>
      <c r="Q23" s="51" t="n">
        <v>4</v>
      </c>
      <c r="R23" s="51" t="n">
        <v>400</v>
      </c>
      <c r="S23" s="51" t="n">
        <v>1</v>
      </c>
      <c r="T23" s="51" t="n">
        <v>5</v>
      </c>
      <c r="U23" s="51" t="n">
        <v>120</v>
      </c>
      <c r="V23" s="51" t="n">
        <v>5</v>
      </c>
      <c r="W23" s="51" t="n">
        <v>1400</v>
      </c>
      <c r="X23" s="51" t="n">
        <v>0.02</v>
      </c>
    </row>
    <row r="24">
      <c r="A24" s="51" t="inlineStr">
        <is>
          <t>Bamboo powder</t>
        </is>
      </c>
      <c r="B24" s="51" t="n">
        <v>36.2914163522013</v>
      </c>
      <c r="C24" s="51" t="n">
        <v>25.0952394991015</v>
      </c>
      <c r="D24" s="51" t="n">
        <v>21.323777498253</v>
      </c>
      <c r="E24" s="51" t="n">
        <v>89.94</v>
      </c>
      <c r="F24" s="51" t="n">
        <v>0.51</v>
      </c>
      <c r="G24" s="51" t="n">
        <v>14.55</v>
      </c>
      <c r="H24" s="51" t="n">
        <v>48.75</v>
      </c>
      <c r="I24" s="51" t="n">
        <v>45.02</v>
      </c>
      <c r="J24" s="51" t="n">
        <v>5.98</v>
      </c>
      <c r="K24" s="51" t="n">
        <v>1</v>
      </c>
      <c r="L24" s="51" t="n">
        <v>5</v>
      </c>
      <c r="M24" s="51" t="n">
        <v>1</v>
      </c>
      <c r="N24" s="51" t="n">
        <v>1</v>
      </c>
      <c r="O24" s="51" t="n">
        <v>4</v>
      </c>
      <c r="P24" s="51" t="n">
        <v>300</v>
      </c>
      <c r="Q24" s="51" t="n">
        <v>4</v>
      </c>
      <c r="R24" s="51" t="n">
        <v>400</v>
      </c>
      <c r="S24" s="51" t="n">
        <v>1</v>
      </c>
      <c r="T24" s="51" t="n">
        <v>5</v>
      </c>
      <c r="U24" s="51" t="n">
        <v>120</v>
      </c>
      <c r="V24" s="51" t="n">
        <v>5</v>
      </c>
      <c r="W24" s="51" t="n">
        <v>1600</v>
      </c>
      <c r="X24" s="51" t="n">
        <v>0.011</v>
      </c>
    </row>
    <row r="25">
      <c r="A25" s="51" t="inlineStr">
        <is>
          <t>Banana peel</t>
        </is>
      </c>
      <c r="B25" s="51" t="n">
        <v>9.9</v>
      </c>
      <c r="C25" s="51" t="n">
        <v>41.38</v>
      </c>
      <c r="D25" s="51" t="n">
        <v>8.9</v>
      </c>
      <c r="E25" s="51" t="n">
        <v>88.02</v>
      </c>
      <c r="F25" s="51" t="n">
        <v>9.279999999999999</v>
      </c>
      <c r="G25" s="51" t="n">
        <v>2.7</v>
      </c>
      <c r="H25" s="51" t="n">
        <v>35.65</v>
      </c>
      <c r="I25" s="51" t="n">
        <v>45.94</v>
      </c>
      <c r="J25" s="51" t="n">
        <v>6.19</v>
      </c>
      <c r="K25" s="51" t="n">
        <v>6</v>
      </c>
      <c r="L25" s="51" t="n">
        <v>2</v>
      </c>
      <c r="M25" s="51" t="n">
        <v>0</v>
      </c>
      <c r="N25" s="51" t="n">
        <v>1</v>
      </c>
      <c r="O25" s="51" t="n">
        <v>4</v>
      </c>
      <c r="P25" s="51" t="n">
        <v>300</v>
      </c>
      <c r="Q25" s="51" t="n">
        <v>5</v>
      </c>
      <c r="R25" s="51" t="n">
        <v>800</v>
      </c>
      <c r="S25" s="51" t="n">
        <v>0</v>
      </c>
      <c r="T25" s="51" t="n">
        <v>5</v>
      </c>
      <c r="U25" s="51" t="n">
        <v>0</v>
      </c>
      <c r="V25" s="51" t="n">
        <v>0</v>
      </c>
      <c r="W25" s="51" t="n">
        <v>0</v>
      </c>
      <c r="X25" s="51" t="n">
        <v>0.059</v>
      </c>
    </row>
    <row r="26">
      <c r="A26" s="51" t="inlineStr">
        <is>
          <t>Banana peel</t>
        </is>
      </c>
      <c r="B26" s="51" t="n">
        <v>9.9</v>
      </c>
      <c r="C26" s="51" t="n">
        <v>41.38</v>
      </c>
      <c r="D26" s="51" t="n">
        <v>8.9</v>
      </c>
      <c r="E26" s="51" t="n">
        <v>88.02</v>
      </c>
      <c r="F26" s="51" t="n">
        <v>9.279999999999999</v>
      </c>
      <c r="G26" s="51" t="n">
        <v>2.7</v>
      </c>
      <c r="H26" s="51" t="n">
        <v>35.65</v>
      </c>
      <c r="I26" s="51" t="n">
        <v>45.94</v>
      </c>
      <c r="J26" s="51" t="n">
        <v>6.19</v>
      </c>
      <c r="K26" s="51" t="n">
        <v>6</v>
      </c>
      <c r="L26" s="51" t="n">
        <v>2</v>
      </c>
      <c r="M26" s="51" t="n">
        <v>1</v>
      </c>
      <c r="N26" s="51" t="n">
        <v>1</v>
      </c>
      <c r="O26" s="51" t="n">
        <v>4</v>
      </c>
      <c r="P26" s="51" t="n">
        <v>300</v>
      </c>
      <c r="Q26" s="51" t="n">
        <v>5</v>
      </c>
      <c r="R26" s="51" t="n">
        <v>800</v>
      </c>
      <c r="S26" s="51" t="n">
        <v>1</v>
      </c>
      <c r="T26" s="51" t="n">
        <v>6</v>
      </c>
      <c r="U26" s="51" t="n">
        <v>3</v>
      </c>
      <c r="V26" s="51" t="n">
        <v>5</v>
      </c>
      <c r="W26" s="51" t="n">
        <v>300</v>
      </c>
      <c r="X26" s="51" t="n">
        <v>0.23</v>
      </c>
    </row>
    <row r="27">
      <c r="A27" s="51" t="inlineStr">
        <is>
          <t>Banana peel</t>
        </is>
      </c>
      <c r="B27" s="51" t="n">
        <v>9.9</v>
      </c>
      <c r="C27" s="51" t="n">
        <v>41.38</v>
      </c>
      <c r="D27" s="51" t="n">
        <v>8.9</v>
      </c>
      <c r="E27" s="51" t="n">
        <v>88.02</v>
      </c>
      <c r="F27" s="51" t="n">
        <v>9.279999999999999</v>
      </c>
      <c r="G27" s="51" t="n">
        <v>2.7</v>
      </c>
      <c r="H27" s="51" t="n">
        <v>35.65</v>
      </c>
      <c r="I27" s="51" t="n">
        <v>45.94</v>
      </c>
      <c r="J27" s="51" t="n">
        <v>6.19</v>
      </c>
      <c r="K27" s="51" t="n">
        <v>6</v>
      </c>
      <c r="L27" s="51" t="n">
        <v>2</v>
      </c>
      <c r="M27" s="51" t="n">
        <v>0</v>
      </c>
      <c r="N27" s="51" t="n">
        <v>1</v>
      </c>
      <c r="O27" s="51" t="n">
        <v>4</v>
      </c>
      <c r="P27" s="51" t="n">
        <v>300</v>
      </c>
      <c r="Q27" s="51" t="n">
        <v>5</v>
      </c>
      <c r="R27" s="51" t="n">
        <v>1100</v>
      </c>
      <c r="S27" s="51" t="n">
        <v>0</v>
      </c>
      <c r="T27" s="51" t="n">
        <v>5</v>
      </c>
      <c r="U27" s="51" t="n">
        <v>0</v>
      </c>
      <c r="V27" s="51" t="n">
        <v>0</v>
      </c>
      <c r="W27" s="51" t="n">
        <v>0</v>
      </c>
      <c r="X27" s="51" t="n">
        <v>0.052</v>
      </c>
    </row>
    <row r="28">
      <c r="A28" s="51" t="inlineStr">
        <is>
          <t>Banana peel</t>
        </is>
      </c>
      <c r="B28" s="51" t="n">
        <v>9.9</v>
      </c>
      <c r="C28" s="51" t="n">
        <v>41.38</v>
      </c>
      <c r="D28" s="51" t="n">
        <v>8.9</v>
      </c>
      <c r="E28" s="51" t="n">
        <v>88.02</v>
      </c>
      <c r="F28" s="51" t="n">
        <v>9.279999999999999</v>
      </c>
      <c r="G28" s="51" t="n">
        <v>2.7</v>
      </c>
      <c r="H28" s="51" t="n">
        <v>35.65</v>
      </c>
      <c r="I28" s="51" t="n">
        <v>45.94</v>
      </c>
      <c r="J28" s="51" t="n">
        <v>6.19</v>
      </c>
      <c r="K28" s="51" t="n">
        <v>6</v>
      </c>
      <c r="L28" s="51" t="n">
        <v>2</v>
      </c>
      <c r="M28" s="51" t="n">
        <v>0</v>
      </c>
      <c r="N28" s="51" t="n">
        <v>1</v>
      </c>
      <c r="O28" s="51" t="n">
        <v>4</v>
      </c>
      <c r="P28" s="51" t="n">
        <v>300</v>
      </c>
      <c r="Q28" s="51" t="n">
        <v>5</v>
      </c>
      <c r="R28" s="51" t="n">
        <v>1400</v>
      </c>
      <c r="S28" s="51" t="n">
        <v>0</v>
      </c>
      <c r="T28" s="51" t="n">
        <v>5</v>
      </c>
      <c r="U28" s="51" t="n">
        <v>0</v>
      </c>
      <c r="V28" s="51" t="n">
        <v>0</v>
      </c>
      <c r="W28" s="51" t="n">
        <v>0</v>
      </c>
      <c r="X28" s="51" t="n">
        <v>0.047</v>
      </c>
    </row>
    <row r="29">
      <c r="A29" s="51" t="inlineStr">
        <is>
          <t>Banana peel</t>
        </is>
      </c>
      <c r="B29" s="51" t="n">
        <v>9.9</v>
      </c>
      <c r="C29" s="51" t="n">
        <v>41.38</v>
      </c>
      <c r="D29" s="51" t="n">
        <v>8.9</v>
      </c>
      <c r="E29" s="51" t="n">
        <v>88.02</v>
      </c>
      <c r="F29" s="51" t="n">
        <v>9.279999999999999</v>
      </c>
      <c r="G29" s="51" t="n">
        <v>2.7</v>
      </c>
      <c r="H29" s="51" t="n">
        <v>35.65</v>
      </c>
      <c r="I29" s="51" t="n">
        <v>45.94</v>
      </c>
      <c r="J29" s="51" t="n">
        <v>6.19</v>
      </c>
      <c r="K29" s="51" t="n">
        <v>6</v>
      </c>
      <c r="L29" s="51" t="n">
        <v>2</v>
      </c>
      <c r="M29" s="51" t="n">
        <v>1</v>
      </c>
      <c r="N29" s="51" t="n">
        <v>1</v>
      </c>
      <c r="O29" s="51" t="n">
        <v>4</v>
      </c>
      <c r="P29" s="51" t="n">
        <v>300</v>
      </c>
      <c r="Q29" s="51" t="n">
        <v>5</v>
      </c>
      <c r="R29" s="51" t="n">
        <v>1100</v>
      </c>
      <c r="S29" s="51" t="n">
        <v>1</v>
      </c>
      <c r="T29" s="51" t="n">
        <v>6</v>
      </c>
      <c r="U29" s="51" t="n">
        <v>3</v>
      </c>
      <c r="V29" s="51" t="n">
        <v>5</v>
      </c>
      <c r="W29" s="51" t="n">
        <v>300</v>
      </c>
      <c r="X29" s="51" t="n">
        <v>0.19</v>
      </c>
    </row>
    <row r="30">
      <c r="A30" s="51" t="inlineStr">
        <is>
          <t>Banana peel</t>
        </is>
      </c>
      <c r="B30" s="51" t="n">
        <v>9.9</v>
      </c>
      <c r="C30" s="51" t="n">
        <v>41.38</v>
      </c>
      <c r="D30" s="51" t="n">
        <v>8.9</v>
      </c>
      <c r="E30" s="51" t="n">
        <v>88.02</v>
      </c>
      <c r="F30" s="51" t="n">
        <v>9.279999999999999</v>
      </c>
      <c r="G30" s="51" t="n">
        <v>2.7</v>
      </c>
      <c r="H30" s="51" t="n">
        <v>35.65</v>
      </c>
      <c r="I30" s="51" t="n">
        <v>45.94</v>
      </c>
      <c r="J30" s="51" t="n">
        <v>6.19</v>
      </c>
      <c r="K30" s="51" t="n">
        <v>6</v>
      </c>
      <c r="L30" s="51" t="n">
        <v>2</v>
      </c>
      <c r="M30" s="51" t="n">
        <v>1</v>
      </c>
      <c r="N30" s="51" t="n">
        <v>1</v>
      </c>
      <c r="O30" s="51" t="n">
        <v>4</v>
      </c>
      <c r="P30" s="51" t="n">
        <v>300</v>
      </c>
      <c r="Q30" s="51" t="n">
        <v>5</v>
      </c>
      <c r="R30" s="51" t="n">
        <v>1400</v>
      </c>
      <c r="S30" s="51" t="n">
        <v>1</v>
      </c>
      <c r="T30" s="51" t="n">
        <v>6</v>
      </c>
      <c r="U30" s="51" t="n">
        <v>3</v>
      </c>
      <c r="V30" s="51" t="n">
        <v>5</v>
      </c>
      <c r="W30" s="51" t="n">
        <v>300</v>
      </c>
      <c r="X30" s="51" t="n">
        <v>0.14</v>
      </c>
    </row>
    <row r="31">
      <c r="A31" s="51" t="inlineStr">
        <is>
          <t>Basswood</t>
        </is>
      </c>
      <c r="B31" s="51" t="n">
        <v>40.2299102810165</v>
      </c>
      <c r="C31" s="51" t="n">
        <v>31.0349183041643</v>
      </c>
      <c r="D31" s="51" t="n">
        <v>11.1744530465741</v>
      </c>
      <c r="E31" s="51" t="n">
        <v>88.7</v>
      </c>
      <c r="F31" s="51" t="n">
        <v>11.81</v>
      </c>
      <c r="G31" s="51" t="n">
        <v>0.53</v>
      </c>
      <c r="H31" s="51" t="n">
        <v>49.6195930286136</v>
      </c>
      <c r="I31" s="51" t="n">
        <v>40.974445513506</v>
      </c>
      <c r="J31" s="51" t="n">
        <v>5.84729328450821</v>
      </c>
      <c r="K31" s="51" t="n">
        <v>6</v>
      </c>
      <c r="L31" s="51" t="n">
        <v>1</v>
      </c>
      <c r="M31" s="51" t="n">
        <v>0</v>
      </c>
      <c r="N31" s="51" t="n">
        <v>1</v>
      </c>
      <c r="O31" s="51" t="n">
        <v>2</v>
      </c>
      <c r="P31" s="51" t="n">
        <v>120</v>
      </c>
      <c r="Q31" s="51" t="n">
        <v>5</v>
      </c>
      <c r="R31" s="51" t="n">
        <v>500</v>
      </c>
      <c r="S31" s="51" t="n">
        <v>0</v>
      </c>
      <c r="T31" s="51" t="n">
        <v>5</v>
      </c>
      <c r="U31" s="51" t="n">
        <v>0</v>
      </c>
      <c r="V31" s="51" t="n">
        <v>0</v>
      </c>
      <c r="W31" s="51" t="n">
        <v>0</v>
      </c>
      <c r="X31" s="51" t="n">
        <v>0.77</v>
      </c>
    </row>
    <row r="32">
      <c r="A32" s="51" t="inlineStr">
        <is>
          <t>buckwheat husks</t>
        </is>
      </c>
      <c r="B32" s="51" t="n">
        <v>27.4</v>
      </c>
      <c r="C32" s="51" t="n">
        <v>15.5</v>
      </c>
      <c r="D32" s="51" t="n">
        <v>36.3</v>
      </c>
      <c r="E32" s="51" t="n">
        <v>75</v>
      </c>
      <c r="F32" s="51" t="n">
        <v>3.1</v>
      </c>
      <c r="G32" s="51" t="n">
        <v>12</v>
      </c>
      <c r="H32" s="51" t="n">
        <v>47</v>
      </c>
      <c r="I32" s="51" t="n">
        <v>44</v>
      </c>
      <c r="J32" s="51" t="n">
        <v>6</v>
      </c>
      <c r="K32" s="51" t="n">
        <v>3</v>
      </c>
      <c r="L32" s="51" t="n">
        <v>5</v>
      </c>
      <c r="M32" s="51" t="n">
        <v>0</v>
      </c>
      <c r="N32" s="51" t="n">
        <v>1</v>
      </c>
      <c r="O32" s="51" t="n">
        <v>4</v>
      </c>
      <c r="P32" s="51" t="n">
        <v>203.025773195876</v>
      </c>
      <c r="Q32" s="51" t="n">
        <v>3</v>
      </c>
      <c r="R32" s="51" t="n">
        <v>700</v>
      </c>
      <c r="S32" s="51" t="n">
        <v>0</v>
      </c>
      <c r="T32" s="51" t="n">
        <v>5</v>
      </c>
      <c r="U32" s="51" t="n">
        <v>0</v>
      </c>
      <c r="V32" s="51" t="n">
        <v>0</v>
      </c>
      <c r="W32" s="51" t="n">
        <v>0</v>
      </c>
      <c r="X32" s="51" t="n">
        <v>0.044</v>
      </c>
    </row>
    <row r="33">
      <c r="A33" s="51" t="inlineStr">
        <is>
          <t>buckwheat husks</t>
        </is>
      </c>
      <c r="B33" s="51" t="n">
        <v>27.4</v>
      </c>
      <c r="C33" s="51" t="n">
        <v>15.5</v>
      </c>
      <c r="D33" s="51" t="n">
        <v>36.3</v>
      </c>
      <c r="E33" s="51" t="n">
        <v>75</v>
      </c>
      <c r="F33" s="51" t="n">
        <v>3.1</v>
      </c>
      <c r="G33" s="51" t="n">
        <v>12</v>
      </c>
      <c r="H33" s="51" t="n">
        <v>47</v>
      </c>
      <c r="I33" s="51" t="n">
        <v>44</v>
      </c>
      <c r="J33" s="51" t="n">
        <v>6</v>
      </c>
      <c r="K33" s="51" t="n">
        <v>3</v>
      </c>
      <c r="L33" s="51" t="n">
        <v>5</v>
      </c>
      <c r="M33" s="51" t="n">
        <v>0</v>
      </c>
      <c r="N33" s="51" t="n">
        <v>1</v>
      </c>
      <c r="O33" s="51" t="n">
        <v>4</v>
      </c>
      <c r="P33" s="51" t="n">
        <v>203.025773195876</v>
      </c>
      <c r="Q33" s="51" t="n">
        <v>3</v>
      </c>
      <c r="R33" s="51" t="n">
        <v>900</v>
      </c>
      <c r="S33" s="51" t="n">
        <v>0</v>
      </c>
      <c r="T33" s="51" t="n">
        <v>5</v>
      </c>
      <c r="U33" s="51" t="n">
        <v>0</v>
      </c>
      <c r="V33" s="51" t="n">
        <v>0</v>
      </c>
      <c r="W33" s="51" t="n">
        <v>0</v>
      </c>
      <c r="X33" s="51" t="n">
        <v>0.037</v>
      </c>
    </row>
    <row r="34">
      <c r="A34" s="51" t="inlineStr">
        <is>
          <t>buckwheat husks</t>
        </is>
      </c>
      <c r="B34" s="51" t="n">
        <v>27.4</v>
      </c>
      <c r="C34" s="51" t="n">
        <v>15.5</v>
      </c>
      <c r="D34" s="51" t="n">
        <v>36.3</v>
      </c>
      <c r="E34" s="51" t="n">
        <v>75</v>
      </c>
      <c r="F34" s="51" t="n">
        <v>3.1</v>
      </c>
      <c r="G34" s="51" t="n">
        <v>12</v>
      </c>
      <c r="H34" s="51" t="n">
        <v>47</v>
      </c>
      <c r="I34" s="51" t="n">
        <v>44</v>
      </c>
      <c r="J34" s="51" t="n">
        <v>6</v>
      </c>
      <c r="K34" s="51" t="n">
        <v>3</v>
      </c>
      <c r="L34" s="51" t="n">
        <v>5</v>
      </c>
      <c r="M34" s="51" t="n">
        <v>0</v>
      </c>
      <c r="N34" s="51" t="n">
        <v>1</v>
      </c>
      <c r="O34" s="51" t="n">
        <v>4</v>
      </c>
      <c r="P34" s="51" t="n">
        <v>203.025773195876</v>
      </c>
      <c r="Q34" s="51" t="n">
        <v>3</v>
      </c>
      <c r="R34" s="51" t="n">
        <v>1100</v>
      </c>
      <c r="S34" s="51" t="n">
        <v>0</v>
      </c>
      <c r="T34" s="51" t="n">
        <v>5</v>
      </c>
      <c r="U34" s="51" t="n">
        <v>0</v>
      </c>
      <c r="V34" s="51" t="n">
        <v>0</v>
      </c>
      <c r="W34" s="51" t="n">
        <v>0</v>
      </c>
      <c r="X34" s="51" t="n">
        <v>0.035</v>
      </c>
    </row>
    <row r="35">
      <c r="A35" s="51" t="inlineStr">
        <is>
          <t>buckwheat husks</t>
        </is>
      </c>
      <c r="B35" s="51" t="n">
        <v>27.4</v>
      </c>
      <c r="C35" s="51" t="n">
        <v>15.5</v>
      </c>
      <c r="D35" s="51" t="n">
        <v>36.3</v>
      </c>
      <c r="E35" s="51" t="n">
        <v>75</v>
      </c>
      <c r="F35" s="51" t="n">
        <v>3.1</v>
      </c>
      <c r="G35" s="51" t="n">
        <v>12</v>
      </c>
      <c r="H35" s="51" t="n">
        <v>47</v>
      </c>
      <c r="I35" s="51" t="n">
        <v>44</v>
      </c>
      <c r="J35" s="51" t="n">
        <v>6</v>
      </c>
      <c r="K35" s="51" t="n">
        <v>3</v>
      </c>
      <c r="L35" s="51" t="n">
        <v>5</v>
      </c>
      <c r="M35" s="51" t="n">
        <v>0</v>
      </c>
      <c r="N35" s="51" t="n">
        <v>1</v>
      </c>
      <c r="O35" s="51" t="n">
        <v>4</v>
      </c>
      <c r="P35" s="51" t="n">
        <v>203.025773195876</v>
      </c>
      <c r="Q35" s="51" t="n">
        <v>3</v>
      </c>
      <c r="R35" s="51" t="n">
        <v>1300</v>
      </c>
      <c r="S35" s="51" t="n">
        <v>0</v>
      </c>
      <c r="T35" s="51" t="n">
        <v>5</v>
      </c>
      <c r="U35" s="51" t="n">
        <v>0</v>
      </c>
      <c r="V35" s="51" t="n">
        <v>0</v>
      </c>
      <c r="W35" s="51" t="n">
        <v>0</v>
      </c>
      <c r="X35" s="51" t="n">
        <v>0.027</v>
      </c>
    </row>
    <row r="36">
      <c r="A36" s="51" t="inlineStr">
        <is>
          <t>Cedarwood bark</t>
        </is>
      </c>
      <c r="B36" s="51" t="n">
        <v>24.4425795678876</v>
      </c>
      <c r="C36" s="51" t="n">
        <v>12.1805169366484</v>
      </c>
      <c r="D36" s="51" t="n">
        <v>16.3150809367366</v>
      </c>
      <c r="E36" s="51" t="n">
        <v>68.6872671278377</v>
      </c>
      <c r="F36" s="51" t="n">
        <v>9.208077868498551</v>
      </c>
      <c r="G36" s="51" t="n">
        <v>13.1617852029759</v>
      </c>
      <c r="H36" s="51" t="n">
        <v>48.69</v>
      </c>
      <c r="I36" s="51" t="n">
        <v>44.72</v>
      </c>
      <c r="J36" s="51" t="n">
        <v>6.13</v>
      </c>
      <c r="K36" s="51" t="n">
        <v>6</v>
      </c>
      <c r="L36" s="51" t="n">
        <v>1</v>
      </c>
      <c r="M36" s="51" t="n">
        <v>0</v>
      </c>
      <c r="N36" s="51" t="n">
        <v>1</v>
      </c>
      <c r="O36" s="51" t="n">
        <v>4</v>
      </c>
      <c r="P36" s="51" t="n">
        <v>120</v>
      </c>
      <c r="Q36" s="51" t="n">
        <v>3</v>
      </c>
      <c r="R36" s="51" t="n">
        <v>800</v>
      </c>
      <c r="S36" s="51" t="n">
        <v>0</v>
      </c>
      <c r="T36" s="51" t="n">
        <v>5</v>
      </c>
      <c r="U36" s="51" t="n">
        <v>0</v>
      </c>
      <c r="V36" s="51" t="n">
        <v>0</v>
      </c>
      <c r="W36" s="51" t="n">
        <v>0</v>
      </c>
      <c r="X36" s="51" t="n">
        <v>0.226</v>
      </c>
    </row>
    <row r="37">
      <c r="A37" s="51" t="inlineStr">
        <is>
          <t>Cedarwood bark</t>
        </is>
      </c>
      <c r="B37" s="51" t="n">
        <v>40.0875254662581</v>
      </c>
      <c r="C37" s="51" t="n">
        <v>30.1611903218126</v>
      </c>
      <c r="D37" s="51" t="n">
        <v>14.1508634021118</v>
      </c>
      <c r="E37" s="51" t="n">
        <v>74.72299637456049</v>
      </c>
      <c r="F37" s="51" t="n">
        <v>6.30579063853582</v>
      </c>
      <c r="G37" s="51" t="n">
        <v>17.3071459305936</v>
      </c>
      <c r="H37" s="51" t="n">
        <v>48.69</v>
      </c>
      <c r="I37" s="51" t="n">
        <v>44.72</v>
      </c>
      <c r="J37" s="51" t="n">
        <v>6.13</v>
      </c>
      <c r="K37" s="51" t="n">
        <v>6</v>
      </c>
      <c r="L37" s="51" t="n">
        <v>1</v>
      </c>
      <c r="M37" s="51" t="n">
        <v>0</v>
      </c>
      <c r="N37" s="51" t="n">
        <v>1</v>
      </c>
      <c r="O37" s="51" t="n">
        <v>4</v>
      </c>
      <c r="P37" s="51" t="n">
        <v>120</v>
      </c>
      <c r="Q37" s="51" t="n">
        <v>3</v>
      </c>
      <c r="R37" s="51" t="n">
        <v>600</v>
      </c>
      <c r="S37" s="51" t="n">
        <v>0</v>
      </c>
      <c r="T37" s="51" t="n">
        <v>5</v>
      </c>
      <c r="U37" s="51" t="n">
        <v>0</v>
      </c>
      <c r="V37" s="51" t="n">
        <v>0</v>
      </c>
      <c r="W37" s="51" t="n">
        <v>0</v>
      </c>
      <c r="X37" s="51" t="n">
        <v>0.008999999999999999</v>
      </c>
    </row>
    <row r="38">
      <c r="A38" s="51" t="inlineStr">
        <is>
          <t>Cedarwood bark</t>
        </is>
      </c>
      <c r="B38" s="51" t="n">
        <v>30.7290115613928</v>
      </c>
      <c r="C38" s="51" t="n">
        <v>21.3389214448878</v>
      </c>
      <c r="D38" s="51" t="n">
        <v>18.6086895476238</v>
      </c>
      <c r="E38" s="51" t="n">
        <v>69.9467025860591</v>
      </c>
      <c r="F38" s="51" t="n">
        <v>14.0818158212114</v>
      </c>
      <c r="G38" s="51" t="n">
        <v>7.32245463277097</v>
      </c>
      <c r="H38" s="51" t="n">
        <v>48.69</v>
      </c>
      <c r="I38" s="51" t="n">
        <v>44.72</v>
      </c>
      <c r="J38" s="51" t="n">
        <v>6.13</v>
      </c>
      <c r="K38" s="51" t="n">
        <v>6</v>
      </c>
      <c r="L38" s="51" t="n">
        <v>1</v>
      </c>
      <c r="M38" s="51" t="n">
        <v>0</v>
      </c>
      <c r="N38" s="51" t="n">
        <v>1</v>
      </c>
      <c r="O38" s="51" t="n">
        <v>4</v>
      </c>
      <c r="P38" s="51" t="n">
        <v>120</v>
      </c>
      <c r="Q38" s="51" t="n">
        <v>3</v>
      </c>
      <c r="R38" s="51" t="n">
        <v>1000</v>
      </c>
      <c r="S38" s="51" t="n">
        <v>0</v>
      </c>
      <c r="T38" s="51" t="n">
        <v>5</v>
      </c>
      <c r="U38" s="51" t="n">
        <v>0</v>
      </c>
      <c r="V38" s="51" t="n">
        <v>0</v>
      </c>
      <c r="W38" s="51" t="n">
        <v>0</v>
      </c>
      <c r="X38" s="51" t="n">
        <v>0.044</v>
      </c>
    </row>
    <row r="39">
      <c r="A39" s="51" t="inlineStr">
        <is>
          <t>Cellulose</t>
        </is>
      </c>
      <c r="B39" s="51" t="n">
        <v>100</v>
      </c>
      <c r="C39" s="51" t="n">
        <v>0</v>
      </c>
      <c r="D39" s="51" t="n">
        <v>0</v>
      </c>
      <c r="E39" s="51" t="n">
        <v>69.67887361178821</v>
      </c>
      <c r="F39" s="51" t="n">
        <v>11.1154831649635</v>
      </c>
      <c r="G39" s="51" t="n">
        <v>21.6494943291595</v>
      </c>
      <c r="H39" s="51" t="n">
        <v>47.6838622176796</v>
      </c>
      <c r="I39" s="51" t="n">
        <v>42.9268367741664</v>
      </c>
      <c r="J39" s="51" t="n">
        <v>6.15110801567795</v>
      </c>
      <c r="K39" s="51" t="n">
        <v>1</v>
      </c>
      <c r="L39" s="51" t="n">
        <v>5</v>
      </c>
      <c r="M39" s="51" t="n">
        <v>1</v>
      </c>
      <c r="N39" s="51" t="n">
        <v>1</v>
      </c>
      <c r="O39" s="51" t="n">
        <v>4</v>
      </c>
      <c r="P39" s="51" t="n">
        <v>60</v>
      </c>
      <c r="Q39" s="51" t="n">
        <v>10</v>
      </c>
      <c r="R39" s="51" t="n">
        <v>800</v>
      </c>
      <c r="S39" s="51" t="n">
        <v>1</v>
      </c>
      <c r="T39" s="51" t="n">
        <v>5</v>
      </c>
      <c r="U39" s="51" t="n">
        <v>480</v>
      </c>
      <c r="V39" s="51" t="n">
        <v>10</v>
      </c>
      <c r="W39" s="51" t="n">
        <v>1300</v>
      </c>
      <c r="X39" s="51" t="n">
        <v>0.369</v>
      </c>
    </row>
    <row r="40">
      <c r="A40" s="51" t="inlineStr">
        <is>
          <t>Chrysanthemum</t>
        </is>
      </c>
      <c r="B40" s="51" t="n">
        <v>21.55</v>
      </c>
      <c r="C40" s="51" t="n">
        <v>18.6692724201065</v>
      </c>
      <c r="D40" s="51" t="n">
        <v>23.03</v>
      </c>
      <c r="E40" s="51" t="n">
        <v>69.45999999999999</v>
      </c>
      <c r="F40" s="51" t="n">
        <v>11.82</v>
      </c>
      <c r="G40" s="51" t="n">
        <v>18.69</v>
      </c>
      <c r="H40" s="51" t="n">
        <v>47.3529643277712</v>
      </c>
      <c r="I40" s="51" t="n">
        <v>42.4941738329414</v>
      </c>
      <c r="J40" s="51" t="n">
        <v>5.57122588376678</v>
      </c>
      <c r="K40" s="51" t="n">
        <v>6</v>
      </c>
      <c r="L40" s="51" t="n">
        <v>1</v>
      </c>
      <c r="M40" s="51" t="n">
        <v>0</v>
      </c>
      <c r="N40" s="51" t="n">
        <v>1</v>
      </c>
      <c r="O40" s="51" t="n">
        <v>6</v>
      </c>
      <c r="P40" s="51" t="n">
        <v>60</v>
      </c>
      <c r="Q40" s="51" t="n">
        <v>5</v>
      </c>
      <c r="R40" s="51" t="n">
        <v>700</v>
      </c>
      <c r="S40" s="51" t="n">
        <v>0</v>
      </c>
      <c r="T40" s="51" t="n">
        <v>5</v>
      </c>
      <c r="U40" s="51" t="n">
        <v>0</v>
      </c>
      <c r="V40" s="51" t="n">
        <v>0</v>
      </c>
      <c r="W40" s="51" t="n">
        <v>0</v>
      </c>
      <c r="X40" s="51" t="n">
        <v>0.41</v>
      </c>
    </row>
    <row r="41">
      <c r="A41" s="51" t="inlineStr">
        <is>
          <t>Coconut shells</t>
        </is>
      </c>
      <c r="B41" s="51" t="n">
        <v>17.89</v>
      </c>
      <c r="C41" s="51" t="n">
        <v>56.29</v>
      </c>
      <c r="D41" s="51" t="n">
        <v>25.82</v>
      </c>
      <c r="E41" s="51" t="n">
        <v>83.98220245</v>
      </c>
      <c r="F41" s="51" t="n">
        <v>3.56</v>
      </c>
      <c r="G41" s="51" t="n">
        <v>12.46</v>
      </c>
      <c r="H41" s="51" t="n">
        <v>64.23</v>
      </c>
      <c r="I41" s="51" t="n">
        <v>27.61</v>
      </c>
      <c r="J41" s="51" t="n">
        <v>6.89</v>
      </c>
      <c r="K41" s="51" t="n">
        <v>4</v>
      </c>
      <c r="L41" s="51" t="n">
        <v>5</v>
      </c>
      <c r="M41" s="51" t="n">
        <v>1</v>
      </c>
      <c r="N41" s="51" t="n">
        <v>1</v>
      </c>
      <c r="O41" s="51" t="n">
        <v>4</v>
      </c>
      <c r="P41" s="51" t="n">
        <v>120</v>
      </c>
      <c r="Q41" s="51" t="n">
        <v>5.31847133757962</v>
      </c>
      <c r="R41" s="51" t="n">
        <v>1300</v>
      </c>
      <c r="S41" s="51" t="n">
        <v>1</v>
      </c>
      <c r="T41" s="51" t="n">
        <v>4</v>
      </c>
      <c r="U41" s="51" t="n">
        <v>120</v>
      </c>
      <c r="V41" s="51" t="n">
        <v>5</v>
      </c>
      <c r="W41" s="51" t="n">
        <v>300</v>
      </c>
      <c r="X41" s="51" t="n">
        <v>0.01</v>
      </c>
    </row>
    <row r="42">
      <c r="A42" s="51" t="inlineStr">
        <is>
          <t>Coconut shells</t>
        </is>
      </c>
      <c r="B42" s="51" t="n">
        <v>17.89</v>
      </c>
      <c r="C42" s="51" t="n">
        <v>56.29</v>
      </c>
      <c r="D42" s="51" t="n">
        <v>25.82</v>
      </c>
      <c r="E42" s="51" t="n">
        <v>83.98220245</v>
      </c>
      <c r="F42" s="51" t="n">
        <v>3.56</v>
      </c>
      <c r="G42" s="51" t="n">
        <v>12.46</v>
      </c>
      <c r="H42" s="51" t="n">
        <v>64.23</v>
      </c>
      <c r="I42" s="51" t="n">
        <v>27.61</v>
      </c>
      <c r="J42" s="51" t="n">
        <v>6.89</v>
      </c>
      <c r="K42" s="51" t="n">
        <v>4</v>
      </c>
      <c r="L42" s="51" t="n">
        <v>5</v>
      </c>
      <c r="M42" s="51" t="n">
        <v>1</v>
      </c>
      <c r="N42" s="51" t="n">
        <v>1</v>
      </c>
      <c r="O42" s="51" t="n">
        <v>4</v>
      </c>
      <c r="P42" s="51" t="n">
        <v>120</v>
      </c>
      <c r="Q42" s="51" t="n">
        <v>5.31847133757962</v>
      </c>
      <c r="R42" s="51" t="n">
        <v>1300</v>
      </c>
      <c r="S42" s="51" t="n">
        <v>1</v>
      </c>
      <c r="T42" s="51" t="n">
        <v>4</v>
      </c>
      <c r="U42" s="51" t="n">
        <v>120</v>
      </c>
      <c r="V42" s="51" t="n">
        <v>5</v>
      </c>
      <c r="W42" s="51" t="n">
        <v>300</v>
      </c>
      <c r="X42" s="51" t="n">
        <v>0.04</v>
      </c>
    </row>
    <row r="43">
      <c r="A43" s="51" t="inlineStr">
        <is>
          <t>cork</t>
        </is>
      </c>
      <c r="B43" s="51" t="n">
        <v>12</v>
      </c>
      <c r="C43" s="51" t="n">
        <v>9</v>
      </c>
      <c r="D43" s="51" t="n">
        <v>22</v>
      </c>
      <c r="E43" s="51" t="n">
        <v>60</v>
      </c>
      <c r="F43" s="51" t="n">
        <v>1</v>
      </c>
      <c r="G43" s="51" t="n">
        <v>37</v>
      </c>
      <c r="H43" s="51" t="n">
        <v>54</v>
      </c>
      <c r="I43" s="51" t="n">
        <v>35</v>
      </c>
      <c r="J43" s="51" t="n">
        <v>5.5</v>
      </c>
      <c r="K43" s="51" t="n">
        <v>4</v>
      </c>
      <c r="L43" s="51" t="n">
        <v>5</v>
      </c>
      <c r="M43" s="51" t="n">
        <v>0</v>
      </c>
      <c r="N43" s="51" t="n">
        <v>1</v>
      </c>
      <c r="O43" s="51" t="n">
        <v>4</v>
      </c>
      <c r="P43" s="51" t="n">
        <v>203.025773195876</v>
      </c>
      <c r="Q43" s="51" t="n">
        <v>2</v>
      </c>
      <c r="R43" s="51" t="n">
        <v>1500</v>
      </c>
      <c r="S43" s="51" t="n">
        <v>0</v>
      </c>
      <c r="T43" s="51" t="n">
        <v>5</v>
      </c>
      <c r="U43" s="51" t="n">
        <v>0</v>
      </c>
      <c r="V43" s="51" t="n">
        <v>0</v>
      </c>
      <c r="W43" s="51" t="n">
        <v>0</v>
      </c>
      <c r="X43" s="51" t="n">
        <v>0.05579</v>
      </c>
    </row>
    <row r="44">
      <c r="A44" s="51" t="inlineStr">
        <is>
          <t>Corn cob</t>
        </is>
      </c>
      <c r="B44" s="51" t="n">
        <v>45.88</v>
      </c>
      <c r="C44" s="51" t="n">
        <v>39.4</v>
      </c>
      <c r="D44" s="51" t="n">
        <v>11.32</v>
      </c>
      <c r="E44" s="51" t="n">
        <v>87.76000000000001</v>
      </c>
      <c r="F44" s="51" t="n">
        <v>1.05</v>
      </c>
      <c r="G44" s="51" t="n">
        <v>11.19</v>
      </c>
      <c r="H44" s="51" t="n">
        <v>43.81</v>
      </c>
      <c r="I44" s="51" t="n">
        <v>48.19</v>
      </c>
      <c r="J44" s="51" t="n">
        <v>6.54</v>
      </c>
      <c r="K44" s="51" t="n">
        <v>4</v>
      </c>
      <c r="L44" s="51" t="n">
        <v>5</v>
      </c>
      <c r="M44" s="51" t="n">
        <v>0</v>
      </c>
      <c r="N44" s="51" t="n">
        <v>1</v>
      </c>
      <c r="O44" s="51" t="n">
        <v>4</v>
      </c>
      <c r="P44" s="51" t="n">
        <v>60</v>
      </c>
      <c r="Q44" s="51" t="n">
        <v>5</v>
      </c>
      <c r="R44" s="51" t="n">
        <v>1400</v>
      </c>
      <c r="S44" s="51" t="n">
        <v>0</v>
      </c>
      <c r="T44" s="51" t="n">
        <v>5</v>
      </c>
      <c r="U44" s="51" t="n">
        <v>0</v>
      </c>
      <c r="V44" s="51" t="n">
        <v>0</v>
      </c>
      <c r="W44" s="51" t="n">
        <v>0</v>
      </c>
      <c r="X44" s="51" t="n">
        <v>0.01</v>
      </c>
    </row>
    <row r="45">
      <c r="A45" s="51" t="inlineStr">
        <is>
          <t>Corn cob</t>
        </is>
      </c>
      <c r="B45" s="51" t="n">
        <v>45.88</v>
      </c>
      <c r="C45" s="51" t="n">
        <v>39.4</v>
      </c>
      <c r="D45" s="51" t="n">
        <v>11.32</v>
      </c>
      <c r="E45" s="51" t="n">
        <v>87.76000000000001</v>
      </c>
      <c r="F45" s="51" t="n">
        <v>1.05</v>
      </c>
      <c r="G45" s="51" t="n">
        <v>11.19</v>
      </c>
      <c r="H45" s="51" t="n">
        <v>43.81</v>
      </c>
      <c r="I45" s="51" t="n">
        <v>48.19</v>
      </c>
      <c r="J45" s="51" t="n">
        <v>6.54</v>
      </c>
      <c r="K45" s="51" t="n">
        <v>4</v>
      </c>
      <c r="L45" s="51" t="n">
        <v>5</v>
      </c>
      <c r="M45" s="51" t="n">
        <v>1</v>
      </c>
      <c r="N45" s="51" t="n">
        <v>1</v>
      </c>
      <c r="O45" s="51" t="n">
        <v>4</v>
      </c>
      <c r="P45" s="51" t="n">
        <v>120</v>
      </c>
      <c r="Q45" s="51" t="n">
        <v>4.07407407407407</v>
      </c>
      <c r="R45" s="51" t="n">
        <v>500</v>
      </c>
      <c r="S45" s="51" t="n">
        <v>1</v>
      </c>
      <c r="T45" s="51" t="n">
        <v>0</v>
      </c>
      <c r="U45" s="51" t="n">
        <v>120</v>
      </c>
      <c r="V45" s="51" t="n">
        <v>4.44444444444444</v>
      </c>
      <c r="W45" s="51" t="n">
        <v>1150</v>
      </c>
      <c r="X45" s="51" t="n">
        <v>0.0484</v>
      </c>
    </row>
    <row r="46">
      <c r="A46" s="51" t="inlineStr">
        <is>
          <t>Corn cob</t>
        </is>
      </c>
      <c r="B46" s="51" t="n">
        <v>45.88</v>
      </c>
      <c r="C46" s="51" t="n">
        <v>39.4</v>
      </c>
      <c r="D46" s="51" t="n">
        <v>11.32</v>
      </c>
      <c r="E46" s="51" t="n">
        <v>87.76000000000001</v>
      </c>
      <c r="F46" s="51" t="n">
        <v>1.05</v>
      </c>
      <c r="G46" s="51" t="n">
        <v>11.19</v>
      </c>
      <c r="H46" s="51" t="n">
        <v>43.81</v>
      </c>
      <c r="I46" s="51" t="n">
        <v>48.19</v>
      </c>
      <c r="J46" s="51" t="n">
        <v>6.54</v>
      </c>
      <c r="K46" s="51" t="n">
        <v>4</v>
      </c>
      <c r="L46" s="51" t="n">
        <v>5</v>
      </c>
      <c r="M46" s="51" t="n">
        <v>1</v>
      </c>
      <c r="N46" s="51" t="n">
        <v>1</v>
      </c>
      <c r="O46" s="51" t="n">
        <v>4</v>
      </c>
      <c r="P46" s="51" t="n">
        <v>120</v>
      </c>
      <c r="Q46" s="51" t="n">
        <v>4.07407407407407</v>
      </c>
      <c r="R46" s="51" t="n">
        <v>500</v>
      </c>
      <c r="S46" s="51" t="n">
        <v>1</v>
      </c>
      <c r="T46" s="51" t="n">
        <v>0</v>
      </c>
      <c r="U46" s="51" t="n">
        <v>120</v>
      </c>
      <c r="V46" s="51" t="n">
        <v>4.44444444444444</v>
      </c>
      <c r="W46" s="51" t="n">
        <v>1300</v>
      </c>
      <c r="X46" s="51" t="n">
        <v>0.0424</v>
      </c>
    </row>
    <row r="47">
      <c r="A47" s="51" t="inlineStr">
        <is>
          <t>Corn cob</t>
        </is>
      </c>
      <c r="B47" s="51" t="n">
        <v>45.88</v>
      </c>
      <c r="C47" s="51" t="n">
        <v>39.4</v>
      </c>
      <c r="D47" s="51" t="n">
        <v>11.32</v>
      </c>
      <c r="E47" s="51" t="n">
        <v>87.76000000000001</v>
      </c>
      <c r="F47" s="51" t="n">
        <v>1.05</v>
      </c>
      <c r="G47" s="51" t="n">
        <v>11.19</v>
      </c>
      <c r="H47" s="51" t="n">
        <v>43.81</v>
      </c>
      <c r="I47" s="51" t="n">
        <v>48.19</v>
      </c>
      <c r="J47" s="51" t="n">
        <v>6.54</v>
      </c>
      <c r="K47" s="51" t="n">
        <v>4</v>
      </c>
      <c r="L47" s="51" t="n">
        <v>5</v>
      </c>
      <c r="M47" s="51" t="n">
        <v>1</v>
      </c>
      <c r="N47" s="51" t="n">
        <v>1</v>
      </c>
      <c r="O47" s="51" t="n">
        <v>4</v>
      </c>
      <c r="P47" s="51" t="n">
        <v>120</v>
      </c>
      <c r="Q47" s="51" t="n">
        <v>4.07407407407407</v>
      </c>
      <c r="R47" s="51" t="n">
        <v>500</v>
      </c>
      <c r="S47" s="51" t="n">
        <v>1</v>
      </c>
      <c r="T47" s="51" t="n">
        <v>0</v>
      </c>
      <c r="U47" s="51" t="n">
        <v>120</v>
      </c>
      <c r="V47" s="51" t="n">
        <v>4.44444444444444</v>
      </c>
      <c r="W47" s="51" t="n">
        <v>1450</v>
      </c>
      <c r="X47" s="51" t="n">
        <v>0.0474</v>
      </c>
    </row>
    <row r="48">
      <c r="A48" s="51" t="inlineStr">
        <is>
          <t>Corn cob</t>
        </is>
      </c>
      <c r="B48" s="51" t="n">
        <v>45.88</v>
      </c>
      <c r="C48" s="51" t="n">
        <v>39.4</v>
      </c>
      <c r="D48" s="51" t="n">
        <v>11.32</v>
      </c>
      <c r="E48" s="51" t="n">
        <v>87.76000000000001</v>
      </c>
      <c r="F48" s="51" t="n">
        <v>1.05</v>
      </c>
      <c r="G48" s="51" t="n">
        <v>11.19</v>
      </c>
      <c r="H48" s="51" t="n">
        <v>43.81</v>
      </c>
      <c r="I48" s="51" t="n">
        <v>48.19</v>
      </c>
      <c r="J48" s="51" t="n">
        <v>6.54</v>
      </c>
      <c r="K48" s="51" t="n">
        <v>1</v>
      </c>
      <c r="L48" s="51" t="n">
        <v>5</v>
      </c>
      <c r="M48" s="51" t="n">
        <v>1</v>
      </c>
      <c r="N48" s="51" t="n">
        <v>1</v>
      </c>
      <c r="O48" s="51" t="n">
        <v>4</v>
      </c>
      <c r="P48" s="51" t="n">
        <v>120</v>
      </c>
      <c r="Q48" s="51" t="n">
        <v>4.07407407407407</v>
      </c>
      <c r="R48" s="51" t="n">
        <v>500</v>
      </c>
      <c r="S48" s="51" t="n">
        <v>1</v>
      </c>
      <c r="T48" s="51" t="n">
        <v>5</v>
      </c>
      <c r="U48" s="51" t="n">
        <v>120</v>
      </c>
      <c r="V48" s="51" t="n">
        <v>4.44444444444444</v>
      </c>
      <c r="W48" s="51" t="n">
        <v>1150</v>
      </c>
      <c r="X48" s="51" t="n">
        <v>0.048</v>
      </c>
    </row>
    <row r="49">
      <c r="A49" s="51" t="inlineStr">
        <is>
          <t>Corn cob</t>
        </is>
      </c>
      <c r="B49" s="51" t="n">
        <v>45.88</v>
      </c>
      <c r="C49" s="51" t="n">
        <v>39.4</v>
      </c>
      <c r="D49" s="51" t="n">
        <v>11.32</v>
      </c>
      <c r="E49" s="51" t="n">
        <v>87.76000000000001</v>
      </c>
      <c r="F49" s="51" t="n">
        <v>1.05</v>
      </c>
      <c r="G49" s="51" t="n">
        <v>11.19</v>
      </c>
      <c r="H49" s="51" t="n">
        <v>43.81</v>
      </c>
      <c r="I49" s="51" t="n">
        <v>48.19</v>
      </c>
      <c r="J49" s="51" t="n">
        <v>6.54</v>
      </c>
      <c r="K49" s="51" t="n">
        <v>1</v>
      </c>
      <c r="L49" s="51" t="n">
        <v>5</v>
      </c>
      <c r="M49" s="51" t="n">
        <v>1</v>
      </c>
      <c r="N49" s="51" t="n">
        <v>1</v>
      </c>
      <c r="O49" s="51" t="n">
        <v>4</v>
      </c>
      <c r="P49" s="51" t="n">
        <v>120</v>
      </c>
      <c r="Q49" s="51" t="n">
        <v>4.07407407407407</v>
      </c>
      <c r="R49" s="51" t="n">
        <v>500</v>
      </c>
      <c r="S49" s="51" t="n">
        <v>1</v>
      </c>
      <c r="T49" s="51" t="n">
        <v>5</v>
      </c>
      <c r="U49" s="51" t="n">
        <v>120</v>
      </c>
      <c r="V49" s="51" t="n">
        <v>4.44444444444444</v>
      </c>
      <c r="W49" s="51" t="n">
        <v>1300</v>
      </c>
      <c r="X49" s="51" t="n">
        <v>0.042</v>
      </c>
    </row>
    <row r="50">
      <c r="A50" s="51" t="inlineStr">
        <is>
          <t>Corn cob</t>
        </is>
      </c>
      <c r="B50" s="51" t="n">
        <v>45.88</v>
      </c>
      <c r="C50" s="51" t="n">
        <v>39.4</v>
      </c>
      <c r="D50" s="51" t="n">
        <v>11.32</v>
      </c>
      <c r="E50" s="51" t="n">
        <v>87.76000000000001</v>
      </c>
      <c r="F50" s="51" t="n">
        <v>1.05</v>
      </c>
      <c r="G50" s="51" t="n">
        <v>11.19</v>
      </c>
      <c r="H50" s="51" t="n">
        <v>43.81</v>
      </c>
      <c r="I50" s="51" t="n">
        <v>48.19</v>
      </c>
      <c r="J50" s="51" t="n">
        <v>6.54</v>
      </c>
      <c r="K50" s="51" t="n">
        <v>1</v>
      </c>
      <c r="L50" s="51" t="n">
        <v>5</v>
      </c>
      <c r="M50" s="51" t="n">
        <v>0</v>
      </c>
      <c r="N50" s="51" t="n">
        <v>1</v>
      </c>
      <c r="O50" s="51" t="n">
        <v>4</v>
      </c>
      <c r="P50" s="51" t="n">
        <v>120</v>
      </c>
      <c r="Q50" s="51" t="n">
        <v>4.07407407407407</v>
      </c>
      <c r="R50" s="51" t="n">
        <v>1300</v>
      </c>
      <c r="S50" s="51" t="n">
        <v>0</v>
      </c>
      <c r="T50" s="51" t="n">
        <v>5</v>
      </c>
      <c r="U50" s="51" t="n">
        <v>0</v>
      </c>
      <c r="V50" s="51" t="n">
        <v>0</v>
      </c>
      <c r="W50" s="51" t="n">
        <v>0</v>
      </c>
      <c r="X50" s="51" t="n">
        <v>0.09055000000000001</v>
      </c>
    </row>
    <row r="51">
      <c r="A51" s="51" t="inlineStr">
        <is>
          <t>Corn cob</t>
        </is>
      </c>
      <c r="B51" s="51" t="n">
        <v>45.88</v>
      </c>
      <c r="C51" s="51" t="n">
        <v>39.4</v>
      </c>
      <c r="D51" s="51" t="n">
        <v>11.32</v>
      </c>
      <c r="E51" s="51" t="n">
        <v>87.76000000000001</v>
      </c>
      <c r="F51" s="51" t="n">
        <v>1.05</v>
      </c>
      <c r="G51" s="51" t="n">
        <v>11.19</v>
      </c>
      <c r="H51" s="51" t="n">
        <v>43.81</v>
      </c>
      <c r="I51" s="51" t="n">
        <v>48.19</v>
      </c>
      <c r="J51" s="51" t="n">
        <v>6.54</v>
      </c>
      <c r="K51" s="51" t="n">
        <v>1</v>
      </c>
      <c r="L51" s="51" t="n">
        <v>5</v>
      </c>
      <c r="M51" s="51" t="n">
        <v>1</v>
      </c>
      <c r="N51" s="51" t="n">
        <v>1</v>
      </c>
      <c r="O51" s="51" t="n">
        <v>4</v>
      </c>
      <c r="P51" s="51" t="n">
        <v>120</v>
      </c>
      <c r="Q51" s="51" t="n">
        <v>4.07407407407407</v>
      </c>
      <c r="R51" s="51" t="n">
        <v>500</v>
      </c>
      <c r="S51" s="51" t="n">
        <v>1</v>
      </c>
      <c r="T51" s="51" t="n">
        <v>5</v>
      </c>
      <c r="U51" s="51" t="n">
        <v>120</v>
      </c>
      <c r="V51" s="51" t="n">
        <v>4.44444444444444</v>
      </c>
      <c r="W51" s="51" t="n">
        <v>1300</v>
      </c>
      <c r="X51" s="51" t="n">
        <v>0.03614</v>
      </c>
    </row>
    <row r="52">
      <c r="A52" s="51" t="inlineStr">
        <is>
          <t>Corn cob</t>
        </is>
      </c>
      <c r="B52" s="51" t="n">
        <v>45.88</v>
      </c>
      <c r="C52" s="51" t="n">
        <v>39.4</v>
      </c>
      <c r="D52" s="51" t="n">
        <v>11.32</v>
      </c>
      <c r="E52" s="51" t="n">
        <v>87.76000000000001</v>
      </c>
      <c r="F52" s="51" t="n">
        <v>1.05</v>
      </c>
      <c r="G52" s="51" t="n">
        <v>11.19</v>
      </c>
      <c r="H52" s="51" t="n">
        <v>43.81</v>
      </c>
      <c r="I52" s="51" t="n">
        <v>48.19</v>
      </c>
      <c r="J52" s="51" t="n">
        <v>6.54</v>
      </c>
      <c r="K52" s="51" t="n">
        <v>1</v>
      </c>
      <c r="L52" s="51" t="n">
        <v>5</v>
      </c>
      <c r="M52" s="51" t="n">
        <v>1</v>
      </c>
      <c r="N52" s="51" t="n">
        <v>1</v>
      </c>
      <c r="O52" s="51" t="n">
        <v>4</v>
      </c>
      <c r="P52" s="51" t="n">
        <v>120</v>
      </c>
      <c r="Q52" s="51" t="n">
        <v>4.07407407407407</v>
      </c>
      <c r="R52" s="51" t="n">
        <v>600</v>
      </c>
      <c r="S52" s="51" t="n">
        <v>1</v>
      </c>
      <c r="T52" s="51" t="n">
        <v>5</v>
      </c>
      <c r="U52" s="51" t="n">
        <v>120</v>
      </c>
      <c r="V52" s="51" t="n">
        <v>4.44444444444444</v>
      </c>
      <c r="W52" s="51" t="n">
        <v>1300</v>
      </c>
      <c r="X52" s="51" t="n">
        <v>0.05776</v>
      </c>
    </row>
    <row r="53">
      <c r="A53" s="51" t="inlineStr">
        <is>
          <t>Corn cob</t>
        </is>
      </c>
      <c r="B53" s="51" t="n">
        <v>45.88</v>
      </c>
      <c r="C53" s="51" t="n">
        <v>39.4</v>
      </c>
      <c r="D53" s="51" t="n">
        <v>11.32</v>
      </c>
      <c r="E53" s="51" t="n">
        <v>87.76000000000001</v>
      </c>
      <c r="F53" s="51" t="n">
        <v>1.05</v>
      </c>
      <c r="G53" s="51" t="n">
        <v>11.19</v>
      </c>
      <c r="H53" s="51" t="n">
        <v>43.81</v>
      </c>
      <c r="I53" s="51" t="n">
        <v>48.19</v>
      </c>
      <c r="J53" s="51" t="n">
        <v>6.54</v>
      </c>
      <c r="K53" s="51" t="n">
        <v>1</v>
      </c>
      <c r="L53" s="51" t="n">
        <v>5</v>
      </c>
      <c r="M53" s="51" t="n">
        <v>1</v>
      </c>
      <c r="N53" s="51" t="n">
        <v>1</v>
      </c>
      <c r="O53" s="51" t="n">
        <v>4</v>
      </c>
      <c r="P53" s="51" t="n">
        <v>120</v>
      </c>
      <c r="Q53" s="51" t="n">
        <v>4.07407407407407</v>
      </c>
      <c r="R53" s="51" t="n">
        <v>500</v>
      </c>
      <c r="S53" s="51" t="n">
        <v>1</v>
      </c>
      <c r="T53" s="51" t="n">
        <v>5</v>
      </c>
      <c r="U53" s="51" t="n">
        <v>120</v>
      </c>
      <c r="V53" s="51" t="n">
        <v>4.44444444444444</v>
      </c>
      <c r="W53" s="51" t="n">
        <v>1450</v>
      </c>
      <c r="X53" s="51" t="n">
        <v>0.047</v>
      </c>
    </row>
    <row r="54">
      <c r="A54" s="51" t="inlineStr">
        <is>
          <t>Corn cob</t>
        </is>
      </c>
      <c r="B54" s="51" t="n">
        <v>45.88</v>
      </c>
      <c r="C54" s="51" t="n">
        <v>39.4</v>
      </c>
      <c r="D54" s="51" t="n">
        <v>11.32</v>
      </c>
      <c r="E54" s="51" t="n">
        <v>87.76000000000001</v>
      </c>
      <c r="F54" s="51" t="n">
        <v>1.05</v>
      </c>
      <c r="G54" s="51" t="n">
        <v>11.19</v>
      </c>
      <c r="H54" s="51" t="n">
        <v>43.81</v>
      </c>
      <c r="I54" s="51" t="n">
        <v>48.19</v>
      </c>
      <c r="J54" s="51" t="n">
        <v>6.54</v>
      </c>
      <c r="K54" s="51" t="n">
        <v>4</v>
      </c>
      <c r="L54" s="51" t="n">
        <v>1</v>
      </c>
      <c r="M54" s="51" t="n">
        <v>1</v>
      </c>
      <c r="N54" s="51" t="n">
        <v>1</v>
      </c>
      <c r="O54" s="51" t="n">
        <v>4</v>
      </c>
      <c r="P54" s="51" t="n">
        <v>120</v>
      </c>
      <c r="Q54" s="51" t="n">
        <v>5</v>
      </c>
      <c r="R54" s="51" t="n">
        <v>500</v>
      </c>
      <c r="S54" s="51" t="n">
        <v>1</v>
      </c>
      <c r="T54" s="51" t="n">
        <v>5</v>
      </c>
      <c r="U54" s="51" t="n">
        <v>120</v>
      </c>
      <c r="V54" s="51" t="n">
        <v>5</v>
      </c>
      <c r="W54" s="51" t="n">
        <v>1200</v>
      </c>
      <c r="X54" s="51" t="n">
        <v>0.0077</v>
      </c>
    </row>
    <row r="55">
      <c r="A55" s="51" t="inlineStr">
        <is>
          <t>Corn cob</t>
        </is>
      </c>
      <c r="B55" s="51" t="n">
        <v>45.88</v>
      </c>
      <c r="C55" s="51" t="n">
        <v>39.4</v>
      </c>
      <c r="D55" s="51" t="n">
        <v>11.32</v>
      </c>
      <c r="E55" s="51" t="n">
        <v>87.76000000000001</v>
      </c>
      <c r="F55" s="51" t="n">
        <v>1.05</v>
      </c>
      <c r="G55" s="51" t="n">
        <v>11.19</v>
      </c>
      <c r="H55" s="51" t="n">
        <v>43.81</v>
      </c>
      <c r="I55" s="51" t="n">
        <v>48.19</v>
      </c>
      <c r="J55" s="51" t="n">
        <v>6.54</v>
      </c>
      <c r="K55" s="51" t="n">
        <v>4</v>
      </c>
      <c r="L55" s="51" t="n">
        <v>1</v>
      </c>
      <c r="M55" s="51" t="n">
        <v>1</v>
      </c>
      <c r="N55" s="51" t="n">
        <v>1</v>
      </c>
      <c r="O55" s="51" t="n">
        <v>4</v>
      </c>
      <c r="P55" s="51" t="n">
        <v>120</v>
      </c>
      <c r="Q55" s="51" t="n">
        <v>5</v>
      </c>
      <c r="R55" s="51" t="n">
        <v>500</v>
      </c>
      <c r="S55" s="51" t="n">
        <v>1</v>
      </c>
      <c r="T55" s="51" t="n">
        <v>5</v>
      </c>
      <c r="U55" s="51" t="n">
        <v>120</v>
      </c>
      <c r="V55" s="51" t="n">
        <v>5</v>
      </c>
      <c r="W55" s="51" t="n">
        <v>1400</v>
      </c>
      <c r="X55" s="51" t="n">
        <v>0.0153</v>
      </c>
    </row>
    <row r="56">
      <c r="A56" s="51" t="inlineStr">
        <is>
          <t>Corn cob</t>
        </is>
      </c>
      <c r="B56" s="51" t="n">
        <v>45.88</v>
      </c>
      <c r="C56" s="51" t="n">
        <v>39.4</v>
      </c>
      <c r="D56" s="51" t="n">
        <v>11.32</v>
      </c>
      <c r="E56" s="51" t="n">
        <v>87.76000000000001</v>
      </c>
      <c r="F56" s="51" t="n">
        <v>1.05</v>
      </c>
      <c r="G56" s="51" t="n">
        <v>11.19</v>
      </c>
      <c r="H56" s="51" t="n">
        <v>43.81</v>
      </c>
      <c r="I56" s="51" t="n">
        <v>48.19</v>
      </c>
      <c r="J56" s="51" t="n">
        <v>6.54</v>
      </c>
      <c r="K56" s="51" t="n">
        <v>4</v>
      </c>
      <c r="L56" s="51" t="n">
        <v>1</v>
      </c>
      <c r="M56" s="51" t="n">
        <v>1</v>
      </c>
      <c r="N56" s="51" t="n">
        <v>1</v>
      </c>
      <c r="O56" s="51" t="n">
        <v>4</v>
      </c>
      <c r="P56" s="51" t="n">
        <v>120</v>
      </c>
      <c r="Q56" s="51" t="n">
        <v>3</v>
      </c>
      <c r="R56" s="51" t="n">
        <v>500</v>
      </c>
      <c r="S56" s="51" t="n">
        <v>1</v>
      </c>
      <c r="T56" s="51" t="n">
        <v>5</v>
      </c>
      <c r="U56" s="51" t="n">
        <v>120</v>
      </c>
      <c r="V56" s="51" t="n">
        <v>5</v>
      </c>
      <c r="W56" s="51" t="n">
        <v>1200</v>
      </c>
      <c r="X56" s="51" t="n">
        <v>0.021</v>
      </c>
    </row>
    <row r="57">
      <c r="A57" s="51" t="inlineStr">
        <is>
          <t>Corn cob</t>
        </is>
      </c>
      <c r="B57" s="51" t="n">
        <v>45.88</v>
      </c>
      <c r="C57" s="51" t="n">
        <v>39.4</v>
      </c>
      <c r="D57" s="51" t="n">
        <v>11.32</v>
      </c>
      <c r="E57" s="51" t="n">
        <v>87.76000000000001</v>
      </c>
      <c r="F57" s="51" t="n">
        <v>1.05</v>
      </c>
      <c r="G57" s="51" t="n">
        <v>11.19</v>
      </c>
      <c r="H57" s="51" t="n">
        <v>43.81</v>
      </c>
      <c r="I57" s="51" t="n">
        <v>48.19</v>
      </c>
      <c r="J57" s="51" t="n">
        <v>6.54</v>
      </c>
      <c r="K57" s="51" t="n">
        <v>4</v>
      </c>
      <c r="L57" s="51" t="n">
        <v>1</v>
      </c>
      <c r="M57" s="51" t="n">
        <v>1</v>
      </c>
      <c r="N57" s="51" t="n">
        <v>1</v>
      </c>
      <c r="O57" s="51" t="n">
        <v>4</v>
      </c>
      <c r="P57" s="51" t="n">
        <v>120</v>
      </c>
      <c r="Q57" s="51" t="n">
        <v>3</v>
      </c>
      <c r="R57" s="51" t="n">
        <v>500</v>
      </c>
      <c r="S57" s="51" t="n">
        <v>1</v>
      </c>
      <c r="T57" s="51" t="n">
        <v>5</v>
      </c>
      <c r="U57" s="51" t="n">
        <v>120</v>
      </c>
      <c r="V57" s="51" t="n">
        <v>5</v>
      </c>
      <c r="W57" s="51" t="n">
        <v>1400</v>
      </c>
      <c r="X57" s="51" t="n">
        <v>0.017</v>
      </c>
    </row>
    <row r="58">
      <c r="A58" s="51" t="inlineStr">
        <is>
          <t>Corn cob</t>
        </is>
      </c>
      <c r="B58" s="51" t="n">
        <v>45.88</v>
      </c>
      <c r="C58" s="51" t="n">
        <v>39.4</v>
      </c>
      <c r="D58" s="51" t="n">
        <v>11.32</v>
      </c>
      <c r="E58" s="51" t="n">
        <v>87.76000000000001</v>
      </c>
      <c r="F58" s="51" t="n">
        <v>1.05</v>
      </c>
      <c r="G58" s="51" t="n">
        <v>11.19</v>
      </c>
      <c r="H58" s="51" t="n">
        <v>43.81</v>
      </c>
      <c r="I58" s="51" t="n">
        <v>48.19</v>
      </c>
      <c r="J58" s="51" t="n">
        <v>6.54</v>
      </c>
      <c r="K58" s="51" t="n">
        <v>4</v>
      </c>
      <c r="L58" s="51" t="n">
        <v>1</v>
      </c>
      <c r="M58" s="51" t="n">
        <v>1</v>
      </c>
      <c r="N58" s="51" t="n">
        <v>1</v>
      </c>
      <c r="O58" s="51" t="n">
        <v>4</v>
      </c>
      <c r="P58" s="51" t="n">
        <v>120</v>
      </c>
      <c r="Q58" s="51" t="n">
        <v>3</v>
      </c>
      <c r="R58" s="51" t="n">
        <v>500</v>
      </c>
      <c r="S58" s="51" t="n">
        <v>1</v>
      </c>
      <c r="T58" s="51" t="n">
        <v>5</v>
      </c>
      <c r="U58" s="51" t="n">
        <v>120</v>
      </c>
      <c r="V58" s="51" t="n">
        <v>5</v>
      </c>
      <c r="W58" s="51" t="n">
        <v>1600</v>
      </c>
      <c r="X58" s="51" t="n">
        <v>0.049</v>
      </c>
    </row>
    <row r="59">
      <c r="A59" s="51" t="inlineStr">
        <is>
          <t>Corn cob</t>
        </is>
      </c>
      <c r="B59" s="51" t="n">
        <v>45.88</v>
      </c>
      <c r="C59" s="51" t="n">
        <v>39.4</v>
      </c>
      <c r="D59" s="51" t="n">
        <v>11.32</v>
      </c>
      <c r="E59" s="51" t="n">
        <v>87.76000000000001</v>
      </c>
      <c r="F59" s="51" t="n">
        <v>1.05</v>
      </c>
      <c r="G59" s="51" t="n">
        <v>11.19</v>
      </c>
      <c r="H59" s="51" t="n">
        <v>43.81</v>
      </c>
      <c r="I59" s="51" t="n">
        <v>48.19</v>
      </c>
      <c r="J59" s="51" t="n">
        <v>6.54</v>
      </c>
      <c r="K59" s="51" t="n">
        <v>1</v>
      </c>
      <c r="L59" s="51" t="n">
        <v>5</v>
      </c>
      <c r="M59" s="51" t="n">
        <v>1</v>
      </c>
      <c r="N59" s="51" t="n">
        <v>1</v>
      </c>
      <c r="O59" s="51" t="n">
        <v>4</v>
      </c>
      <c r="P59" s="51" t="n">
        <v>120</v>
      </c>
      <c r="Q59" s="51" t="n">
        <v>4.07407407407407</v>
      </c>
      <c r="R59" s="51" t="n">
        <v>400</v>
      </c>
      <c r="S59" s="51" t="n">
        <v>1</v>
      </c>
      <c r="T59" s="51" t="n">
        <v>5</v>
      </c>
      <c r="U59" s="51" t="n">
        <v>120</v>
      </c>
      <c r="V59" s="51" t="n">
        <v>4.44444444444444</v>
      </c>
      <c r="W59" s="51" t="n">
        <v>1300</v>
      </c>
      <c r="X59" s="51" t="n">
        <v>0.049</v>
      </c>
    </row>
    <row r="60">
      <c r="A60" s="51" t="inlineStr">
        <is>
          <t>Corn cob</t>
        </is>
      </c>
      <c r="B60" s="51" t="n">
        <v>45.88</v>
      </c>
      <c r="C60" s="51" t="n">
        <v>39.4</v>
      </c>
      <c r="D60" s="51" t="n">
        <v>11.32</v>
      </c>
      <c r="E60" s="51" t="n">
        <v>87.76000000000001</v>
      </c>
      <c r="F60" s="51" t="n">
        <v>1.05</v>
      </c>
      <c r="G60" s="51" t="n">
        <v>11.19</v>
      </c>
      <c r="H60" s="51" t="n">
        <v>43.81</v>
      </c>
      <c r="I60" s="51" t="n">
        <v>48.19</v>
      </c>
      <c r="J60" s="51" t="n">
        <v>6.54</v>
      </c>
      <c r="K60" s="51" t="n">
        <v>4</v>
      </c>
      <c r="L60" s="51" t="n">
        <v>1</v>
      </c>
      <c r="M60" s="51" t="n">
        <v>1</v>
      </c>
      <c r="N60" s="51" t="n">
        <v>1</v>
      </c>
      <c r="O60" s="51" t="n">
        <v>4</v>
      </c>
      <c r="P60" s="51" t="n">
        <v>120</v>
      </c>
      <c r="Q60" s="51" t="n">
        <v>5</v>
      </c>
      <c r="R60" s="51" t="n">
        <v>500</v>
      </c>
      <c r="S60" s="51" t="n">
        <v>1</v>
      </c>
      <c r="T60" s="51" t="n">
        <v>5</v>
      </c>
      <c r="U60" s="51" t="n">
        <v>120</v>
      </c>
      <c r="V60" s="51" t="n">
        <v>5</v>
      </c>
      <c r="W60" s="51" t="n">
        <v>1000</v>
      </c>
      <c r="X60" s="51" t="n">
        <v>0.0083</v>
      </c>
    </row>
    <row r="61">
      <c r="A61" s="51" t="inlineStr">
        <is>
          <t>Corn cob</t>
        </is>
      </c>
      <c r="B61" s="51" t="n">
        <v>45.88</v>
      </c>
      <c r="C61" s="51" t="n">
        <v>39.4</v>
      </c>
      <c r="D61" s="51" t="n">
        <v>11.32</v>
      </c>
      <c r="E61" s="51" t="n">
        <v>87.76000000000001</v>
      </c>
      <c r="F61" s="51" t="n">
        <v>1.05</v>
      </c>
      <c r="G61" s="51" t="n">
        <v>11.19</v>
      </c>
      <c r="H61" s="51" t="n">
        <v>43.81</v>
      </c>
      <c r="I61" s="51" t="n">
        <v>48.19</v>
      </c>
      <c r="J61" s="51" t="n">
        <v>6.54</v>
      </c>
      <c r="K61" s="51" t="n">
        <v>4</v>
      </c>
      <c r="L61" s="51" t="n">
        <v>1</v>
      </c>
      <c r="M61" s="51" t="n">
        <v>1</v>
      </c>
      <c r="N61" s="51" t="n">
        <v>1</v>
      </c>
      <c r="O61" s="51" t="n">
        <v>4</v>
      </c>
      <c r="P61" s="51" t="n">
        <v>120</v>
      </c>
      <c r="Q61" s="51" t="n">
        <v>5</v>
      </c>
      <c r="R61" s="51" t="n">
        <v>500</v>
      </c>
      <c r="S61" s="51" t="n">
        <v>1</v>
      </c>
      <c r="T61" s="51" t="n">
        <v>5</v>
      </c>
      <c r="U61" s="51" t="n">
        <v>120</v>
      </c>
      <c r="V61" s="51" t="n">
        <v>5</v>
      </c>
      <c r="W61" s="51" t="n">
        <v>1600</v>
      </c>
      <c r="X61" s="51" t="n">
        <v>0.014</v>
      </c>
    </row>
    <row r="62">
      <c r="A62" s="51" t="inlineStr">
        <is>
          <t>Corn Stalks</t>
        </is>
      </c>
      <c r="B62" s="51" t="n">
        <v>31.31</v>
      </c>
      <c r="C62" s="51" t="n">
        <v>40.13</v>
      </c>
      <c r="D62" s="51" t="n">
        <v>4.74</v>
      </c>
      <c r="E62" s="51" t="n">
        <v>77.48</v>
      </c>
      <c r="F62" s="51" t="n">
        <v>7.92</v>
      </c>
      <c r="G62" s="51" t="n">
        <v>6.14</v>
      </c>
      <c r="H62" s="51" t="n">
        <v>44.17</v>
      </c>
      <c r="I62" s="51" t="n">
        <v>49.07</v>
      </c>
      <c r="J62" s="51" t="n">
        <v>5.65</v>
      </c>
      <c r="K62" s="51" t="n">
        <v>4</v>
      </c>
      <c r="L62" s="51" t="n">
        <v>5</v>
      </c>
      <c r="M62" s="51" t="n">
        <v>0</v>
      </c>
      <c r="N62" s="51" t="n">
        <v>1</v>
      </c>
      <c r="O62" s="51" t="n">
        <v>4</v>
      </c>
      <c r="P62" s="51" t="n">
        <v>120</v>
      </c>
      <c r="Q62" s="51" t="n">
        <v>5.31847133757962</v>
      </c>
      <c r="R62" s="51" t="n">
        <v>1200</v>
      </c>
      <c r="S62" s="51" t="n">
        <v>0</v>
      </c>
      <c r="T62" s="51" t="n">
        <v>5</v>
      </c>
      <c r="U62" s="51" t="n">
        <v>0</v>
      </c>
      <c r="V62" s="51" t="n">
        <v>0</v>
      </c>
      <c r="W62" s="51" t="n">
        <v>0</v>
      </c>
      <c r="X62" s="51" t="n">
        <v>0.2921</v>
      </c>
    </row>
    <row r="63">
      <c r="A63" s="51" t="inlineStr">
        <is>
          <t>Corn Stalks</t>
        </is>
      </c>
      <c r="B63" s="51" t="n">
        <v>31.31</v>
      </c>
      <c r="C63" s="51" t="n">
        <v>40.13</v>
      </c>
      <c r="D63" s="51" t="n">
        <v>4.74</v>
      </c>
      <c r="E63" s="51" t="n">
        <v>77.48</v>
      </c>
      <c r="F63" s="51" t="n">
        <v>7.92</v>
      </c>
      <c r="G63" s="51" t="n">
        <v>6.14</v>
      </c>
      <c r="H63" s="51" t="n">
        <v>44.17</v>
      </c>
      <c r="I63" s="51" t="n">
        <v>49.07</v>
      </c>
      <c r="J63" s="51" t="n">
        <v>5.65</v>
      </c>
      <c r="K63" s="51" t="n">
        <v>4</v>
      </c>
      <c r="L63" s="51" t="n">
        <v>5</v>
      </c>
      <c r="M63" s="51" t="n">
        <v>0</v>
      </c>
      <c r="N63" s="51" t="n">
        <v>1</v>
      </c>
      <c r="O63" s="51" t="n">
        <v>4</v>
      </c>
      <c r="P63" s="51" t="n">
        <v>120</v>
      </c>
      <c r="Q63" s="51" t="n">
        <v>5.31847133757962</v>
      </c>
      <c r="R63" s="51" t="n">
        <v>1200</v>
      </c>
      <c r="S63" s="51" t="n">
        <v>0</v>
      </c>
      <c r="T63" s="51" t="n">
        <v>5</v>
      </c>
      <c r="U63" s="51" t="n">
        <v>0</v>
      </c>
      <c r="V63" s="51" t="n">
        <v>0</v>
      </c>
      <c r="W63" s="51" t="n">
        <v>0</v>
      </c>
      <c r="X63" s="51" t="n">
        <v>0.06</v>
      </c>
    </row>
    <row r="64">
      <c r="A64" s="51" t="inlineStr">
        <is>
          <t>Corn starch</t>
        </is>
      </c>
      <c r="B64" s="51" t="n">
        <v>43.0277358490566</v>
      </c>
      <c r="C64" s="51" t="n">
        <v>25.8667295597484</v>
      </c>
      <c r="D64" s="51" t="n">
        <v>21.1679874213836</v>
      </c>
      <c r="E64" s="51" t="n">
        <v>75.4007301873288</v>
      </c>
      <c r="F64" s="51" t="n">
        <v>5.11171232876712</v>
      </c>
      <c r="G64" s="51" t="n">
        <v>14.2064383561644</v>
      </c>
      <c r="H64" s="51" t="n">
        <v>47.7479452054795</v>
      </c>
      <c r="I64" s="51" t="n">
        <v>42.1513698630137</v>
      </c>
      <c r="J64" s="51" t="n">
        <v>5.73879432624113</v>
      </c>
      <c r="K64" s="51" t="n">
        <v>4</v>
      </c>
      <c r="L64" s="51" t="n">
        <v>5</v>
      </c>
      <c r="M64" s="51" t="n">
        <v>0</v>
      </c>
      <c r="N64" s="51" t="n">
        <v>1</v>
      </c>
      <c r="O64" s="51" t="n">
        <v>4</v>
      </c>
      <c r="P64" s="51" t="n">
        <v>120</v>
      </c>
      <c r="Q64" s="51" t="n">
        <v>5</v>
      </c>
      <c r="R64" s="51" t="n">
        <v>1100</v>
      </c>
      <c r="S64" s="51" t="n">
        <v>0</v>
      </c>
      <c r="T64" s="51" t="n">
        <v>5</v>
      </c>
      <c r="U64" s="51" t="n">
        <v>0</v>
      </c>
      <c r="V64" s="51" t="n">
        <v>0</v>
      </c>
      <c r="W64" s="51" t="n">
        <v>0</v>
      </c>
      <c r="X64" s="51" t="n">
        <v>0.156</v>
      </c>
    </row>
    <row r="65">
      <c r="A65" s="51" t="inlineStr">
        <is>
          <t>Corn starch</t>
        </is>
      </c>
      <c r="B65" s="51" t="n">
        <v>43.0277358490566</v>
      </c>
      <c r="C65" s="51" t="n">
        <v>25.8667295597484</v>
      </c>
      <c r="D65" s="51" t="n">
        <v>21.1679874213836</v>
      </c>
      <c r="E65" s="51" t="n">
        <v>75.4007301873288</v>
      </c>
      <c r="F65" s="51" t="n">
        <v>5.11171232876712</v>
      </c>
      <c r="G65" s="51" t="n">
        <v>14.2064383561644</v>
      </c>
      <c r="H65" s="51" t="n">
        <v>47.7479452054795</v>
      </c>
      <c r="I65" s="51" t="n">
        <v>42.1513698630137</v>
      </c>
      <c r="J65" s="51" t="n">
        <v>5.73879432624113</v>
      </c>
      <c r="K65" s="51" t="n">
        <v>4</v>
      </c>
      <c r="L65" s="51" t="n">
        <v>5</v>
      </c>
      <c r="M65" s="51" t="n">
        <v>1</v>
      </c>
      <c r="N65" s="51" t="n">
        <v>1</v>
      </c>
      <c r="O65" s="51" t="n">
        <v>1</v>
      </c>
      <c r="P65" s="51" t="n">
        <v>120</v>
      </c>
      <c r="Q65" s="51" t="n">
        <v>5</v>
      </c>
      <c r="R65" s="51" t="n">
        <v>600</v>
      </c>
      <c r="S65" s="51" t="n">
        <v>1</v>
      </c>
      <c r="T65" s="51" t="n">
        <v>5</v>
      </c>
      <c r="U65" s="51" t="n">
        <v>120</v>
      </c>
      <c r="V65" s="51" t="n">
        <v>5</v>
      </c>
      <c r="W65" s="51" t="n">
        <v>1100</v>
      </c>
      <c r="X65" s="51" t="n">
        <v>0.009900000000000001</v>
      </c>
    </row>
    <row r="66">
      <c r="A66" s="51" t="inlineStr">
        <is>
          <t>Corn starch</t>
        </is>
      </c>
      <c r="B66" s="51" t="n">
        <v>43.0277358490566</v>
      </c>
      <c r="C66" s="51" t="n">
        <v>25.8667295597484</v>
      </c>
      <c r="D66" s="51" t="n">
        <v>21.1679874213836</v>
      </c>
      <c r="E66" s="51" t="n">
        <v>75.4007301873288</v>
      </c>
      <c r="F66" s="51" t="n">
        <v>5.11171232876712</v>
      </c>
      <c r="G66" s="51" t="n">
        <v>14.2064383561644</v>
      </c>
      <c r="H66" s="51" t="n">
        <v>47.7479452054795</v>
      </c>
      <c r="I66" s="51" t="n">
        <v>42.1513698630137</v>
      </c>
      <c r="J66" s="51" t="n">
        <v>5.73879432624113</v>
      </c>
      <c r="K66" s="51" t="n">
        <v>4</v>
      </c>
      <c r="L66" s="51" t="n">
        <v>5</v>
      </c>
      <c r="M66" s="51" t="n">
        <v>1</v>
      </c>
      <c r="N66" s="51" t="n">
        <v>1</v>
      </c>
      <c r="O66" s="51" t="n">
        <v>1</v>
      </c>
      <c r="P66" s="51" t="n">
        <v>120</v>
      </c>
      <c r="Q66" s="51" t="n">
        <v>5</v>
      </c>
      <c r="R66" s="51" t="n">
        <v>600</v>
      </c>
      <c r="S66" s="51" t="n">
        <v>1</v>
      </c>
      <c r="T66" s="51" t="n">
        <v>5</v>
      </c>
      <c r="U66" s="51" t="n">
        <v>120</v>
      </c>
      <c r="V66" s="51" t="n">
        <v>5</v>
      </c>
      <c r="W66" s="51" t="n">
        <v>1300</v>
      </c>
      <c r="X66" s="51" t="n">
        <v>0.0056</v>
      </c>
    </row>
    <row r="67">
      <c r="A67" s="51" t="inlineStr">
        <is>
          <t>Corn starch</t>
        </is>
      </c>
      <c r="B67" s="51" t="n">
        <v>43.0277358490566</v>
      </c>
      <c r="C67" s="51" t="n">
        <v>25.8667295597484</v>
      </c>
      <c r="D67" s="51" t="n">
        <v>21.1679874213836</v>
      </c>
      <c r="E67" s="51" t="n">
        <v>75.4007301873288</v>
      </c>
      <c r="F67" s="51" t="n">
        <v>5.11171232876712</v>
      </c>
      <c r="G67" s="51" t="n">
        <v>14.2064383561644</v>
      </c>
      <c r="H67" s="51" t="n">
        <v>47.7479452054795</v>
      </c>
      <c r="I67" s="51" t="n">
        <v>42.1513698630137</v>
      </c>
      <c r="J67" s="51" t="n">
        <v>5.73879432624113</v>
      </c>
      <c r="K67" s="51" t="n">
        <v>4</v>
      </c>
      <c r="L67" s="51" t="n">
        <v>5</v>
      </c>
      <c r="M67" s="51" t="n">
        <v>0</v>
      </c>
      <c r="N67" s="51" t="n">
        <v>1</v>
      </c>
      <c r="O67" s="51" t="n">
        <v>4</v>
      </c>
      <c r="P67" s="51" t="n">
        <v>120</v>
      </c>
      <c r="Q67" s="51" t="n">
        <v>5</v>
      </c>
      <c r="R67" s="51" t="n">
        <v>1100</v>
      </c>
      <c r="S67" s="51" t="n">
        <v>0</v>
      </c>
      <c r="T67" s="51" t="n">
        <v>5</v>
      </c>
      <c r="U67" s="51" t="n">
        <v>0</v>
      </c>
      <c r="V67" s="51" t="n">
        <v>0</v>
      </c>
      <c r="W67" s="51" t="n">
        <v>0</v>
      </c>
      <c r="X67" s="51" t="n">
        <v>0.012</v>
      </c>
    </row>
    <row r="68">
      <c r="A68" s="51" t="inlineStr">
        <is>
          <t>Corn starch</t>
        </is>
      </c>
      <c r="B68" s="51" t="n">
        <v>43.0277358490566</v>
      </c>
      <c r="C68" s="51" t="n">
        <v>25.8667295597484</v>
      </c>
      <c r="D68" s="51" t="n">
        <v>21.1679874213836</v>
      </c>
      <c r="E68" s="51" t="n">
        <v>75.4007301873288</v>
      </c>
      <c r="F68" s="51" t="n">
        <v>5.11171232876712</v>
      </c>
      <c r="G68" s="51" t="n">
        <v>14.2064383561644</v>
      </c>
      <c r="H68" s="51" t="n">
        <v>47.7479452054795</v>
      </c>
      <c r="I68" s="51" t="n">
        <v>42.1513698630137</v>
      </c>
      <c r="J68" s="51" t="n">
        <v>5.73879432624113</v>
      </c>
      <c r="K68" s="51" t="n">
        <v>4</v>
      </c>
      <c r="L68" s="51" t="n">
        <v>5</v>
      </c>
      <c r="M68" s="51" t="n">
        <v>1</v>
      </c>
      <c r="N68" s="51" t="n">
        <v>1</v>
      </c>
      <c r="O68" s="51" t="n">
        <v>1</v>
      </c>
      <c r="P68" s="51" t="n">
        <v>120</v>
      </c>
      <c r="Q68" s="51" t="n">
        <v>5</v>
      </c>
      <c r="R68" s="51" t="n">
        <v>600</v>
      </c>
      <c r="S68" s="51" t="n">
        <v>1</v>
      </c>
      <c r="T68" s="51" t="n">
        <v>5</v>
      </c>
      <c r="U68" s="51" t="n">
        <v>120</v>
      </c>
      <c r="V68" s="51" t="n">
        <v>5</v>
      </c>
      <c r="W68" s="51" t="n">
        <v>1500</v>
      </c>
      <c r="X68" s="51" t="n">
        <v>0.0055</v>
      </c>
    </row>
    <row r="69">
      <c r="A69" s="51" t="inlineStr">
        <is>
          <t>Cucumber stem</t>
        </is>
      </c>
      <c r="B69" s="51" t="n">
        <v>16.13</v>
      </c>
      <c r="C69" s="51" t="n">
        <v>4.33</v>
      </c>
      <c r="D69" s="51" t="n">
        <v>4.51</v>
      </c>
      <c r="E69" s="51" t="n">
        <v>74.7828166810701</v>
      </c>
      <c r="F69" s="51" t="n">
        <v>6.35305071152325</v>
      </c>
      <c r="G69" s="51" t="n">
        <v>15.8378557285207</v>
      </c>
      <c r="H69" s="51" t="n">
        <v>47.3664558944195</v>
      </c>
      <c r="I69" s="51" t="n">
        <v>41.6990172190391</v>
      </c>
      <c r="J69" s="51" t="n">
        <v>5.88765023788926</v>
      </c>
      <c r="K69" s="51" t="n">
        <v>4</v>
      </c>
      <c r="L69" s="51" t="n">
        <v>2</v>
      </c>
      <c r="M69" s="51" t="n">
        <v>1</v>
      </c>
      <c r="N69" s="51" t="n">
        <v>1</v>
      </c>
      <c r="O69" s="51" t="n">
        <v>4</v>
      </c>
      <c r="P69" s="51" t="n">
        <v>420</v>
      </c>
      <c r="Q69" s="51" t="n">
        <v>5</v>
      </c>
      <c r="R69" s="51" t="n">
        <v>600</v>
      </c>
      <c r="S69" s="51" t="n">
        <v>1</v>
      </c>
      <c r="T69" s="51" t="n">
        <v>5</v>
      </c>
      <c r="U69" s="51" t="n">
        <v>120</v>
      </c>
      <c r="V69" s="51" t="n">
        <v>5</v>
      </c>
      <c r="W69" s="51" t="n">
        <v>800</v>
      </c>
      <c r="X69" s="51" t="n">
        <v>1.63</v>
      </c>
    </row>
    <row r="70">
      <c r="A70" s="51" t="inlineStr">
        <is>
          <t>Cucumber stem</t>
        </is>
      </c>
      <c r="B70" s="51" t="n">
        <v>16.13</v>
      </c>
      <c r="C70" s="51" t="n">
        <v>4.33</v>
      </c>
      <c r="D70" s="51" t="n">
        <v>4.51</v>
      </c>
      <c r="E70" s="51" t="n">
        <v>74.7828166810701</v>
      </c>
      <c r="F70" s="51" t="n">
        <v>6.35305071152325</v>
      </c>
      <c r="G70" s="51" t="n">
        <v>15.8378557285207</v>
      </c>
      <c r="H70" s="51" t="n">
        <v>47.3664558944195</v>
      </c>
      <c r="I70" s="51" t="n">
        <v>41.6990172190391</v>
      </c>
      <c r="J70" s="51" t="n">
        <v>5.88765023788926</v>
      </c>
      <c r="K70" s="51" t="n">
        <v>4</v>
      </c>
      <c r="L70" s="51" t="n">
        <v>2</v>
      </c>
      <c r="M70" s="51" t="n">
        <v>1</v>
      </c>
      <c r="N70" s="51" t="n">
        <v>1</v>
      </c>
      <c r="O70" s="51" t="n">
        <v>4</v>
      </c>
      <c r="P70" s="51" t="n">
        <v>420</v>
      </c>
      <c r="Q70" s="51" t="n">
        <v>5</v>
      </c>
      <c r="R70" s="51" t="n">
        <v>600</v>
      </c>
      <c r="S70" s="51" t="n">
        <v>1</v>
      </c>
      <c r="T70" s="51" t="n">
        <v>5</v>
      </c>
      <c r="U70" s="51" t="n">
        <v>120</v>
      </c>
      <c r="V70" s="51" t="n">
        <v>5</v>
      </c>
      <c r="W70" s="51" t="n">
        <v>900</v>
      </c>
      <c r="X70" s="51" t="n">
        <v>0.07199999999999999</v>
      </c>
    </row>
    <row r="71">
      <c r="A71" s="51" t="inlineStr">
        <is>
          <t>Cucumber stem</t>
        </is>
      </c>
      <c r="B71" s="51" t="n">
        <v>16.13</v>
      </c>
      <c r="C71" s="51" t="n">
        <v>4.33</v>
      </c>
      <c r="D71" s="51" t="n">
        <v>4.51</v>
      </c>
      <c r="E71" s="51" t="n">
        <v>74.7828166810701</v>
      </c>
      <c r="F71" s="51" t="n">
        <v>6.35305071152325</v>
      </c>
      <c r="G71" s="51" t="n">
        <v>15.8378557285207</v>
      </c>
      <c r="H71" s="51" t="n">
        <v>47.3664558944195</v>
      </c>
      <c r="I71" s="51" t="n">
        <v>41.6990172190391</v>
      </c>
      <c r="J71" s="51" t="n">
        <v>5.88765023788926</v>
      </c>
      <c r="K71" s="51" t="n">
        <v>4</v>
      </c>
      <c r="L71" s="51" t="n">
        <v>2</v>
      </c>
      <c r="M71" s="51" t="n">
        <v>1</v>
      </c>
      <c r="N71" s="51" t="n">
        <v>1</v>
      </c>
      <c r="O71" s="51" t="n">
        <v>4</v>
      </c>
      <c r="P71" s="51" t="n">
        <v>420</v>
      </c>
      <c r="Q71" s="51" t="n">
        <v>5</v>
      </c>
      <c r="R71" s="51" t="n">
        <v>600</v>
      </c>
      <c r="S71" s="51" t="n">
        <v>1</v>
      </c>
      <c r="T71" s="51" t="n">
        <v>5</v>
      </c>
      <c r="U71" s="51" t="n">
        <v>120</v>
      </c>
      <c r="V71" s="51" t="n">
        <v>5</v>
      </c>
      <c r="W71" s="51" t="n">
        <v>1000</v>
      </c>
      <c r="X71" s="51" t="n">
        <v>0.114</v>
      </c>
    </row>
    <row r="72">
      <c r="A72" s="51" t="inlineStr">
        <is>
          <t>Cucumber stem</t>
        </is>
      </c>
      <c r="B72" s="51" t="n">
        <v>16.13</v>
      </c>
      <c r="C72" s="51" t="n">
        <v>4.33</v>
      </c>
      <c r="D72" s="51" t="n">
        <v>4.51</v>
      </c>
      <c r="E72" s="51" t="n">
        <v>74.7828166810701</v>
      </c>
      <c r="F72" s="51" t="n">
        <v>6.35305071152325</v>
      </c>
      <c r="G72" s="51" t="n">
        <v>15.8378557285207</v>
      </c>
      <c r="H72" s="51" t="n">
        <v>47.3664558944195</v>
      </c>
      <c r="I72" s="51" t="n">
        <v>41.6990172190391</v>
      </c>
      <c r="J72" s="51" t="n">
        <v>5.88765023788926</v>
      </c>
      <c r="K72" s="51" t="n">
        <v>4</v>
      </c>
      <c r="L72" s="51" t="n">
        <v>2</v>
      </c>
      <c r="M72" s="51" t="n">
        <v>1</v>
      </c>
      <c r="N72" s="51" t="n">
        <v>1</v>
      </c>
      <c r="O72" s="51" t="n">
        <v>4</v>
      </c>
      <c r="P72" s="51" t="n">
        <v>420</v>
      </c>
      <c r="Q72" s="51" t="n">
        <v>5</v>
      </c>
      <c r="R72" s="51" t="n">
        <v>600</v>
      </c>
      <c r="S72" s="51" t="n">
        <v>1</v>
      </c>
      <c r="T72" s="51" t="n">
        <v>5</v>
      </c>
      <c r="U72" s="51" t="n">
        <v>120</v>
      </c>
      <c r="V72" s="51" t="n">
        <v>5</v>
      </c>
      <c r="W72" s="51" t="n">
        <v>1100</v>
      </c>
      <c r="X72" s="51" t="n">
        <v>0.07199999999999999</v>
      </c>
    </row>
    <row r="73">
      <c r="A73" s="51" t="inlineStr">
        <is>
          <t>Cucumber stem</t>
        </is>
      </c>
      <c r="B73" s="51" t="n">
        <v>16.13</v>
      </c>
      <c r="C73" s="51" t="n">
        <v>4.33</v>
      </c>
      <c r="D73" s="51" t="n">
        <v>4.51</v>
      </c>
      <c r="E73" s="51" t="n">
        <v>74.7828166810701</v>
      </c>
      <c r="F73" s="51" t="n">
        <v>6.35305071152325</v>
      </c>
      <c r="G73" s="51" t="n">
        <v>15.8378557285207</v>
      </c>
      <c r="H73" s="51" t="n">
        <v>47.3664558944195</v>
      </c>
      <c r="I73" s="51" t="n">
        <v>41.6990172190391</v>
      </c>
      <c r="J73" s="51" t="n">
        <v>5.88765023788926</v>
      </c>
      <c r="K73" s="51" t="n">
        <v>4</v>
      </c>
      <c r="L73" s="51" t="n">
        <v>1</v>
      </c>
      <c r="M73" s="51" t="n">
        <v>1</v>
      </c>
      <c r="N73" s="51" t="n">
        <v>0</v>
      </c>
      <c r="O73" s="51" t="n">
        <v>4</v>
      </c>
      <c r="P73" s="51" t="n">
        <v>360</v>
      </c>
      <c r="Q73" s="51" t="n">
        <v>5</v>
      </c>
      <c r="R73" s="51" t="n">
        <v>150</v>
      </c>
      <c r="S73" s="51" t="n">
        <v>1</v>
      </c>
      <c r="T73" s="51" t="n">
        <v>5</v>
      </c>
      <c r="U73" s="51" t="n">
        <v>120</v>
      </c>
      <c r="V73" s="51" t="n">
        <v>5</v>
      </c>
      <c r="W73" s="51" t="n">
        <v>1000</v>
      </c>
      <c r="X73" s="51" t="n">
        <v>0.011</v>
      </c>
    </row>
    <row r="74">
      <c r="A74" s="51" t="inlineStr">
        <is>
          <t>Cucumber stem</t>
        </is>
      </c>
      <c r="B74" s="51" t="n">
        <v>16.13</v>
      </c>
      <c r="C74" s="51" t="n">
        <v>4.33</v>
      </c>
      <c r="D74" s="51" t="n">
        <v>4.51</v>
      </c>
      <c r="E74" s="51" t="n">
        <v>74.7828166810701</v>
      </c>
      <c r="F74" s="51" t="n">
        <v>6.35305071152325</v>
      </c>
      <c r="G74" s="51" t="n">
        <v>15.8378557285207</v>
      </c>
      <c r="H74" s="51" t="n">
        <v>47.3664558944195</v>
      </c>
      <c r="I74" s="51" t="n">
        <v>41.6990172190391</v>
      </c>
      <c r="J74" s="51" t="n">
        <v>5.88765023788926</v>
      </c>
      <c r="K74" s="51" t="n">
        <v>4</v>
      </c>
      <c r="L74" s="51" t="n">
        <v>5</v>
      </c>
      <c r="M74" s="51" t="n">
        <v>0</v>
      </c>
      <c r="N74" s="51" t="n">
        <v>1</v>
      </c>
      <c r="O74" s="51" t="n">
        <v>4</v>
      </c>
      <c r="P74" s="51" t="n">
        <v>203.025773195876</v>
      </c>
      <c r="Q74" s="51" t="n">
        <v>5.31847133757962</v>
      </c>
      <c r="R74" s="51" t="n">
        <v>1000</v>
      </c>
      <c r="S74" s="51" t="n">
        <v>0</v>
      </c>
      <c r="T74" s="51" t="n">
        <v>5</v>
      </c>
      <c r="U74" s="51" t="n">
        <v>0</v>
      </c>
      <c r="V74" s="51" t="n">
        <v>0</v>
      </c>
      <c r="W74" s="51" t="n">
        <v>0</v>
      </c>
      <c r="X74" s="51" t="n">
        <v>0.119</v>
      </c>
    </row>
    <row r="75">
      <c r="A75" s="51" t="inlineStr">
        <is>
          <t>Eucalyptus</t>
        </is>
      </c>
      <c r="B75" s="51" t="n">
        <v>57.3</v>
      </c>
      <c r="C75" s="51" t="n">
        <v>16.8</v>
      </c>
      <c r="D75" s="51" t="n">
        <v>25.9</v>
      </c>
      <c r="E75" s="51" t="n">
        <v>74.62</v>
      </c>
      <c r="F75" s="51" t="n">
        <v>5.55</v>
      </c>
      <c r="G75" s="51" t="n">
        <v>19.83</v>
      </c>
      <c r="H75" s="51" t="n">
        <v>42.55</v>
      </c>
      <c r="I75" s="51" t="n">
        <v>46.76</v>
      </c>
      <c r="J75" s="51" t="n">
        <v>6.01</v>
      </c>
      <c r="K75" s="51" t="n">
        <v>4</v>
      </c>
      <c r="L75" s="51" t="n">
        <v>5</v>
      </c>
      <c r="M75" s="51" t="n">
        <v>0</v>
      </c>
      <c r="N75" s="51" t="n">
        <v>1</v>
      </c>
      <c r="O75" s="51" t="n">
        <v>4</v>
      </c>
      <c r="P75" s="51" t="n">
        <v>203.025773195876</v>
      </c>
      <c r="Q75" s="51" t="n">
        <v>5.31847133757962</v>
      </c>
      <c r="R75" s="51" t="n">
        <v>1200</v>
      </c>
      <c r="S75" s="51" t="n">
        <v>0</v>
      </c>
      <c r="T75" s="51" t="n">
        <v>5</v>
      </c>
      <c r="U75" s="51" t="n">
        <v>0</v>
      </c>
      <c r="V75" s="51" t="n">
        <v>0</v>
      </c>
      <c r="W75" s="51" t="n">
        <v>0</v>
      </c>
      <c r="X75" s="51" t="n">
        <v>0.066</v>
      </c>
    </row>
    <row r="76">
      <c r="A76" s="51" t="inlineStr">
        <is>
          <t>Eucalyptus</t>
        </is>
      </c>
      <c r="B76" s="51" t="n">
        <v>57.3</v>
      </c>
      <c r="C76" s="51" t="n">
        <v>16.8</v>
      </c>
      <c r="D76" s="51" t="n">
        <v>25.9</v>
      </c>
      <c r="E76" s="51" t="n">
        <v>74.62</v>
      </c>
      <c r="F76" s="51" t="n">
        <v>5.55</v>
      </c>
      <c r="G76" s="51" t="n">
        <v>19.83</v>
      </c>
      <c r="H76" s="51" t="n">
        <v>42.55</v>
      </c>
      <c r="I76" s="51" t="n">
        <v>46.76</v>
      </c>
      <c r="J76" s="51" t="n">
        <v>6.01</v>
      </c>
      <c r="K76" s="51" t="n">
        <v>4</v>
      </c>
      <c r="L76" s="51" t="n">
        <v>5</v>
      </c>
      <c r="M76" s="51" t="n">
        <v>0</v>
      </c>
      <c r="N76" s="51" t="n">
        <v>1</v>
      </c>
      <c r="O76" s="51" t="n">
        <v>4</v>
      </c>
      <c r="P76" s="51" t="n">
        <v>203.025773195876</v>
      </c>
      <c r="Q76" s="51" t="n">
        <v>5.31847133757962</v>
      </c>
      <c r="R76" s="51" t="n">
        <v>1400</v>
      </c>
      <c r="S76" s="51" t="n">
        <v>0</v>
      </c>
      <c r="T76" s="51" t="n">
        <v>5</v>
      </c>
      <c r="U76" s="51" t="n">
        <v>0</v>
      </c>
      <c r="V76" s="51" t="n">
        <v>0</v>
      </c>
      <c r="W76" s="51" t="n">
        <v>0</v>
      </c>
      <c r="X76" s="51" t="n">
        <v>0.068</v>
      </c>
    </row>
    <row r="77">
      <c r="A77" s="51" t="inlineStr">
        <is>
          <t>Eucalyptus</t>
        </is>
      </c>
      <c r="B77" s="51" t="n">
        <v>57.3</v>
      </c>
      <c r="C77" s="51" t="n">
        <v>16.8</v>
      </c>
      <c r="D77" s="51" t="n">
        <v>25.9</v>
      </c>
      <c r="E77" s="51" t="n">
        <v>74.62</v>
      </c>
      <c r="F77" s="51" t="n">
        <v>5.55</v>
      </c>
      <c r="G77" s="51" t="n">
        <v>19.83</v>
      </c>
      <c r="H77" s="51" t="n">
        <v>42.55</v>
      </c>
      <c r="I77" s="51" t="n">
        <v>46.76</v>
      </c>
      <c r="J77" s="51" t="n">
        <v>6.01</v>
      </c>
      <c r="K77" s="51" t="n">
        <v>4</v>
      </c>
      <c r="L77" s="51" t="n">
        <v>5</v>
      </c>
      <c r="M77" s="51" t="n">
        <v>0</v>
      </c>
      <c r="N77" s="51" t="n">
        <v>1</v>
      </c>
      <c r="O77" s="51" t="n">
        <v>4</v>
      </c>
      <c r="P77" s="51" t="n">
        <v>203.025773195876</v>
      </c>
      <c r="Q77" s="51" t="n">
        <v>5.31847133757962</v>
      </c>
      <c r="R77" s="51" t="n">
        <v>1600</v>
      </c>
      <c r="S77" s="51" t="n">
        <v>0</v>
      </c>
      <c r="T77" s="51" t="n">
        <v>5</v>
      </c>
      <c r="U77" s="51" t="n">
        <v>0</v>
      </c>
      <c r="V77" s="51" t="n">
        <v>0</v>
      </c>
      <c r="W77" s="51" t="n">
        <v>0</v>
      </c>
      <c r="X77" s="51" t="n">
        <v>0.059</v>
      </c>
    </row>
    <row r="78">
      <c r="A78" s="51" t="inlineStr">
        <is>
          <t>Eucalyptus wood</t>
        </is>
      </c>
      <c r="B78" s="51" t="n">
        <v>57.3</v>
      </c>
      <c r="C78" s="51" t="n">
        <v>16.8</v>
      </c>
      <c r="D78" s="51" t="n">
        <v>25.9</v>
      </c>
      <c r="E78" s="51" t="n">
        <v>74.62</v>
      </c>
      <c r="F78" s="51" t="n">
        <v>5.55</v>
      </c>
      <c r="G78" s="51" t="n">
        <v>19.83</v>
      </c>
      <c r="H78" s="51" t="n">
        <v>42.55</v>
      </c>
      <c r="I78" s="51" t="n">
        <v>46.76</v>
      </c>
      <c r="J78" s="51" t="n">
        <v>6.01</v>
      </c>
      <c r="K78" s="51" t="n">
        <v>1</v>
      </c>
      <c r="L78" s="51" t="n">
        <v>5</v>
      </c>
      <c r="M78" s="51" t="n">
        <v>0</v>
      </c>
      <c r="N78" s="51" t="n">
        <v>1</v>
      </c>
      <c r="O78" s="51" t="n">
        <v>4</v>
      </c>
      <c r="P78" s="51" t="n">
        <v>120</v>
      </c>
      <c r="Q78" s="51" t="n">
        <v>5</v>
      </c>
      <c r="R78" s="51" t="n">
        <v>900</v>
      </c>
      <c r="S78" s="51" t="n">
        <v>0</v>
      </c>
      <c r="T78" s="51" t="n">
        <v>5</v>
      </c>
      <c r="U78" s="51" t="n">
        <v>0</v>
      </c>
      <c r="V78" s="51" t="n">
        <v>0</v>
      </c>
      <c r="W78" s="51" t="n">
        <v>0</v>
      </c>
      <c r="X78" s="51" t="n">
        <v>0.078</v>
      </c>
    </row>
    <row r="79">
      <c r="A79" s="51" t="inlineStr">
        <is>
          <t>Eucalyptus wood</t>
        </is>
      </c>
      <c r="B79" s="51" t="n">
        <v>57.3</v>
      </c>
      <c r="C79" s="51" t="n">
        <v>16.8</v>
      </c>
      <c r="D79" s="51" t="n">
        <v>25.9</v>
      </c>
      <c r="E79" s="51" t="n">
        <v>74.62</v>
      </c>
      <c r="F79" s="51" t="n">
        <v>5.55</v>
      </c>
      <c r="G79" s="51" t="n">
        <v>19.83</v>
      </c>
      <c r="H79" s="51" t="n">
        <v>42.55</v>
      </c>
      <c r="I79" s="51" t="n">
        <v>46.76</v>
      </c>
      <c r="J79" s="51" t="n">
        <v>6.01</v>
      </c>
      <c r="K79" s="51" t="n">
        <v>1</v>
      </c>
      <c r="L79" s="51" t="n">
        <v>5</v>
      </c>
      <c r="M79" s="51" t="n">
        <v>0</v>
      </c>
      <c r="N79" s="51" t="n">
        <v>1</v>
      </c>
      <c r="O79" s="51" t="n">
        <v>4</v>
      </c>
      <c r="P79" s="51" t="n">
        <v>120</v>
      </c>
      <c r="Q79" s="51" t="n">
        <v>5</v>
      </c>
      <c r="R79" s="51" t="n">
        <v>700</v>
      </c>
      <c r="S79" s="51" t="n">
        <v>0</v>
      </c>
      <c r="T79" s="51" t="n">
        <v>5</v>
      </c>
      <c r="U79" s="51" t="n">
        <v>0</v>
      </c>
      <c r="V79" s="51" t="n">
        <v>0</v>
      </c>
      <c r="W79" s="51" t="n">
        <v>0</v>
      </c>
      <c r="X79" s="51" t="n">
        <v>0.17</v>
      </c>
    </row>
    <row r="80">
      <c r="A80" s="51" t="inlineStr">
        <is>
          <t>Eucalyptus wood</t>
        </is>
      </c>
      <c r="B80" s="51" t="n">
        <v>57.3</v>
      </c>
      <c r="C80" s="51" t="n">
        <v>16.8</v>
      </c>
      <c r="D80" s="51" t="n">
        <v>25.9</v>
      </c>
      <c r="E80" s="51" t="n">
        <v>74.62</v>
      </c>
      <c r="F80" s="51" t="n">
        <v>5.55</v>
      </c>
      <c r="G80" s="51" t="n">
        <v>19.83</v>
      </c>
      <c r="H80" s="51" t="n">
        <v>42.55</v>
      </c>
      <c r="I80" s="51" t="n">
        <v>46.76</v>
      </c>
      <c r="J80" s="51" t="n">
        <v>6.01</v>
      </c>
      <c r="K80" s="51" t="n">
        <v>1</v>
      </c>
      <c r="L80" s="51" t="n">
        <v>5</v>
      </c>
      <c r="M80" s="51" t="n">
        <v>0</v>
      </c>
      <c r="N80" s="51" t="n">
        <v>1</v>
      </c>
      <c r="O80" s="51" t="n">
        <v>4</v>
      </c>
      <c r="P80" s="51" t="n">
        <v>120</v>
      </c>
      <c r="Q80" s="51" t="n">
        <v>5</v>
      </c>
      <c r="R80" s="51" t="n">
        <v>1100</v>
      </c>
      <c r="S80" s="51" t="n">
        <v>0</v>
      </c>
      <c r="T80" s="51" t="n">
        <v>5</v>
      </c>
      <c r="U80" s="51" t="n">
        <v>0</v>
      </c>
      <c r="V80" s="51" t="n">
        <v>0</v>
      </c>
      <c r="W80" s="51" t="n">
        <v>0</v>
      </c>
      <c r="X80" s="51" t="n">
        <v>0.017</v>
      </c>
    </row>
    <row r="81">
      <c r="A81" s="51" t="inlineStr">
        <is>
          <t>Eucalyptus wood</t>
        </is>
      </c>
      <c r="B81" s="51" t="n">
        <v>57.3</v>
      </c>
      <c r="C81" s="51" t="n">
        <v>16.8</v>
      </c>
      <c r="D81" s="51" t="n">
        <v>25.9</v>
      </c>
      <c r="E81" s="51" t="n">
        <v>74.62</v>
      </c>
      <c r="F81" s="51" t="n">
        <v>5.55</v>
      </c>
      <c r="G81" s="51" t="n">
        <v>19.83</v>
      </c>
      <c r="H81" s="51" t="n">
        <v>42.55</v>
      </c>
      <c r="I81" s="51" t="n">
        <v>46.76</v>
      </c>
      <c r="J81" s="51" t="n">
        <v>6.01</v>
      </c>
      <c r="K81" s="51" t="n">
        <v>1</v>
      </c>
      <c r="L81" s="51" t="n">
        <v>5</v>
      </c>
      <c r="M81" s="51" t="n">
        <v>0</v>
      </c>
      <c r="N81" s="51" t="n">
        <v>1</v>
      </c>
      <c r="O81" s="51" t="n">
        <v>4</v>
      </c>
      <c r="P81" s="51" t="n">
        <v>120</v>
      </c>
      <c r="Q81" s="51" t="n">
        <v>5</v>
      </c>
      <c r="R81" s="51" t="n">
        <v>1400</v>
      </c>
      <c r="S81" s="51" t="n">
        <v>0</v>
      </c>
      <c r="T81" s="51" t="n">
        <v>5</v>
      </c>
      <c r="U81" s="51" t="n">
        <v>0</v>
      </c>
      <c r="V81" s="51" t="n">
        <v>0</v>
      </c>
      <c r="W81" s="51" t="n">
        <v>0</v>
      </c>
      <c r="X81" s="51" t="n">
        <v>0.011</v>
      </c>
    </row>
    <row r="82">
      <c r="A82" s="51" t="inlineStr">
        <is>
          <t>Fir wood</t>
        </is>
      </c>
      <c r="B82" s="51" t="n">
        <v>45.81</v>
      </c>
      <c r="C82" s="51" t="n">
        <v>26.78</v>
      </c>
      <c r="D82" s="51" t="n">
        <v>28.24</v>
      </c>
      <c r="E82" s="51" t="n">
        <v>85.5</v>
      </c>
      <c r="F82" s="51" t="n">
        <v>0.3</v>
      </c>
      <c r="G82" s="51" t="n">
        <v>10.5</v>
      </c>
      <c r="H82" s="51" t="n">
        <v>47.2</v>
      </c>
      <c r="I82" s="51" t="n">
        <v>44.8</v>
      </c>
      <c r="J82" s="51" t="n">
        <v>6.1</v>
      </c>
      <c r="K82" s="51" t="n">
        <v>1</v>
      </c>
      <c r="L82" s="51" t="n">
        <v>5</v>
      </c>
      <c r="M82" s="51" t="n">
        <v>1</v>
      </c>
      <c r="N82" s="51" t="n">
        <v>1</v>
      </c>
      <c r="O82" s="51" t="n">
        <v>4</v>
      </c>
      <c r="P82" s="51" t="n">
        <v>60</v>
      </c>
      <c r="Q82" s="51" t="n">
        <v>10</v>
      </c>
      <c r="R82" s="51" t="n">
        <v>800</v>
      </c>
      <c r="S82" s="51" t="n">
        <v>0</v>
      </c>
      <c r="T82" s="51" t="n">
        <v>5</v>
      </c>
      <c r="U82" s="51" t="n">
        <v>266.666666666667</v>
      </c>
      <c r="V82" s="51" t="n">
        <v>5.55555555555556</v>
      </c>
      <c r="W82" s="51" t="n">
        <v>722.2222222222219</v>
      </c>
      <c r="X82" s="51" t="n">
        <v>0.032</v>
      </c>
    </row>
    <row r="83">
      <c r="A83" s="51" t="inlineStr">
        <is>
          <t>Fir wood</t>
        </is>
      </c>
      <c r="B83" s="51" t="n">
        <v>45.81</v>
      </c>
      <c r="C83" s="51" t="n">
        <v>26.78</v>
      </c>
      <c r="D83" s="51" t="n">
        <v>28.24</v>
      </c>
      <c r="E83" s="51" t="n">
        <v>85.5</v>
      </c>
      <c r="F83" s="51" t="n">
        <v>0.3</v>
      </c>
      <c r="G83" s="51" t="n">
        <v>10.5</v>
      </c>
      <c r="H83" s="51" t="n">
        <v>47.2</v>
      </c>
      <c r="I83" s="51" t="n">
        <v>44.8</v>
      </c>
      <c r="J83" s="51" t="n">
        <v>6.1</v>
      </c>
      <c r="K83" s="51" t="n">
        <v>1</v>
      </c>
      <c r="L83" s="51" t="n">
        <v>5</v>
      </c>
      <c r="M83" s="51" t="n">
        <v>1</v>
      </c>
      <c r="N83" s="51" t="n">
        <v>1</v>
      </c>
      <c r="O83" s="51" t="n">
        <v>4</v>
      </c>
      <c r="P83" s="51" t="n">
        <v>60</v>
      </c>
      <c r="Q83" s="51" t="n">
        <v>10</v>
      </c>
      <c r="R83" s="51" t="n">
        <v>800</v>
      </c>
      <c r="S83" s="51" t="n">
        <v>1</v>
      </c>
      <c r="T83" s="51" t="n">
        <v>5</v>
      </c>
      <c r="U83" s="51" t="n">
        <v>480</v>
      </c>
      <c r="V83" s="51" t="n">
        <v>10</v>
      </c>
      <c r="W83" s="51" t="n">
        <v>1100</v>
      </c>
      <c r="X83" s="51" t="n">
        <v>0.08599999999999999</v>
      </c>
    </row>
    <row r="84">
      <c r="A84" s="51" t="inlineStr">
        <is>
          <t>Fir wood</t>
        </is>
      </c>
      <c r="B84" s="51" t="n">
        <v>45.81</v>
      </c>
      <c r="C84" s="51" t="n">
        <v>26.78</v>
      </c>
      <c r="D84" s="51" t="n">
        <v>28.24</v>
      </c>
      <c r="E84" s="51" t="n">
        <v>85.5</v>
      </c>
      <c r="F84" s="51" t="n">
        <v>0.3</v>
      </c>
      <c r="G84" s="51" t="n">
        <v>10.5</v>
      </c>
      <c r="H84" s="51" t="n">
        <v>47.2</v>
      </c>
      <c r="I84" s="51" t="n">
        <v>44.8</v>
      </c>
      <c r="J84" s="51" t="n">
        <v>6.1</v>
      </c>
      <c r="K84" s="51" t="n">
        <v>1</v>
      </c>
      <c r="L84" s="51" t="n">
        <v>5</v>
      </c>
      <c r="M84" s="51" t="n">
        <v>1</v>
      </c>
      <c r="N84" s="51" t="n">
        <v>1</v>
      </c>
      <c r="O84" s="51" t="n">
        <v>4</v>
      </c>
      <c r="P84" s="51" t="n">
        <v>60</v>
      </c>
      <c r="Q84" s="51" t="n">
        <v>10</v>
      </c>
      <c r="R84" s="51" t="n">
        <v>800</v>
      </c>
      <c r="S84" s="51" t="n">
        <v>1</v>
      </c>
      <c r="T84" s="51" t="n">
        <v>5</v>
      </c>
      <c r="U84" s="51" t="n">
        <v>480</v>
      </c>
      <c r="V84" s="51" t="n">
        <v>10</v>
      </c>
      <c r="W84" s="51" t="n">
        <v>1300</v>
      </c>
      <c r="X84" s="51" t="n">
        <v>0.045</v>
      </c>
    </row>
    <row r="85">
      <c r="A85" s="51" t="inlineStr">
        <is>
          <t>Fir wood</t>
        </is>
      </c>
      <c r="B85" s="51" t="n">
        <v>45.81</v>
      </c>
      <c r="C85" s="51" t="n">
        <v>26.78</v>
      </c>
      <c r="D85" s="51" t="n">
        <v>28.24</v>
      </c>
      <c r="E85" s="51" t="n">
        <v>85.5</v>
      </c>
      <c r="F85" s="51" t="n">
        <v>0.3</v>
      </c>
      <c r="G85" s="51" t="n">
        <v>10.5</v>
      </c>
      <c r="H85" s="51" t="n">
        <v>47.2</v>
      </c>
      <c r="I85" s="51" t="n">
        <v>44.8</v>
      </c>
      <c r="J85" s="51" t="n">
        <v>6.1</v>
      </c>
      <c r="K85" s="51" t="n">
        <v>1</v>
      </c>
      <c r="L85" s="51" t="n">
        <v>5</v>
      </c>
      <c r="M85" s="51" t="n">
        <v>1</v>
      </c>
      <c r="N85" s="51" t="n">
        <v>1</v>
      </c>
      <c r="O85" s="51" t="n">
        <v>4</v>
      </c>
      <c r="P85" s="51" t="n">
        <v>60</v>
      </c>
      <c r="Q85" s="51" t="n">
        <v>10</v>
      </c>
      <c r="R85" s="51" t="n">
        <v>800</v>
      </c>
      <c r="S85" s="51" t="n">
        <v>1</v>
      </c>
      <c r="T85" s="51" t="n">
        <v>5</v>
      </c>
      <c r="U85" s="51" t="n">
        <v>480</v>
      </c>
      <c r="V85" s="51" t="n">
        <v>10</v>
      </c>
      <c r="W85" s="51" t="n">
        <v>1500</v>
      </c>
      <c r="X85" s="51" t="n">
        <v>0.049</v>
      </c>
    </row>
    <row r="86">
      <c r="A86" s="51" t="inlineStr">
        <is>
          <t>Fir wood</t>
        </is>
      </c>
      <c r="B86" s="51" t="n">
        <v>45.81</v>
      </c>
      <c r="C86" s="51" t="n">
        <v>26.78</v>
      </c>
      <c r="D86" s="51" t="n">
        <v>28.24</v>
      </c>
      <c r="E86" s="51" t="n">
        <v>85.5</v>
      </c>
      <c r="F86" s="51" t="n">
        <v>0.3</v>
      </c>
      <c r="G86" s="51" t="n">
        <v>10.5</v>
      </c>
      <c r="H86" s="51" t="n">
        <v>47.2</v>
      </c>
      <c r="I86" s="51" t="n">
        <v>44.8</v>
      </c>
      <c r="J86" s="51" t="n">
        <v>6.1</v>
      </c>
      <c r="K86" s="51" t="n">
        <v>1</v>
      </c>
      <c r="L86" s="51" t="n">
        <v>5</v>
      </c>
      <c r="M86" s="51" t="n">
        <v>1</v>
      </c>
      <c r="N86" s="51" t="n">
        <v>1</v>
      </c>
      <c r="O86" s="51" t="n">
        <v>4</v>
      </c>
      <c r="P86" s="51" t="n">
        <v>60</v>
      </c>
      <c r="Q86" s="51" t="n">
        <v>10</v>
      </c>
      <c r="R86" s="51" t="n">
        <v>800</v>
      </c>
      <c r="S86" s="51" t="n">
        <v>1</v>
      </c>
      <c r="T86" s="51" t="n">
        <v>5</v>
      </c>
      <c r="U86" s="51" t="n">
        <v>480</v>
      </c>
      <c r="V86" s="51" t="n">
        <v>10</v>
      </c>
      <c r="W86" s="51" t="n">
        <v>1300</v>
      </c>
      <c r="X86" s="51" t="n">
        <v>0.021</v>
      </c>
    </row>
    <row r="87">
      <c r="A87" s="51" t="inlineStr">
        <is>
          <t>Ginkgo leave</t>
        </is>
      </c>
      <c r="B87" s="51" t="n">
        <v>44.9614795612291</v>
      </c>
      <c r="C87" s="51" t="n">
        <v>14.5156561431397</v>
      </c>
      <c r="D87" s="51" t="n">
        <v>35.2184623877525</v>
      </c>
      <c r="E87" s="51" t="n">
        <v>68.59999999999999</v>
      </c>
      <c r="F87" s="51" t="n">
        <v>7.8</v>
      </c>
      <c r="G87" s="51" t="n">
        <v>23.5</v>
      </c>
      <c r="H87" s="51" t="n">
        <v>45.8</v>
      </c>
      <c r="I87" s="51" t="n">
        <v>46.3</v>
      </c>
      <c r="J87" s="51" t="n">
        <v>5.9</v>
      </c>
      <c r="K87" s="51" t="n">
        <v>4</v>
      </c>
      <c r="L87" s="51" t="n">
        <v>1</v>
      </c>
      <c r="M87" s="51" t="n">
        <v>0</v>
      </c>
      <c r="N87" s="51" t="n">
        <v>1</v>
      </c>
      <c r="O87" s="51" t="n">
        <v>4</v>
      </c>
      <c r="P87" s="51" t="n">
        <v>120</v>
      </c>
      <c r="Q87" s="51" t="n">
        <v>5</v>
      </c>
      <c r="R87" s="51" t="n">
        <v>1300</v>
      </c>
      <c r="S87" s="51" t="n">
        <v>0</v>
      </c>
      <c r="T87" s="51" t="n">
        <v>5</v>
      </c>
      <c r="U87" s="51" t="n">
        <v>0</v>
      </c>
      <c r="V87" s="51" t="n">
        <v>0</v>
      </c>
      <c r="W87" s="51" t="n">
        <v>0</v>
      </c>
      <c r="X87" s="51" t="n">
        <v>0.231</v>
      </c>
    </row>
    <row r="88">
      <c r="A88" s="51" t="inlineStr">
        <is>
          <t>Ginkgo leave</t>
        </is>
      </c>
      <c r="B88" s="51" t="n">
        <v>44.9614795612291</v>
      </c>
      <c r="C88" s="51" t="n">
        <v>14.5156561431397</v>
      </c>
      <c r="D88" s="51" t="n">
        <v>35.2184623877525</v>
      </c>
      <c r="E88" s="51" t="n">
        <v>68.59999999999999</v>
      </c>
      <c r="F88" s="51" t="n">
        <v>7.8</v>
      </c>
      <c r="G88" s="51" t="n">
        <v>23.5</v>
      </c>
      <c r="H88" s="51" t="n">
        <v>45.8</v>
      </c>
      <c r="I88" s="51" t="n">
        <v>46.3</v>
      </c>
      <c r="J88" s="51" t="n">
        <v>5.9</v>
      </c>
      <c r="K88" s="51" t="n">
        <v>4</v>
      </c>
      <c r="L88" s="51" t="n">
        <v>1</v>
      </c>
      <c r="M88" s="51" t="n">
        <v>0</v>
      </c>
      <c r="N88" s="51" t="n">
        <v>1</v>
      </c>
      <c r="O88" s="51" t="n">
        <v>4</v>
      </c>
      <c r="P88" s="51" t="n">
        <v>120</v>
      </c>
      <c r="Q88" s="51" t="n">
        <v>5</v>
      </c>
      <c r="R88" s="51" t="n">
        <v>1500</v>
      </c>
      <c r="S88" s="51" t="n">
        <v>0</v>
      </c>
      <c r="T88" s="51" t="n">
        <v>5</v>
      </c>
      <c r="U88" s="51" t="n">
        <v>0</v>
      </c>
      <c r="V88" s="51" t="n">
        <v>0</v>
      </c>
      <c r="W88" s="51" t="n">
        <v>0</v>
      </c>
      <c r="X88" s="51" t="n">
        <v>0.08</v>
      </c>
    </row>
    <row r="89">
      <c r="A89" s="51" t="inlineStr">
        <is>
          <t>Gourd shell</t>
        </is>
      </c>
      <c r="B89" s="51" t="n">
        <v>63.4</v>
      </c>
      <c r="C89" s="51" t="n">
        <v>15.3</v>
      </c>
      <c r="D89" s="51" t="n">
        <v>14.7</v>
      </c>
      <c r="E89" s="51" t="n">
        <v>78.9237609200982</v>
      </c>
      <c r="F89" s="51" t="n">
        <v>1.4143712838328</v>
      </c>
      <c r="G89" s="51" t="n">
        <v>16.4022409589102</v>
      </c>
      <c r="H89" s="51" t="n">
        <v>47.316371424836</v>
      </c>
      <c r="I89" s="51" t="n">
        <v>44.6126855049459</v>
      </c>
      <c r="J89" s="51" t="n">
        <v>6.37317123098663</v>
      </c>
      <c r="K89" s="51" t="n">
        <v>4</v>
      </c>
      <c r="L89" s="51" t="n">
        <v>1</v>
      </c>
      <c r="M89" s="51" t="n">
        <v>1</v>
      </c>
      <c r="N89" s="51" t="n">
        <v>1</v>
      </c>
      <c r="O89" s="51" t="n">
        <v>4</v>
      </c>
      <c r="P89" s="51" t="n">
        <v>1</v>
      </c>
      <c r="Q89" s="51" t="n">
        <v>10</v>
      </c>
      <c r="R89" s="51" t="n">
        <v>1000</v>
      </c>
      <c r="S89" s="51" t="n">
        <v>1</v>
      </c>
      <c r="T89" s="51" t="n">
        <v>5</v>
      </c>
      <c r="U89" s="51" t="n">
        <v>180</v>
      </c>
      <c r="V89" s="51" t="n">
        <v>5</v>
      </c>
      <c r="W89" s="51" t="n">
        <v>1600</v>
      </c>
      <c r="X89" s="51" t="n">
        <v>0.043</v>
      </c>
    </row>
    <row r="90">
      <c r="A90" s="51" t="inlineStr">
        <is>
          <t>Gourd shell</t>
        </is>
      </c>
      <c r="B90" s="51" t="n">
        <v>63.4</v>
      </c>
      <c r="C90" s="51" t="n">
        <v>15.3</v>
      </c>
      <c r="D90" s="51" t="n">
        <v>14.7</v>
      </c>
      <c r="E90" s="51" t="n">
        <v>81.1207363892224</v>
      </c>
      <c r="F90" s="51" t="n">
        <v>0.581524089264273</v>
      </c>
      <c r="G90" s="51" t="n">
        <v>16.4954204195169</v>
      </c>
      <c r="H90" s="51" t="n">
        <v>47.8777431778584</v>
      </c>
      <c r="I90" s="51" t="n">
        <v>44.3307931845595</v>
      </c>
      <c r="J90" s="51" t="n">
        <v>6.6474079513472</v>
      </c>
      <c r="K90" s="51" t="n">
        <v>4</v>
      </c>
      <c r="L90" s="51" t="n">
        <v>1</v>
      </c>
      <c r="M90" s="51" t="n">
        <v>1</v>
      </c>
      <c r="N90" s="51" t="n">
        <v>1</v>
      </c>
      <c r="O90" s="51" t="n">
        <v>4</v>
      </c>
      <c r="P90" s="51" t="n">
        <v>1</v>
      </c>
      <c r="Q90" s="51" t="n">
        <v>10</v>
      </c>
      <c r="R90" s="51" t="n">
        <v>1000</v>
      </c>
      <c r="S90" s="51" t="n">
        <v>1</v>
      </c>
      <c r="T90" s="51" t="n">
        <v>5</v>
      </c>
      <c r="U90" s="51" t="n">
        <v>180</v>
      </c>
      <c r="V90" s="51" t="n">
        <v>5</v>
      </c>
      <c r="W90" s="51" t="n">
        <v>1200</v>
      </c>
      <c r="X90" s="51" t="n">
        <v>0.015</v>
      </c>
    </row>
    <row r="91">
      <c r="A91" s="51" t="inlineStr">
        <is>
          <t>Gourd shell</t>
        </is>
      </c>
      <c r="B91" s="51" t="n">
        <v>63.4</v>
      </c>
      <c r="C91" s="51" t="n">
        <v>15.3</v>
      </c>
      <c r="D91" s="51" t="n">
        <v>14.7</v>
      </c>
      <c r="E91" s="51" t="n">
        <v>79.57207723888089</v>
      </c>
      <c r="F91" s="51" t="n">
        <v>2.03576289419339</v>
      </c>
      <c r="G91" s="51" t="n">
        <v>17.1624927306309</v>
      </c>
      <c r="H91" s="51" t="n">
        <v>47.8457939880736</v>
      </c>
      <c r="I91" s="51" t="n">
        <v>44.1402500948081</v>
      </c>
      <c r="J91" s="51" t="n">
        <v>6.57463699165879</v>
      </c>
      <c r="K91" s="51" t="n">
        <v>4</v>
      </c>
      <c r="L91" s="51" t="n">
        <v>1</v>
      </c>
      <c r="M91" s="51" t="n">
        <v>1</v>
      </c>
      <c r="N91" s="51" t="n">
        <v>1</v>
      </c>
      <c r="O91" s="51" t="n">
        <v>4</v>
      </c>
      <c r="P91" s="51" t="n">
        <v>1</v>
      </c>
      <c r="Q91" s="51" t="n">
        <v>10</v>
      </c>
      <c r="R91" s="51" t="n">
        <v>1000</v>
      </c>
      <c r="S91" s="51" t="n">
        <v>1</v>
      </c>
      <c r="T91" s="51" t="n">
        <v>5</v>
      </c>
      <c r="U91" s="51" t="n">
        <v>180</v>
      </c>
      <c r="V91" s="51" t="n">
        <v>5</v>
      </c>
      <c r="W91" s="51" t="n">
        <v>1400</v>
      </c>
      <c r="X91" s="51" t="n">
        <v>0.018</v>
      </c>
    </row>
    <row r="92">
      <c r="A92" s="51" t="inlineStr">
        <is>
          <t>Grape waste</t>
        </is>
      </c>
      <c r="B92" s="51" t="n">
        <v>25.3</v>
      </c>
      <c r="C92" s="51" t="n">
        <v>13.95</v>
      </c>
      <c r="D92" s="51" t="n">
        <v>47.3</v>
      </c>
      <c r="E92" s="51" t="n">
        <v>64.3</v>
      </c>
      <c r="F92" s="51" t="n">
        <v>4.1</v>
      </c>
      <c r="G92" s="51" t="n">
        <v>23.3</v>
      </c>
      <c r="H92" s="51" t="n">
        <v>48.6</v>
      </c>
      <c r="I92" s="51" t="n">
        <v>33.2</v>
      </c>
      <c r="J92" s="51" t="n">
        <v>7</v>
      </c>
      <c r="K92" s="51" t="n">
        <v>4</v>
      </c>
      <c r="L92" s="51" t="n">
        <v>5</v>
      </c>
      <c r="M92" s="51" t="n">
        <v>0</v>
      </c>
      <c r="N92" s="51" t="n">
        <v>1</v>
      </c>
      <c r="O92" s="51" t="n">
        <v>4</v>
      </c>
      <c r="P92" s="51" t="n">
        <v>60</v>
      </c>
      <c r="Q92" s="51" t="n">
        <v>5</v>
      </c>
      <c r="R92" s="51" t="n">
        <v>1300</v>
      </c>
      <c r="S92" s="51" t="n">
        <v>0</v>
      </c>
      <c r="T92" s="51" t="n">
        <v>5</v>
      </c>
      <c r="U92" s="51" t="n">
        <v>0</v>
      </c>
      <c r="V92" s="51" t="n">
        <v>0</v>
      </c>
      <c r="W92" s="51" t="n">
        <v>0</v>
      </c>
      <c r="X92" s="51" t="n">
        <v>0.02</v>
      </c>
    </row>
    <row r="93">
      <c r="A93" s="51" t="inlineStr">
        <is>
          <t>Hemp hurd</t>
        </is>
      </c>
      <c r="B93" s="51" t="n">
        <v>32</v>
      </c>
      <c r="C93" s="51" t="n">
        <v>38.1</v>
      </c>
      <c r="D93" s="51" t="n">
        <v>23.8</v>
      </c>
      <c r="E93" s="51" t="n">
        <v>81.3</v>
      </c>
      <c r="F93" s="51" t="n">
        <v>3</v>
      </c>
      <c r="G93" s="51" t="n">
        <v>15.7</v>
      </c>
      <c r="H93" s="51" t="n">
        <v>46.3</v>
      </c>
      <c r="I93" s="51" t="n">
        <v>44.5</v>
      </c>
      <c r="J93" s="51" t="n">
        <v>5.7</v>
      </c>
      <c r="K93" s="51" t="n">
        <v>4</v>
      </c>
      <c r="L93" s="51" t="n">
        <v>1</v>
      </c>
      <c r="M93" s="51" t="n">
        <v>1</v>
      </c>
      <c r="N93" s="51" t="n">
        <v>1</v>
      </c>
      <c r="O93" s="51" t="n">
        <v>4</v>
      </c>
      <c r="P93" s="51" t="n">
        <v>720</v>
      </c>
      <c r="Q93" s="51" t="n">
        <v>5</v>
      </c>
      <c r="R93" s="51" t="n">
        <v>500</v>
      </c>
      <c r="S93" s="51" t="n">
        <v>1</v>
      </c>
      <c r="T93" s="51" t="n">
        <v>1</v>
      </c>
      <c r="U93" s="51" t="n">
        <v>60</v>
      </c>
      <c r="V93" s="51" t="n">
        <v>1</v>
      </c>
      <c r="W93" s="51" t="n">
        <v>700</v>
      </c>
      <c r="X93" s="51" t="n">
        <v>0.1326</v>
      </c>
    </row>
    <row r="94">
      <c r="A94" s="51" t="inlineStr">
        <is>
          <t>Hemp hurd</t>
        </is>
      </c>
      <c r="B94" s="51" t="n">
        <v>32</v>
      </c>
      <c r="C94" s="51" t="n">
        <v>38.1</v>
      </c>
      <c r="D94" s="51" t="n">
        <v>23.8</v>
      </c>
      <c r="E94" s="51" t="n">
        <v>81.3</v>
      </c>
      <c r="F94" s="51" t="n">
        <v>3</v>
      </c>
      <c r="G94" s="51" t="n">
        <v>15.7</v>
      </c>
      <c r="H94" s="51" t="n">
        <v>46.3</v>
      </c>
      <c r="I94" s="51" t="n">
        <v>44.5</v>
      </c>
      <c r="J94" s="51" t="n">
        <v>5.7</v>
      </c>
      <c r="K94" s="51" t="n">
        <v>4</v>
      </c>
      <c r="L94" s="51" t="n">
        <v>1</v>
      </c>
      <c r="M94" s="51" t="n">
        <v>1</v>
      </c>
      <c r="N94" s="51" t="n">
        <v>1</v>
      </c>
      <c r="O94" s="51" t="n">
        <v>4</v>
      </c>
      <c r="P94" s="51" t="n">
        <v>720</v>
      </c>
      <c r="Q94" s="51" t="n">
        <v>5</v>
      </c>
      <c r="R94" s="51" t="n">
        <v>500</v>
      </c>
      <c r="S94" s="51" t="n">
        <v>1</v>
      </c>
      <c r="T94" s="51" t="n">
        <v>1</v>
      </c>
      <c r="U94" s="51" t="n">
        <v>60</v>
      </c>
      <c r="V94" s="51" t="n">
        <v>1</v>
      </c>
      <c r="W94" s="51" t="n">
        <v>700</v>
      </c>
      <c r="X94" s="51" t="n">
        <v>0.127</v>
      </c>
    </row>
    <row r="95">
      <c r="A95" s="51" t="inlineStr">
        <is>
          <t>Hemp hurd</t>
        </is>
      </c>
      <c r="B95" s="51" t="n">
        <v>32</v>
      </c>
      <c r="C95" s="51" t="n">
        <v>38.1</v>
      </c>
      <c r="D95" s="51" t="n">
        <v>23.8</v>
      </c>
      <c r="E95" s="51" t="n">
        <v>81.3</v>
      </c>
      <c r="F95" s="51" t="n">
        <v>3</v>
      </c>
      <c r="G95" s="51" t="n">
        <v>15.7</v>
      </c>
      <c r="H95" s="51" t="n">
        <v>46.3</v>
      </c>
      <c r="I95" s="51" t="n">
        <v>44.5</v>
      </c>
      <c r="J95" s="51" t="n">
        <v>5.7</v>
      </c>
      <c r="K95" s="51" t="n">
        <v>4</v>
      </c>
      <c r="L95" s="51" t="n">
        <v>1</v>
      </c>
      <c r="M95" s="51" t="n">
        <v>1</v>
      </c>
      <c r="N95" s="51" t="n">
        <v>1</v>
      </c>
      <c r="O95" s="51" t="n">
        <v>4</v>
      </c>
      <c r="P95" s="51" t="n">
        <v>720</v>
      </c>
      <c r="Q95" s="51" t="n">
        <v>5</v>
      </c>
      <c r="R95" s="51" t="n">
        <v>500</v>
      </c>
      <c r="S95" s="51" t="n">
        <v>1</v>
      </c>
      <c r="T95" s="51" t="n">
        <v>1</v>
      </c>
      <c r="U95" s="51" t="n">
        <v>60</v>
      </c>
      <c r="V95" s="51" t="n">
        <v>1</v>
      </c>
      <c r="W95" s="51" t="n">
        <v>700</v>
      </c>
      <c r="X95" s="51" t="n">
        <v>0.1523</v>
      </c>
    </row>
    <row r="96">
      <c r="A96" s="51" t="inlineStr">
        <is>
          <t>Hemp hurd</t>
        </is>
      </c>
      <c r="B96" s="51" t="n">
        <v>32</v>
      </c>
      <c r="C96" s="51" t="n">
        <v>38.1</v>
      </c>
      <c r="D96" s="51" t="n">
        <v>23.8</v>
      </c>
      <c r="E96" s="51" t="n">
        <v>81.3</v>
      </c>
      <c r="F96" s="51" t="n">
        <v>3</v>
      </c>
      <c r="G96" s="51" t="n">
        <v>15.7</v>
      </c>
      <c r="H96" s="51" t="n">
        <v>46.3</v>
      </c>
      <c r="I96" s="51" t="n">
        <v>44.5</v>
      </c>
      <c r="J96" s="51" t="n">
        <v>5.7</v>
      </c>
      <c r="K96" s="51" t="n">
        <v>4</v>
      </c>
      <c r="L96" s="51" t="n">
        <v>1</v>
      </c>
      <c r="M96" s="51" t="n">
        <v>1</v>
      </c>
      <c r="N96" s="51" t="n">
        <v>1</v>
      </c>
      <c r="O96" s="51" t="n">
        <v>4</v>
      </c>
      <c r="P96" s="51" t="n">
        <v>720</v>
      </c>
      <c r="Q96" s="51" t="n">
        <v>5</v>
      </c>
      <c r="R96" s="51" t="n">
        <v>500</v>
      </c>
      <c r="S96" s="51" t="n">
        <v>1</v>
      </c>
      <c r="T96" s="51" t="n">
        <v>1</v>
      </c>
      <c r="U96" s="51" t="n">
        <v>60</v>
      </c>
      <c r="V96" s="51" t="n">
        <v>1</v>
      </c>
      <c r="W96" s="51" t="n">
        <v>800</v>
      </c>
      <c r="X96" s="51" t="n">
        <v>0.0489</v>
      </c>
    </row>
    <row r="97">
      <c r="A97" s="51" t="inlineStr">
        <is>
          <t>Hemp hurd</t>
        </is>
      </c>
      <c r="B97" s="51" t="n">
        <v>32</v>
      </c>
      <c r="C97" s="51" t="n">
        <v>38.1</v>
      </c>
      <c r="D97" s="51" t="n">
        <v>23.8</v>
      </c>
      <c r="E97" s="51" t="n">
        <v>81.3</v>
      </c>
      <c r="F97" s="51" t="n">
        <v>3</v>
      </c>
      <c r="G97" s="51" t="n">
        <v>15.7</v>
      </c>
      <c r="H97" s="51" t="n">
        <v>46.3</v>
      </c>
      <c r="I97" s="51" t="n">
        <v>44.5</v>
      </c>
      <c r="J97" s="51" t="n">
        <v>5.7</v>
      </c>
      <c r="K97" s="51" t="n">
        <v>4</v>
      </c>
      <c r="L97" s="51" t="n">
        <v>1</v>
      </c>
      <c r="M97" s="51" t="n">
        <v>1</v>
      </c>
      <c r="N97" s="51" t="n">
        <v>1</v>
      </c>
      <c r="O97" s="51" t="n">
        <v>4</v>
      </c>
      <c r="P97" s="51" t="n">
        <v>720</v>
      </c>
      <c r="Q97" s="51" t="n">
        <v>5</v>
      </c>
      <c r="R97" s="51" t="n">
        <v>500</v>
      </c>
      <c r="S97" s="51" t="n">
        <v>1</v>
      </c>
      <c r="T97" s="51" t="n">
        <v>1</v>
      </c>
      <c r="U97" s="51" t="n">
        <v>60</v>
      </c>
      <c r="V97" s="51" t="n">
        <v>1</v>
      </c>
      <c r="W97" s="51" t="n">
        <v>800</v>
      </c>
      <c r="X97" s="51" t="n">
        <v>0.06710000000000001</v>
      </c>
    </row>
    <row r="98">
      <c r="A98" s="51" t="inlineStr">
        <is>
          <t>Hemp hurd</t>
        </is>
      </c>
      <c r="B98" s="51" t="n">
        <v>32</v>
      </c>
      <c r="C98" s="51" t="n">
        <v>38.1</v>
      </c>
      <c r="D98" s="51" t="n">
        <v>23.8</v>
      </c>
      <c r="E98" s="51" t="n">
        <v>81.3</v>
      </c>
      <c r="F98" s="51" t="n">
        <v>3</v>
      </c>
      <c r="G98" s="51" t="n">
        <v>15.7</v>
      </c>
      <c r="H98" s="51" t="n">
        <v>46.3</v>
      </c>
      <c r="I98" s="51" t="n">
        <v>44.5</v>
      </c>
      <c r="J98" s="51" t="n">
        <v>5.7</v>
      </c>
      <c r="K98" s="51" t="n">
        <v>4</v>
      </c>
      <c r="L98" s="51" t="n">
        <v>1</v>
      </c>
      <c r="M98" s="51" t="n">
        <v>1</v>
      </c>
      <c r="N98" s="51" t="n">
        <v>1</v>
      </c>
      <c r="O98" s="51" t="n">
        <v>4</v>
      </c>
      <c r="P98" s="51" t="n">
        <v>720</v>
      </c>
      <c r="Q98" s="51" t="n">
        <v>5</v>
      </c>
      <c r="R98" s="51" t="n">
        <v>500</v>
      </c>
      <c r="S98" s="51" t="n">
        <v>1</v>
      </c>
      <c r="T98" s="51" t="n">
        <v>1</v>
      </c>
      <c r="U98" s="51" t="n">
        <v>60</v>
      </c>
      <c r="V98" s="51" t="n">
        <v>1</v>
      </c>
      <c r="W98" s="51" t="n">
        <v>800</v>
      </c>
      <c r="X98" s="51" t="n">
        <v>0.1875</v>
      </c>
    </row>
    <row r="99">
      <c r="A99" s="51" t="inlineStr">
        <is>
          <t>Hemp hurd</t>
        </is>
      </c>
      <c r="B99" s="51" t="n">
        <v>32</v>
      </c>
      <c r="C99" s="51" t="n">
        <v>38.1</v>
      </c>
      <c r="D99" s="51" t="n">
        <v>23.8</v>
      </c>
      <c r="E99" s="51" t="n">
        <v>81.3</v>
      </c>
      <c r="F99" s="51" t="n">
        <v>3</v>
      </c>
      <c r="G99" s="51" t="n">
        <v>15.7</v>
      </c>
      <c r="H99" s="51" t="n">
        <v>46.3</v>
      </c>
      <c r="I99" s="51" t="n">
        <v>44.5</v>
      </c>
      <c r="J99" s="51" t="n">
        <v>5.7</v>
      </c>
      <c r="K99" s="51" t="n">
        <v>4</v>
      </c>
      <c r="L99" s="51" t="n">
        <v>1</v>
      </c>
      <c r="M99" s="51" t="n">
        <v>1</v>
      </c>
      <c r="N99" s="51" t="n">
        <v>1</v>
      </c>
      <c r="O99" s="51" t="n">
        <v>4</v>
      </c>
      <c r="P99" s="51" t="n">
        <v>720</v>
      </c>
      <c r="Q99" s="51" t="n">
        <v>5</v>
      </c>
      <c r="R99" s="51" t="n">
        <v>500</v>
      </c>
      <c r="S99" s="51" t="n">
        <v>1</v>
      </c>
      <c r="T99" s="51" t="n">
        <v>5</v>
      </c>
      <c r="U99" s="51" t="n">
        <v>120</v>
      </c>
      <c r="V99" s="51" t="n">
        <v>5</v>
      </c>
      <c r="W99" s="51" t="n">
        <v>800</v>
      </c>
      <c r="X99" s="51" t="n">
        <v>0.0175</v>
      </c>
    </row>
    <row r="100">
      <c r="A100" s="51" t="inlineStr">
        <is>
          <t>Hemp hurd</t>
        </is>
      </c>
      <c r="B100" s="51" t="n">
        <v>32</v>
      </c>
      <c r="C100" s="51" t="n">
        <v>38.1</v>
      </c>
      <c r="D100" s="51" t="n">
        <v>23.8</v>
      </c>
      <c r="E100" s="51" t="n">
        <v>81.3</v>
      </c>
      <c r="F100" s="51" t="n">
        <v>3</v>
      </c>
      <c r="G100" s="51" t="n">
        <v>15.7</v>
      </c>
      <c r="H100" s="51" t="n">
        <v>46.3</v>
      </c>
      <c r="I100" s="51" t="n">
        <v>44.5</v>
      </c>
      <c r="J100" s="51" t="n">
        <v>5.7</v>
      </c>
      <c r="K100" s="51" t="n">
        <v>4</v>
      </c>
      <c r="L100" s="51" t="n">
        <v>1</v>
      </c>
      <c r="M100" s="51" t="n">
        <v>1</v>
      </c>
      <c r="N100" s="51" t="n">
        <v>0</v>
      </c>
      <c r="O100" s="51" t="n">
        <v>0</v>
      </c>
      <c r="P100" s="51" t="n">
        <v>720</v>
      </c>
      <c r="Q100" s="51" t="n">
        <v>5</v>
      </c>
      <c r="R100" s="51" t="n">
        <v>180</v>
      </c>
      <c r="S100" s="51" t="n">
        <v>1</v>
      </c>
      <c r="T100" s="51" t="n">
        <v>5</v>
      </c>
      <c r="U100" s="51" t="n">
        <v>120</v>
      </c>
      <c r="V100" s="51" t="n">
        <v>5</v>
      </c>
      <c r="W100" s="51" t="n">
        <v>800</v>
      </c>
      <c r="X100" s="51" t="n">
        <v>0.0377</v>
      </c>
    </row>
    <row r="101">
      <c r="A101" s="51" t="inlineStr">
        <is>
          <t>Hemp hurd</t>
        </is>
      </c>
      <c r="B101" s="51" t="n">
        <v>32</v>
      </c>
      <c r="C101" s="51" t="n">
        <v>38.1</v>
      </c>
      <c r="D101" s="51" t="n">
        <v>23.8</v>
      </c>
      <c r="E101" s="51" t="n">
        <v>81.3</v>
      </c>
      <c r="F101" s="51" t="n">
        <v>3</v>
      </c>
      <c r="G101" s="51" t="n">
        <v>15.7</v>
      </c>
      <c r="H101" s="51" t="n">
        <v>46.3</v>
      </c>
      <c r="I101" s="51" t="n">
        <v>44.5</v>
      </c>
      <c r="J101" s="51" t="n">
        <v>5.7</v>
      </c>
      <c r="K101" s="51" t="n">
        <v>4</v>
      </c>
      <c r="L101" s="51" t="n">
        <v>1</v>
      </c>
      <c r="M101" s="51" t="n">
        <v>1</v>
      </c>
      <c r="N101" s="51" t="n">
        <v>0</v>
      </c>
      <c r="O101" s="51" t="n">
        <v>0</v>
      </c>
      <c r="P101" s="51" t="n">
        <v>720</v>
      </c>
      <c r="Q101" s="51" t="n">
        <v>5</v>
      </c>
      <c r="R101" s="51" t="n">
        <v>180</v>
      </c>
      <c r="S101" s="51" t="n">
        <v>1</v>
      </c>
      <c r="T101" s="51" t="n">
        <v>5</v>
      </c>
      <c r="U101" s="51" t="n">
        <v>120</v>
      </c>
      <c r="V101" s="51" t="n">
        <v>5</v>
      </c>
      <c r="W101" s="51" t="n">
        <v>800</v>
      </c>
      <c r="X101" s="51" t="n">
        <v>0.2081</v>
      </c>
    </row>
    <row r="102">
      <c r="A102" s="51" t="inlineStr">
        <is>
          <t>Hemp hurd</t>
        </is>
      </c>
      <c r="B102" s="51" t="n">
        <v>32</v>
      </c>
      <c r="C102" s="51" t="n">
        <v>38.1</v>
      </c>
      <c r="D102" s="51" t="n">
        <v>23.8</v>
      </c>
      <c r="E102" s="51" t="n">
        <v>81.3</v>
      </c>
      <c r="F102" s="51" t="n">
        <v>3</v>
      </c>
      <c r="G102" s="51" t="n">
        <v>15.7</v>
      </c>
      <c r="H102" s="51" t="n">
        <v>46.3</v>
      </c>
      <c r="I102" s="51" t="n">
        <v>44.5</v>
      </c>
      <c r="J102" s="51" t="n">
        <v>5.7</v>
      </c>
      <c r="K102" s="51" t="n">
        <v>4</v>
      </c>
      <c r="L102" s="51" t="n">
        <v>1</v>
      </c>
      <c r="M102" s="51" t="n">
        <v>1</v>
      </c>
      <c r="N102" s="51" t="n">
        <v>1</v>
      </c>
      <c r="O102" s="51" t="n">
        <v>0</v>
      </c>
      <c r="P102" s="51" t="n">
        <v>720</v>
      </c>
      <c r="Q102" s="51" t="n">
        <v>5</v>
      </c>
      <c r="R102" s="51" t="n">
        <v>500</v>
      </c>
      <c r="S102" s="51" t="n">
        <v>1</v>
      </c>
      <c r="T102" s="51" t="n">
        <v>5</v>
      </c>
      <c r="U102" s="51" t="n">
        <v>120</v>
      </c>
      <c r="V102" s="51" t="n">
        <v>5</v>
      </c>
      <c r="W102" s="51" t="n">
        <v>1000</v>
      </c>
      <c r="X102" s="51" t="n">
        <v>0.1141</v>
      </c>
    </row>
    <row r="103">
      <c r="A103" s="51" t="inlineStr">
        <is>
          <t>Hemp hurd</t>
        </is>
      </c>
      <c r="B103" s="51" t="n">
        <v>32</v>
      </c>
      <c r="C103" s="51" t="n">
        <v>38.1</v>
      </c>
      <c r="D103" s="51" t="n">
        <v>23.8</v>
      </c>
      <c r="E103" s="51" t="n">
        <v>81.3</v>
      </c>
      <c r="F103" s="51" t="n">
        <v>3</v>
      </c>
      <c r="G103" s="51" t="n">
        <v>15.7</v>
      </c>
      <c r="H103" s="51" t="n">
        <v>46.3</v>
      </c>
      <c r="I103" s="51" t="n">
        <v>44.5</v>
      </c>
      <c r="J103" s="51" t="n">
        <v>5.7</v>
      </c>
      <c r="K103" s="51" t="n">
        <v>4</v>
      </c>
      <c r="L103" s="51" t="n">
        <v>1</v>
      </c>
      <c r="M103" s="51" t="n">
        <v>1</v>
      </c>
      <c r="N103" s="51" t="n">
        <v>0</v>
      </c>
      <c r="O103" s="51" t="n">
        <v>0</v>
      </c>
      <c r="P103" s="51" t="n">
        <v>720</v>
      </c>
      <c r="Q103" s="51" t="n">
        <v>5</v>
      </c>
      <c r="R103" s="51" t="n">
        <v>180</v>
      </c>
      <c r="S103" s="51" t="n">
        <v>1</v>
      </c>
      <c r="T103" s="51" t="n">
        <v>5</v>
      </c>
      <c r="U103" s="51" t="n">
        <v>120</v>
      </c>
      <c r="V103" s="51" t="n">
        <v>5</v>
      </c>
      <c r="W103" s="51" t="n">
        <v>1000</v>
      </c>
      <c r="X103" s="51" t="n">
        <v>0.0164</v>
      </c>
    </row>
    <row r="104">
      <c r="A104" s="51" t="inlineStr">
        <is>
          <t>Hemp hurd</t>
        </is>
      </c>
      <c r="B104" s="51" t="n">
        <v>32</v>
      </c>
      <c r="C104" s="51" t="n">
        <v>38.1</v>
      </c>
      <c r="D104" s="51" t="n">
        <v>23.8</v>
      </c>
      <c r="E104" s="51" t="n">
        <v>81.3</v>
      </c>
      <c r="F104" s="51" t="n">
        <v>3</v>
      </c>
      <c r="G104" s="51" t="n">
        <v>15.7</v>
      </c>
      <c r="H104" s="51" t="n">
        <v>46.3</v>
      </c>
      <c r="I104" s="51" t="n">
        <v>44.5</v>
      </c>
      <c r="J104" s="51" t="n">
        <v>5.7</v>
      </c>
      <c r="K104" s="51" t="n">
        <v>4</v>
      </c>
      <c r="L104" s="51" t="n">
        <v>1</v>
      </c>
      <c r="M104" s="51" t="n">
        <v>1</v>
      </c>
      <c r="N104" s="51" t="n">
        <v>0</v>
      </c>
      <c r="O104" s="51" t="n">
        <v>0</v>
      </c>
      <c r="P104" s="51" t="n">
        <v>720</v>
      </c>
      <c r="Q104" s="51" t="n">
        <v>5</v>
      </c>
      <c r="R104" s="51" t="n">
        <v>180</v>
      </c>
      <c r="S104" s="51" t="n">
        <v>1</v>
      </c>
      <c r="T104" s="51" t="n">
        <v>5</v>
      </c>
      <c r="U104" s="51" t="n">
        <v>120</v>
      </c>
      <c r="V104" s="51" t="n">
        <v>5</v>
      </c>
      <c r="W104" s="51" t="n">
        <v>1000</v>
      </c>
      <c r="X104" s="51" t="n">
        <v>0.0694</v>
      </c>
    </row>
    <row r="105">
      <c r="A105" s="51" t="inlineStr">
        <is>
          <t>Hemp hurd</t>
        </is>
      </c>
      <c r="B105" s="51" t="n">
        <v>32</v>
      </c>
      <c r="C105" s="51" t="n">
        <v>38.1</v>
      </c>
      <c r="D105" s="51" t="n">
        <v>23.8</v>
      </c>
      <c r="E105" s="51" t="n">
        <v>81.3</v>
      </c>
      <c r="F105" s="51" t="n">
        <v>3</v>
      </c>
      <c r="G105" s="51" t="n">
        <v>15.7</v>
      </c>
      <c r="H105" s="51" t="n">
        <v>46.3</v>
      </c>
      <c r="I105" s="51" t="n">
        <v>44.5</v>
      </c>
      <c r="J105" s="51" t="n">
        <v>5.7</v>
      </c>
      <c r="K105" s="51" t="n">
        <v>4</v>
      </c>
      <c r="L105" s="51" t="n">
        <v>1</v>
      </c>
      <c r="M105" s="51" t="n">
        <v>1</v>
      </c>
      <c r="N105" s="51" t="n">
        <v>1</v>
      </c>
      <c r="O105" s="51" t="n">
        <v>0</v>
      </c>
      <c r="P105" s="51" t="n">
        <v>720</v>
      </c>
      <c r="Q105" s="51" t="n">
        <v>5</v>
      </c>
      <c r="R105" s="51" t="n">
        <v>500</v>
      </c>
      <c r="S105" s="51" t="n">
        <v>1</v>
      </c>
      <c r="T105" s="51" t="n">
        <v>5</v>
      </c>
      <c r="U105" s="51" t="n">
        <v>120</v>
      </c>
      <c r="V105" s="51" t="n">
        <v>5</v>
      </c>
      <c r="W105" s="51" t="n">
        <v>1200</v>
      </c>
      <c r="X105" s="51" t="n">
        <v>0.008500000000000001</v>
      </c>
    </row>
    <row r="106">
      <c r="A106" s="51" t="inlineStr">
        <is>
          <t>Hemp hurd</t>
        </is>
      </c>
      <c r="B106" s="51" t="n">
        <v>32</v>
      </c>
      <c r="C106" s="51" t="n">
        <v>38.1</v>
      </c>
      <c r="D106" s="51" t="n">
        <v>23.8</v>
      </c>
      <c r="E106" s="51" t="n">
        <v>81.3</v>
      </c>
      <c r="F106" s="51" t="n">
        <v>3</v>
      </c>
      <c r="G106" s="51" t="n">
        <v>15.7</v>
      </c>
      <c r="H106" s="51" t="n">
        <v>46.3</v>
      </c>
      <c r="I106" s="51" t="n">
        <v>44.5</v>
      </c>
      <c r="J106" s="51" t="n">
        <v>5.7</v>
      </c>
      <c r="K106" s="51" t="n">
        <v>4</v>
      </c>
      <c r="L106" s="51" t="n">
        <v>1</v>
      </c>
      <c r="M106" s="51" t="n">
        <v>1</v>
      </c>
      <c r="N106" s="51" t="n">
        <v>0</v>
      </c>
      <c r="O106" s="51" t="n">
        <v>0</v>
      </c>
      <c r="P106" s="51" t="n">
        <v>720</v>
      </c>
      <c r="Q106" s="51" t="n">
        <v>5</v>
      </c>
      <c r="R106" s="51" t="n">
        <v>180</v>
      </c>
      <c r="S106" s="51" t="n">
        <v>1</v>
      </c>
      <c r="T106" s="51" t="n">
        <v>5</v>
      </c>
      <c r="U106" s="51" t="n">
        <v>120</v>
      </c>
      <c r="V106" s="51" t="n">
        <v>5</v>
      </c>
      <c r="W106" s="51" t="n">
        <v>1200</v>
      </c>
      <c r="X106" s="51" t="n">
        <v>0.0315</v>
      </c>
    </row>
    <row r="107">
      <c r="A107" s="51" t="inlineStr">
        <is>
          <t>Hemp hurd</t>
        </is>
      </c>
      <c r="B107" s="51" t="n">
        <v>32</v>
      </c>
      <c r="C107" s="51" t="n">
        <v>38.1</v>
      </c>
      <c r="D107" s="51" t="n">
        <v>23.8</v>
      </c>
      <c r="E107" s="51" t="n">
        <v>81.3</v>
      </c>
      <c r="F107" s="51" t="n">
        <v>3</v>
      </c>
      <c r="G107" s="51" t="n">
        <v>15.7</v>
      </c>
      <c r="H107" s="51" t="n">
        <v>46.3</v>
      </c>
      <c r="I107" s="51" t="n">
        <v>44.5</v>
      </c>
      <c r="J107" s="51" t="n">
        <v>5.7</v>
      </c>
      <c r="K107" s="51" t="n">
        <v>4</v>
      </c>
      <c r="L107" s="51" t="n">
        <v>1</v>
      </c>
      <c r="M107" s="51" t="n">
        <v>1</v>
      </c>
      <c r="N107" s="51" t="n">
        <v>0</v>
      </c>
      <c r="O107" s="51" t="n">
        <v>0</v>
      </c>
      <c r="P107" s="51" t="n">
        <v>720</v>
      </c>
      <c r="Q107" s="51" t="n">
        <v>5</v>
      </c>
      <c r="R107" s="51" t="n">
        <v>180</v>
      </c>
      <c r="S107" s="51" t="n">
        <v>1</v>
      </c>
      <c r="T107" s="51" t="n">
        <v>5</v>
      </c>
      <c r="U107" s="51" t="n">
        <v>120</v>
      </c>
      <c r="V107" s="51" t="n">
        <v>5</v>
      </c>
      <c r="W107" s="51" t="n">
        <v>1200</v>
      </c>
      <c r="X107" s="51" t="n">
        <v>0.06660000000000001</v>
      </c>
    </row>
    <row r="108">
      <c r="A108" s="51" t="inlineStr">
        <is>
          <t>Jack fruit seed</t>
        </is>
      </c>
      <c r="B108" s="51" t="n">
        <v>17.97</v>
      </c>
      <c r="C108" s="51" t="n">
        <v>9.06</v>
      </c>
      <c r="D108" s="51" t="n">
        <v>1.91</v>
      </c>
      <c r="E108" s="51" t="n">
        <v>70.3</v>
      </c>
      <c r="F108" s="51" t="n">
        <v>1.66</v>
      </c>
      <c r="G108" s="51" t="n">
        <v>10.84</v>
      </c>
      <c r="H108" s="51" t="n">
        <v>45.04</v>
      </c>
      <c r="I108" s="51" t="n">
        <v>45.27</v>
      </c>
      <c r="J108" s="51" t="n">
        <v>6.13</v>
      </c>
      <c r="K108" s="51" t="n">
        <v>4</v>
      </c>
      <c r="L108" s="51" t="n">
        <v>3</v>
      </c>
      <c r="M108" s="51" t="n">
        <v>0</v>
      </c>
      <c r="N108" s="51" t="n">
        <v>1</v>
      </c>
      <c r="O108" s="51" t="n">
        <v>4</v>
      </c>
      <c r="P108" s="51" t="n">
        <v>60</v>
      </c>
      <c r="Q108" s="51" t="n">
        <v>5</v>
      </c>
      <c r="R108" s="51" t="n">
        <v>1000</v>
      </c>
      <c r="S108" s="51" t="n">
        <v>0</v>
      </c>
      <c r="T108" s="51" t="n">
        <v>5</v>
      </c>
      <c r="U108" s="51" t="n">
        <v>0</v>
      </c>
      <c r="V108" s="51" t="n">
        <v>0</v>
      </c>
      <c r="W108" s="51" t="n">
        <v>0</v>
      </c>
      <c r="X108" s="51" t="n">
        <v>0.00347</v>
      </c>
    </row>
    <row r="109">
      <c r="A109" s="51" t="inlineStr">
        <is>
          <t>Jack fruit seed</t>
        </is>
      </c>
      <c r="B109" s="51" t="n">
        <v>17.97</v>
      </c>
      <c r="C109" s="51" t="n">
        <v>9.06</v>
      </c>
      <c r="D109" s="51" t="n">
        <v>1.91</v>
      </c>
      <c r="E109" s="51" t="n">
        <v>70.3</v>
      </c>
      <c r="F109" s="51" t="n">
        <v>1.66</v>
      </c>
      <c r="G109" s="51" t="n">
        <v>10.84</v>
      </c>
      <c r="H109" s="51" t="n">
        <v>45.04</v>
      </c>
      <c r="I109" s="51" t="n">
        <v>45.27</v>
      </c>
      <c r="J109" s="51" t="n">
        <v>6.13</v>
      </c>
      <c r="K109" s="51" t="n">
        <v>4</v>
      </c>
      <c r="L109" s="51" t="n">
        <v>3</v>
      </c>
      <c r="M109" s="51" t="n">
        <v>0</v>
      </c>
      <c r="N109" s="51" t="n">
        <v>1</v>
      </c>
      <c r="O109" s="51" t="n">
        <v>4</v>
      </c>
      <c r="P109" s="51" t="n">
        <v>60</v>
      </c>
      <c r="Q109" s="51" t="n">
        <v>5</v>
      </c>
      <c r="R109" s="51" t="n">
        <v>1100</v>
      </c>
      <c r="S109" s="51" t="n">
        <v>0</v>
      </c>
      <c r="T109" s="51" t="n">
        <v>5</v>
      </c>
      <c r="U109" s="51" t="n">
        <v>0</v>
      </c>
      <c r="V109" s="51" t="n">
        <v>0</v>
      </c>
      <c r="W109" s="51" t="n">
        <v>0</v>
      </c>
      <c r="X109" s="51" t="n">
        <v>0.00395</v>
      </c>
    </row>
    <row r="110">
      <c r="A110" s="51" t="inlineStr">
        <is>
          <t>Jack fruit seed</t>
        </is>
      </c>
      <c r="B110" s="51" t="n">
        <v>17.97</v>
      </c>
      <c r="C110" s="51" t="n">
        <v>9.06</v>
      </c>
      <c r="D110" s="51" t="n">
        <v>1.91</v>
      </c>
      <c r="E110" s="51" t="n">
        <v>70.3</v>
      </c>
      <c r="F110" s="51" t="n">
        <v>1.66</v>
      </c>
      <c r="G110" s="51" t="n">
        <v>10.84</v>
      </c>
      <c r="H110" s="51" t="n">
        <v>45.04</v>
      </c>
      <c r="I110" s="51" t="n">
        <v>45.27</v>
      </c>
      <c r="J110" s="51" t="n">
        <v>6.13</v>
      </c>
      <c r="K110" s="51" t="n">
        <v>4</v>
      </c>
      <c r="L110" s="51" t="n">
        <v>3</v>
      </c>
      <c r="M110" s="51" t="n">
        <v>0</v>
      </c>
      <c r="N110" s="51" t="n">
        <v>1</v>
      </c>
      <c r="O110" s="51" t="n">
        <v>4</v>
      </c>
      <c r="P110" s="51" t="n">
        <v>60</v>
      </c>
      <c r="Q110" s="51" t="n">
        <v>5</v>
      </c>
      <c r="R110" s="51" t="n">
        <v>1200</v>
      </c>
      <c r="S110" s="51" t="n">
        <v>0</v>
      </c>
      <c r="T110" s="51" t="n">
        <v>5</v>
      </c>
      <c r="U110" s="51" t="n">
        <v>0</v>
      </c>
      <c r="V110" s="51" t="n">
        <v>0</v>
      </c>
      <c r="W110" s="51" t="n">
        <v>0</v>
      </c>
      <c r="X110" s="51" t="n">
        <v>0.00553</v>
      </c>
    </row>
    <row r="111">
      <c r="A111" s="51" t="inlineStr">
        <is>
          <t>Jack fruit seed</t>
        </is>
      </c>
      <c r="B111" s="51" t="n">
        <v>17.97</v>
      </c>
      <c r="C111" s="51" t="n">
        <v>9.06</v>
      </c>
      <c r="D111" s="51" t="n">
        <v>1.91</v>
      </c>
      <c r="E111" s="51" t="n">
        <v>70.3</v>
      </c>
      <c r="F111" s="51" t="n">
        <v>1.66</v>
      </c>
      <c r="G111" s="51" t="n">
        <v>10.84</v>
      </c>
      <c r="H111" s="51" t="n">
        <v>45.04</v>
      </c>
      <c r="I111" s="51" t="n">
        <v>45.27</v>
      </c>
      <c r="J111" s="51" t="n">
        <v>6.13</v>
      </c>
      <c r="K111" s="51" t="n">
        <v>4</v>
      </c>
      <c r="L111" s="51" t="n">
        <v>3</v>
      </c>
      <c r="M111" s="51" t="n">
        <v>0</v>
      </c>
      <c r="N111" s="51" t="n">
        <v>1</v>
      </c>
      <c r="O111" s="51" t="n">
        <v>4</v>
      </c>
      <c r="P111" s="51" t="n">
        <v>60</v>
      </c>
      <c r="Q111" s="51" t="n">
        <v>5</v>
      </c>
      <c r="R111" s="51" t="n">
        <v>1300</v>
      </c>
      <c r="S111" s="51" t="n">
        <v>0</v>
      </c>
      <c r="T111" s="51" t="n">
        <v>5</v>
      </c>
      <c r="U111" s="51" t="n">
        <v>0</v>
      </c>
      <c r="V111" s="51" t="n">
        <v>0</v>
      </c>
      <c r="W111" s="51" t="n">
        <v>0</v>
      </c>
      <c r="X111" s="51" t="n">
        <v>0.00559</v>
      </c>
    </row>
    <row r="112">
      <c r="A112" s="51" t="inlineStr">
        <is>
          <t>Jackfruit rag</t>
        </is>
      </c>
      <c r="B112" s="51" t="n">
        <v>17.71</v>
      </c>
      <c r="C112" s="51" t="n">
        <v>7.32</v>
      </c>
      <c r="D112" s="51" t="n">
        <v>4.03</v>
      </c>
      <c r="E112" s="51" t="n">
        <v>68.79000000000001</v>
      </c>
      <c r="F112" s="51" t="n">
        <v>4.17</v>
      </c>
      <c r="G112" s="51" t="n">
        <v>16.58</v>
      </c>
      <c r="H112" s="51" t="n">
        <v>43.89</v>
      </c>
      <c r="I112" s="51" t="n">
        <v>44.04</v>
      </c>
      <c r="J112" s="51" t="n">
        <v>5.43</v>
      </c>
      <c r="K112" s="51" t="n">
        <v>6</v>
      </c>
      <c r="L112" s="51" t="n">
        <v>1</v>
      </c>
      <c r="M112" s="51" t="n">
        <v>0</v>
      </c>
      <c r="N112" s="51" t="n">
        <v>1</v>
      </c>
      <c r="O112" s="51" t="n">
        <v>4</v>
      </c>
      <c r="P112" s="51" t="n">
        <v>120</v>
      </c>
      <c r="Q112" s="51" t="n">
        <v>10</v>
      </c>
      <c r="R112" s="51" t="n">
        <v>700</v>
      </c>
      <c r="S112" s="51" t="n">
        <v>0</v>
      </c>
      <c r="T112" s="51" t="n">
        <v>5</v>
      </c>
      <c r="U112" s="51" t="n">
        <v>0</v>
      </c>
      <c r="V112" s="51" t="n">
        <v>0</v>
      </c>
      <c r="W112" s="51" t="n">
        <v>0</v>
      </c>
      <c r="X112" s="51" t="n">
        <v>0.262</v>
      </c>
    </row>
    <row r="113">
      <c r="A113" s="51" t="inlineStr">
        <is>
          <t>Jackfruit rag</t>
        </is>
      </c>
      <c r="B113" s="51" t="n">
        <v>17.71</v>
      </c>
      <c r="C113" s="51" t="n">
        <v>7.32</v>
      </c>
      <c r="D113" s="51" t="n">
        <v>4.03</v>
      </c>
      <c r="E113" s="51" t="n">
        <v>68.79000000000001</v>
      </c>
      <c r="F113" s="51" t="n">
        <v>4.17</v>
      </c>
      <c r="G113" s="51" t="n">
        <v>16.58</v>
      </c>
      <c r="H113" s="51" t="n">
        <v>43.89</v>
      </c>
      <c r="I113" s="51" t="n">
        <v>44.04</v>
      </c>
      <c r="J113" s="51" t="n">
        <v>5.43</v>
      </c>
      <c r="K113" s="51" t="n">
        <v>6</v>
      </c>
      <c r="L113" s="51" t="n">
        <v>1</v>
      </c>
      <c r="M113" s="51" t="n">
        <v>0</v>
      </c>
      <c r="N113" s="51" t="n">
        <v>1</v>
      </c>
      <c r="O113" s="51" t="n">
        <v>4</v>
      </c>
      <c r="P113" s="51" t="n">
        <v>120</v>
      </c>
      <c r="Q113" s="51" t="n">
        <v>10</v>
      </c>
      <c r="R113" s="51" t="n">
        <v>800</v>
      </c>
      <c r="S113" s="51" t="n">
        <v>0</v>
      </c>
      <c r="T113" s="51" t="n">
        <v>5</v>
      </c>
      <c r="U113" s="51" t="n">
        <v>0</v>
      </c>
      <c r="V113" s="51" t="n">
        <v>0</v>
      </c>
      <c r="W113" s="51" t="n">
        <v>0</v>
      </c>
      <c r="X113" s="51" t="n">
        <v>0.887</v>
      </c>
    </row>
    <row r="114">
      <c r="A114" s="51" t="inlineStr">
        <is>
          <t>Jackfruit rag</t>
        </is>
      </c>
      <c r="B114" s="51" t="n">
        <v>17.71</v>
      </c>
      <c r="C114" s="51" t="n">
        <v>7.32</v>
      </c>
      <c r="D114" s="51" t="n">
        <v>4.03</v>
      </c>
      <c r="E114" s="51" t="n">
        <v>68.79000000000001</v>
      </c>
      <c r="F114" s="51" t="n">
        <v>4.17</v>
      </c>
      <c r="G114" s="51" t="n">
        <v>16.58</v>
      </c>
      <c r="H114" s="51" t="n">
        <v>43.89</v>
      </c>
      <c r="I114" s="51" t="n">
        <v>44.04</v>
      </c>
      <c r="J114" s="51" t="n">
        <v>5.43</v>
      </c>
      <c r="K114" s="51" t="n">
        <v>6</v>
      </c>
      <c r="L114" s="51" t="n">
        <v>1</v>
      </c>
      <c r="M114" s="51" t="n">
        <v>0</v>
      </c>
      <c r="N114" s="51" t="n">
        <v>1</v>
      </c>
      <c r="O114" s="51" t="n">
        <v>4</v>
      </c>
      <c r="P114" s="51" t="n">
        <v>120</v>
      </c>
      <c r="Q114" s="51" t="n">
        <v>10</v>
      </c>
      <c r="R114" s="51" t="n">
        <v>900</v>
      </c>
      <c r="S114" s="51" t="n">
        <v>0</v>
      </c>
      <c r="T114" s="51" t="n">
        <v>5</v>
      </c>
      <c r="U114" s="51" t="n">
        <v>0</v>
      </c>
      <c r="V114" s="51" t="n">
        <v>0</v>
      </c>
      <c r="W114" s="51" t="n">
        <v>0</v>
      </c>
      <c r="X114" s="51" t="n">
        <v>0.293</v>
      </c>
    </row>
    <row r="115">
      <c r="A115" s="51" t="inlineStr">
        <is>
          <t>Lignin</t>
        </is>
      </c>
      <c r="B115" s="51" t="n">
        <v>0</v>
      </c>
      <c r="C115" s="51" t="n">
        <v>0</v>
      </c>
      <c r="D115" s="51" t="n">
        <v>100</v>
      </c>
      <c r="E115" s="51" t="n">
        <v>74.413547453817</v>
      </c>
      <c r="F115" s="51" t="n">
        <v>7.93957117369227</v>
      </c>
      <c r="G115" s="51" t="n">
        <v>16.0485850317427</v>
      </c>
      <c r="H115" s="51" t="n">
        <v>46.9552486099622</v>
      </c>
      <c r="I115" s="51" t="n">
        <v>44.8534837562515</v>
      </c>
      <c r="J115" s="51" t="n">
        <v>5.81999479571385</v>
      </c>
      <c r="K115" s="51" t="n">
        <v>1</v>
      </c>
      <c r="L115" s="51" t="n">
        <v>5</v>
      </c>
      <c r="M115" s="51" t="n">
        <v>1</v>
      </c>
      <c r="N115" s="51" t="n">
        <v>1</v>
      </c>
      <c r="O115" s="51" t="n">
        <v>4</v>
      </c>
      <c r="P115" s="51" t="n">
        <v>60</v>
      </c>
      <c r="Q115" s="51" t="n">
        <v>10</v>
      </c>
      <c r="R115" s="51" t="n">
        <v>800</v>
      </c>
      <c r="S115" s="51" t="n">
        <v>1</v>
      </c>
      <c r="T115" s="51" t="n">
        <v>5</v>
      </c>
      <c r="U115" s="51" t="n">
        <v>480</v>
      </c>
      <c r="V115" s="51" t="n">
        <v>10</v>
      </c>
      <c r="W115" s="51" t="n">
        <v>1300</v>
      </c>
      <c r="X115" s="51" t="n">
        <v>0.034</v>
      </c>
    </row>
    <row r="116">
      <c r="A116" s="51" t="inlineStr">
        <is>
          <t>Lotus seedpod</t>
        </is>
      </c>
      <c r="B116" s="51" t="n">
        <v>32</v>
      </c>
      <c r="C116" s="51" t="n">
        <v>22</v>
      </c>
      <c r="D116" s="51" t="n">
        <v>18</v>
      </c>
      <c r="E116" s="51" t="n">
        <v>77.218917305093</v>
      </c>
      <c r="F116" s="51" t="n">
        <v>7.2282335470613</v>
      </c>
      <c r="G116" s="51" t="n">
        <v>14.8704015096939</v>
      </c>
      <c r="H116" s="51" t="n">
        <v>46.0501821911461</v>
      </c>
      <c r="I116" s="51" t="n">
        <v>45.4897086201681</v>
      </c>
      <c r="J116" s="51" t="n">
        <v>6.20251073350376</v>
      </c>
      <c r="K116" s="51" t="n">
        <v>1</v>
      </c>
      <c r="L116" s="51" t="n">
        <v>5</v>
      </c>
      <c r="M116" s="51" t="n">
        <v>0</v>
      </c>
      <c r="N116" s="51" t="n">
        <v>1</v>
      </c>
      <c r="O116" s="51" t="n">
        <v>4</v>
      </c>
      <c r="P116" s="51" t="n">
        <v>120</v>
      </c>
      <c r="Q116" s="51" t="n">
        <v>2</v>
      </c>
      <c r="R116" s="51" t="n">
        <v>1300</v>
      </c>
      <c r="S116" s="51" t="n">
        <v>0</v>
      </c>
      <c r="T116" s="51" t="n">
        <v>5</v>
      </c>
      <c r="U116" s="51" t="n">
        <v>0</v>
      </c>
      <c r="V116" s="51" t="n">
        <v>0</v>
      </c>
      <c r="W116" s="51" t="n">
        <v>0</v>
      </c>
      <c r="X116" s="51" t="n">
        <v>0.055</v>
      </c>
    </row>
    <row r="117">
      <c r="A117" s="51" t="inlineStr">
        <is>
          <t>Lotus seedpod</t>
        </is>
      </c>
      <c r="B117" s="51" t="n">
        <v>32</v>
      </c>
      <c r="C117" s="51" t="n">
        <v>22</v>
      </c>
      <c r="D117" s="51" t="n">
        <v>18</v>
      </c>
      <c r="E117" s="51" t="n">
        <v>78.9691242331856</v>
      </c>
      <c r="F117" s="51" t="n">
        <v>5.85262955345892</v>
      </c>
      <c r="G117" s="51" t="n">
        <v>11.857866319601</v>
      </c>
      <c r="H117" s="51" t="n">
        <v>45.8709073483686</v>
      </c>
      <c r="I117" s="51" t="n">
        <v>44.1598199638007</v>
      </c>
      <c r="J117" s="51" t="n">
        <v>5.88207526980341</v>
      </c>
      <c r="K117" s="51" t="n">
        <v>6</v>
      </c>
      <c r="L117" s="51" t="n">
        <v>1</v>
      </c>
      <c r="M117" s="51" t="n">
        <v>0</v>
      </c>
      <c r="N117" s="51" t="n">
        <v>1</v>
      </c>
      <c r="O117" s="51" t="n">
        <v>4</v>
      </c>
      <c r="P117" s="51" t="n">
        <v>120</v>
      </c>
      <c r="Q117" s="51" t="n">
        <v>5.31847133757962</v>
      </c>
      <c r="R117" s="51" t="n">
        <v>1200</v>
      </c>
      <c r="S117" s="51" t="n">
        <v>0</v>
      </c>
      <c r="T117" s="51" t="n">
        <v>5</v>
      </c>
      <c r="U117" s="51" t="n">
        <v>0</v>
      </c>
      <c r="V117" s="51" t="n">
        <v>0</v>
      </c>
      <c r="W117" s="51" t="n">
        <v>0</v>
      </c>
      <c r="X117" s="51" t="n">
        <v>0.055</v>
      </c>
    </row>
    <row r="118">
      <c r="A118" s="51" t="inlineStr">
        <is>
          <t>Lotus seedpod</t>
        </is>
      </c>
      <c r="B118" s="51" t="n">
        <v>32</v>
      </c>
      <c r="C118" s="51" t="n">
        <v>22</v>
      </c>
      <c r="D118" s="51" t="n">
        <v>18</v>
      </c>
      <c r="E118" s="51" t="n">
        <v>78.97839201999059</v>
      </c>
      <c r="F118" s="51" t="n">
        <v>5.83351723826782</v>
      </c>
      <c r="G118" s="51" t="n">
        <v>11.8717721420283</v>
      </c>
      <c r="H118" s="51" t="n">
        <v>45.8866445542495</v>
      </c>
      <c r="I118" s="51" t="n">
        <v>44.1633458914864</v>
      </c>
      <c r="J118" s="51" t="n">
        <v>5.88257539740192</v>
      </c>
      <c r="K118" s="51" t="n">
        <v>4</v>
      </c>
      <c r="L118" s="51" t="n">
        <v>1</v>
      </c>
      <c r="M118" s="51" t="n">
        <v>0</v>
      </c>
      <c r="N118" s="51" t="n">
        <v>1</v>
      </c>
      <c r="O118" s="51" t="n">
        <v>4</v>
      </c>
      <c r="P118" s="51" t="n">
        <v>120</v>
      </c>
      <c r="Q118" s="51" t="n">
        <v>5.31847133757962</v>
      </c>
      <c r="R118" s="51" t="n">
        <v>1200</v>
      </c>
      <c r="S118" s="51" t="n">
        <v>0</v>
      </c>
      <c r="T118" s="51" t="n">
        <v>5</v>
      </c>
      <c r="U118" s="51" t="n">
        <v>0</v>
      </c>
      <c r="V118" s="51" t="n">
        <v>0</v>
      </c>
      <c r="W118" s="51" t="n">
        <v>0</v>
      </c>
      <c r="X118" s="51" t="n">
        <v>0.055</v>
      </c>
    </row>
    <row r="119">
      <c r="A119" s="51" t="inlineStr">
        <is>
          <t>Lotus seedpod</t>
        </is>
      </c>
      <c r="B119" s="51" t="n">
        <v>32</v>
      </c>
      <c r="C119" s="51" t="n">
        <v>22</v>
      </c>
      <c r="D119" s="51" t="n">
        <v>18</v>
      </c>
      <c r="E119" s="51" t="n">
        <v>70.00639070035071</v>
      </c>
      <c r="F119" s="51" t="n">
        <v>14.1095227221863</v>
      </c>
      <c r="G119" s="51" t="n">
        <v>7.31219802500405</v>
      </c>
      <c r="H119" s="51" t="n">
        <v>48.7927013087319</v>
      </c>
      <c r="I119" s="51" t="n">
        <v>44.4008950318052</v>
      </c>
      <c r="J119" s="51" t="n">
        <v>6.15574451083624</v>
      </c>
      <c r="K119" s="51" t="n">
        <v>4</v>
      </c>
      <c r="L119" s="51" t="n">
        <v>1</v>
      </c>
      <c r="M119" s="51" t="n">
        <v>0</v>
      </c>
      <c r="N119" s="51" t="n">
        <v>1</v>
      </c>
      <c r="O119" s="51" t="n">
        <v>4</v>
      </c>
      <c r="P119" s="51" t="n">
        <v>120</v>
      </c>
      <c r="Q119" s="51" t="n">
        <v>5.31847133757962</v>
      </c>
      <c r="R119" s="51" t="n">
        <v>1000</v>
      </c>
      <c r="S119" s="51" t="n">
        <v>0</v>
      </c>
      <c r="T119" s="51" t="n">
        <v>5</v>
      </c>
      <c r="U119" s="51" t="n">
        <v>0</v>
      </c>
      <c r="V119" s="51" t="n">
        <v>0</v>
      </c>
      <c r="W119" s="51" t="n">
        <v>0</v>
      </c>
      <c r="X119" s="51" t="n">
        <v>0.233</v>
      </c>
    </row>
    <row r="120">
      <c r="A120" s="51" t="inlineStr">
        <is>
          <t>Lotus seedpod</t>
        </is>
      </c>
      <c r="B120" s="51" t="n">
        <v>32</v>
      </c>
      <c r="C120" s="51" t="n">
        <v>22</v>
      </c>
      <c r="D120" s="51" t="n">
        <v>18</v>
      </c>
      <c r="E120" s="51" t="n">
        <v>82.0871619334596</v>
      </c>
      <c r="F120" s="51" t="n">
        <v>2.05403010787583</v>
      </c>
      <c r="G120" s="51" t="n">
        <v>15.4452121926162</v>
      </c>
      <c r="H120" s="51" t="n">
        <v>47.364048906798</v>
      </c>
      <c r="I120" s="51" t="n">
        <v>44.733229339041</v>
      </c>
      <c r="J120" s="51" t="n">
        <v>6.09703311246006</v>
      </c>
      <c r="K120" s="51" t="n">
        <v>4</v>
      </c>
      <c r="L120" s="51" t="n">
        <v>1</v>
      </c>
      <c r="M120" s="51" t="n">
        <v>0</v>
      </c>
      <c r="N120" s="51" t="n">
        <v>1</v>
      </c>
      <c r="O120" s="51" t="n">
        <v>4</v>
      </c>
      <c r="P120" s="51" t="n">
        <v>120</v>
      </c>
      <c r="Q120" s="51" t="n">
        <v>5.31847133757962</v>
      </c>
      <c r="R120" s="51" t="n">
        <v>1400</v>
      </c>
      <c r="S120" s="51" t="n">
        <v>0</v>
      </c>
      <c r="T120" s="51" t="n">
        <v>5</v>
      </c>
      <c r="U120" s="51" t="n">
        <v>0</v>
      </c>
      <c r="V120" s="51" t="n">
        <v>0</v>
      </c>
      <c r="W120" s="51" t="n">
        <v>0</v>
      </c>
      <c r="X120" s="51" t="n">
        <v>0.041</v>
      </c>
    </row>
    <row r="121">
      <c r="A121" s="51" t="inlineStr">
        <is>
          <t>Lotus seedpod</t>
        </is>
      </c>
      <c r="B121" s="51" t="n">
        <v>32</v>
      </c>
      <c r="C121" s="51" t="n">
        <v>22</v>
      </c>
      <c r="D121" s="51" t="n">
        <v>18</v>
      </c>
      <c r="E121" s="51" t="n">
        <v>82.5663226024089</v>
      </c>
      <c r="F121" s="51" t="n">
        <v>2.92318036265938</v>
      </c>
      <c r="G121" s="51" t="n">
        <v>13.5206093713942</v>
      </c>
      <c r="H121" s="51" t="n">
        <v>46.8372258892146</v>
      </c>
      <c r="I121" s="51" t="n">
        <v>43.7713226069017</v>
      </c>
      <c r="J121" s="51" t="n">
        <v>6.16227770901221</v>
      </c>
      <c r="K121" s="51" t="n">
        <v>1</v>
      </c>
      <c r="L121" s="51" t="n">
        <v>5</v>
      </c>
      <c r="M121" s="51" t="n">
        <v>0</v>
      </c>
      <c r="N121" s="51" t="n">
        <v>1</v>
      </c>
      <c r="O121" s="51" t="n">
        <v>4</v>
      </c>
      <c r="P121" s="51" t="n">
        <v>203.025773195876</v>
      </c>
      <c r="Q121" s="51" t="n">
        <v>5.31847133757962</v>
      </c>
      <c r="R121" s="51" t="n">
        <v>1200</v>
      </c>
      <c r="S121" s="51" t="n">
        <v>0</v>
      </c>
      <c r="T121" s="51" t="n">
        <v>5</v>
      </c>
      <c r="U121" s="51" t="n">
        <v>0</v>
      </c>
      <c r="V121" s="51" t="n">
        <v>0</v>
      </c>
      <c r="W121" s="51" t="n">
        <v>0</v>
      </c>
      <c r="X121" s="51" t="n">
        <v>0.0102</v>
      </c>
    </row>
    <row r="122">
      <c r="A122" s="51" t="inlineStr">
        <is>
          <t>Lotus stem</t>
        </is>
      </c>
      <c r="B122" s="51" t="n">
        <v>34.6</v>
      </c>
      <c r="C122" s="51" t="n">
        <v>19.2</v>
      </c>
      <c r="D122" s="51" t="n">
        <v>25.4</v>
      </c>
      <c r="E122" s="51" t="n">
        <v>77.44065266469779</v>
      </c>
      <c r="F122" s="51" t="n">
        <v>6.01739941318613</v>
      </c>
      <c r="G122" s="51" t="n">
        <v>17.7960359441177</v>
      </c>
      <c r="H122" s="51" t="n">
        <v>48.1519093848142</v>
      </c>
      <c r="I122" s="51" t="n">
        <v>41.0827448296098</v>
      </c>
      <c r="J122" s="51" t="n">
        <v>5.25526048251373</v>
      </c>
      <c r="K122" s="51" t="n">
        <v>1</v>
      </c>
      <c r="L122" s="51" t="n">
        <v>5</v>
      </c>
      <c r="M122" s="51" t="n">
        <v>0</v>
      </c>
      <c r="N122" s="51" t="n">
        <v>1</v>
      </c>
      <c r="O122" s="51" t="n">
        <v>4</v>
      </c>
      <c r="P122" s="51" t="n">
        <v>203.025773195876</v>
      </c>
      <c r="Q122" s="51" t="n">
        <v>5.31847133757962</v>
      </c>
      <c r="R122" s="51" t="n">
        <v>1400</v>
      </c>
      <c r="S122" s="51" t="n">
        <v>0</v>
      </c>
      <c r="T122" s="51" t="n">
        <v>5</v>
      </c>
      <c r="U122" s="51" t="n">
        <v>0</v>
      </c>
      <c r="V122" s="51" t="n">
        <v>0</v>
      </c>
      <c r="W122" s="51" t="n">
        <v>0</v>
      </c>
      <c r="X122" s="51" t="n">
        <v>0.008800000000000001</v>
      </c>
    </row>
    <row r="123">
      <c r="A123" s="51" t="inlineStr">
        <is>
          <t>Lotus stem</t>
        </is>
      </c>
      <c r="B123" s="51" t="n">
        <v>34.6</v>
      </c>
      <c r="C123" s="51" t="n">
        <v>19.2</v>
      </c>
      <c r="D123" s="51" t="n">
        <v>25.4</v>
      </c>
      <c r="E123" s="51" t="n">
        <v>77.44065266469779</v>
      </c>
      <c r="F123" s="51" t="n">
        <v>6.01739941318613</v>
      </c>
      <c r="G123" s="51" t="n">
        <v>17.7960359441177</v>
      </c>
      <c r="H123" s="51" t="n">
        <v>48.1519093848142</v>
      </c>
      <c r="I123" s="51" t="n">
        <v>41.0827448296098</v>
      </c>
      <c r="J123" s="51" t="n">
        <v>5.25526048251373</v>
      </c>
      <c r="K123" s="51" t="n">
        <v>1</v>
      </c>
      <c r="L123" s="51" t="n">
        <v>5</v>
      </c>
      <c r="M123" s="51" t="n">
        <v>0</v>
      </c>
      <c r="N123" s="51" t="n">
        <v>1</v>
      </c>
      <c r="O123" s="51" t="n">
        <v>4</v>
      </c>
      <c r="P123" s="51" t="n">
        <v>203.025773195876</v>
      </c>
      <c r="Q123" s="51" t="n">
        <v>5.31847133757962</v>
      </c>
      <c r="R123" s="51" t="n">
        <v>1600</v>
      </c>
      <c r="S123" s="51" t="n">
        <v>0</v>
      </c>
      <c r="T123" s="51" t="n">
        <v>5</v>
      </c>
      <c r="U123" s="51" t="n">
        <v>0</v>
      </c>
      <c r="V123" s="51" t="n">
        <v>0</v>
      </c>
      <c r="W123" s="51" t="n">
        <v>0</v>
      </c>
      <c r="X123" s="51" t="n">
        <v>0.0083</v>
      </c>
    </row>
    <row r="124">
      <c r="A124" s="51" t="inlineStr">
        <is>
          <t>Lotus stem</t>
        </is>
      </c>
      <c r="B124" s="51" t="n">
        <v>34.6</v>
      </c>
      <c r="C124" s="51" t="n">
        <v>19.2</v>
      </c>
      <c r="D124" s="51" t="n">
        <v>25.4</v>
      </c>
      <c r="E124" s="51" t="n">
        <v>77.44065266469779</v>
      </c>
      <c r="F124" s="51" t="n">
        <v>6.01739941318613</v>
      </c>
      <c r="G124" s="51" t="n">
        <v>17.7960359441177</v>
      </c>
      <c r="H124" s="51" t="n">
        <v>48.1519093848142</v>
      </c>
      <c r="I124" s="51" t="n">
        <v>41.0827448296098</v>
      </c>
      <c r="J124" s="51" t="n">
        <v>5.25526048251373</v>
      </c>
      <c r="K124" s="51" t="n">
        <v>4</v>
      </c>
      <c r="L124" s="51" t="n">
        <v>5</v>
      </c>
      <c r="M124" s="51" t="n">
        <v>0</v>
      </c>
      <c r="N124" s="51" t="n">
        <v>1</v>
      </c>
      <c r="O124" s="51" t="n">
        <v>4</v>
      </c>
      <c r="P124" s="51" t="n">
        <v>60</v>
      </c>
      <c r="Q124" s="51" t="n">
        <v>5.31847133757962</v>
      </c>
      <c r="R124" s="51" t="n">
        <v>700</v>
      </c>
      <c r="S124" s="51" t="n">
        <v>0</v>
      </c>
      <c r="T124" s="51" t="n">
        <v>5</v>
      </c>
      <c r="U124" s="51" t="n">
        <v>0</v>
      </c>
      <c r="V124" s="51" t="n">
        <v>0</v>
      </c>
      <c r="W124" s="51" t="n">
        <v>0</v>
      </c>
      <c r="X124" s="51" t="n">
        <v>0.08799999999999999</v>
      </c>
    </row>
    <row r="125">
      <c r="A125" s="51" t="inlineStr">
        <is>
          <t>Macadamia nutshell</t>
        </is>
      </c>
      <c r="B125" s="51" t="n">
        <v>29.5</v>
      </c>
      <c r="C125" s="51" t="n">
        <v>30</v>
      </c>
      <c r="D125" s="51" t="n">
        <v>40.1</v>
      </c>
      <c r="E125" s="51" t="n">
        <v>76.25</v>
      </c>
      <c r="F125" s="51" t="n">
        <v>0.36</v>
      </c>
      <c r="G125" s="51" t="n">
        <v>23.4</v>
      </c>
      <c r="H125" s="51" t="n">
        <v>49.7</v>
      </c>
      <c r="I125" s="51" t="n">
        <v>35.2</v>
      </c>
      <c r="J125" s="51" t="n">
        <v>6.2</v>
      </c>
      <c r="K125" s="51" t="n">
        <v>4</v>
      </c>
      <c r="L125" s="51" t="n">
        <v>5</v>
      </c>
      <c r="M125" s="51" t="n">
        <v>0</v>
      </c>
      <c r="N125" s="51" t="n">
        <v>1</v>
      </c>
      <c r="O125" s="51" t="n">
        <v>4</v>
      </c>
      <c r="P125" s="51" t="n">
        <v>60</v>
      </c>
      <c r="Q125" s="51" t="n">
        <v>5.31847133757962</v>
      </c>
      <c r="R125" s="51" t="n">
        <v>900</v>
      </c>
      <c r="S125" s="51" t="n">
        <v>0</v>
      </c>
      <c r="T125" s="51" t="n">
        <v>5</v>
      </c>
      <c r="U125" s="51" t="n">
        <v>0</v>
      </c>
      <c r="V125" s="51" t="n">
        <v>0</v>
      </c>
      <c r="W125" s="51" t="n">
        <v>0</v>
      </c>
      <c r="X125" s="51" t="n">
        <v>0.056</v>
      </c>
    </row>
    <row r="126">
      <c r="A126" s="51" t="inlineStr">
        <is>
          <t>Macadamia nutshell</t>
        </is>
      </c>
      <c r="B126" s="51" t="n">
        <v>29.5</v>
      </c>
      <c r="C126" s="51" t="n">
        <v>30</v>
      </c>
      <c r="D126" s="51" t="n">
        <v>40.1</v>
      </c>
      <c r="E126" s="51" t="n">
        <v>76.25</v>
      </c>
      <c r="F126" s="51" t="n">
        <v>0.36</v>
      </c>
      <c r="G126" s="51" t="n">
        <v>23.4</v>
      </c>
      <c r="H126" s="51" t="n">
        <v>49.7</v>
      </c>
      <c r="I126" s="51" t="n">
        <v>35.2</v>
      </c>
      <c r="J126" s="51" t="n">
        <v>6.2</v>
      </c>
      <c r="K126" s="51" t="n">
        <v>4</v>
      </c>
      <c r="L126" s="51" t="n">
        <v>5</v>
      </c>
      <c r="M126" s="51" t="n">
        <v>0</v>
      </c>
      <c r="N126" s="51" t="n">
        <v>1</v>
      </c>
      <c r="O126" s="51" t="n">
        <v>4</v>
      </c>
      <c r="P126" s="51" t="n">
        <v>60</v>
      </c>
      <c r="Q126" s="51" t="n">
        <v>5.31847133757962</v>
      </c>
      <c r="R126" s="51" t="n">
        <v>1100</v>
      </c>
      <c r="S126" s="51" t="n">
        <v>0</v>
      </c>
      <c r="T126" s="51" t="n">
        <v>5</v>
      </c>
      <c r="U126" s="51" t="n">
        <v>0</v>
      </c>
      <c r="V126" s="51" t="n">
        <v>0</v>
      </c>
      <c r="W126" s="51" t="n">
        <v>0</v>
      </c>
      <c r="X126" s="51" t="n">
        <v>0.021</v>
      </c>
    </row>
    <row r="127">
      <c r="A127" s="51" t="inlineStr">
        <is>
          <t>Oatmeal</t>
        </is>
      </c>
      <c r="B127" s="51" t="n">
        <v>40.1</v>
      </c>
      <c r="C127" s="51" t="n">
        <v>25.1</v>
      </c>
      <c r="D127" s="51" t="n">
        <v>26.1</v>
      </c>
      <c r="E127" s="51" t="n">
        <v>76.09999999999999</v>
      </c>
      <c r="F127" s="51" t="n">
        <v>6.1</v>
      </c>
      <c r="G127" s="51" t="n">
        <v>16.1</v>
      </c>
      <c r="H127" s="51" t="n">
        <v>48.17</v>
      </c>
      <c r="I127" s="51" t="n">
        <v>45.55</v>
      </c>
      <c r="J127" s="51" t="n">
        <v>6.23</v>
      </c>
      <c r="K127" s="51" t="n">
        <v>4</v>
      </c>
      <c r="L127" s="51" t="n">
        <v>7</v>
      </c>
      <c r="M127" s="51" t="n">
        <v>1</v>
      </c>
      <c r="N127" s="51" t="n">
        <v>0</v>
      </c>
      <c r="O127" s="51" t="n">
        <v>4</v>
      </c>
      <c r="P127" s="51" t="n">
        <v>12</v>
      </c>
      <c r="Q127" s="51" t="n">
        <v>5.31847133757962</v>
      </c>
      <c r="R127" s="51" t="n">
        <v>200</v>
      </c>
      <c r="S127" s="51" t="n">
        <v>1</v>
      </c>
      <c r="T127" s="51" t="n">
        <v>5</v>
      </c>
      <c r="U127" s="51" t="n">
        <v>59.041095890411</v>
      </c>
      <c r="V127" s="51" t="n">
        <v>2.29951690821256</v>
      </c>
      <c r="W127" s="51" t="n">
        <v>700</v>
      </c>
      <c r="X127" s="51" t="n">
        <v>0.09</v>
      </c>
    </row>
    <row r="128">
      <c r="A128" s="51" t="inlineStr">
        <is>
          <t>Oatmeal</t>
        </is>
      </c>
      <c r="B128" s="51" t="n">
        <v>40.1</v>
      </c>
      <c r="C128" s="51" t="n">
        <v>25.1</v>
      </c>
      <c r="D128" s="51" t="n">
        <v>26.1</v>
      </c>
      <c r="E128" s="51" t="n">
        <v>76.09999999999999</v>
      </c>
      <c r="F128" s="51" t="n">
        <v>6.1</v>
      </c>
      <c r="G128" s="51" t="n">
        <v>16.1</v>
      </c>
      <c r="H128" s="51" t="n">
        <v>48.17</v>
      </c>
      <c r="I128" s="51" t="n">
        <v>45.55</v>
      </c>
      <c r="J128" s="51" t="n">
        <v>6.23</v>
      </c>
      <c r="K128" s="51" t="n">
        <v>4</v>
      </c>
      <c r="L128" s="51" t="n">
        <v>7</v>
      </c>
      <c r="M128" s="51" t="n">
        <v>1</v>
      </c>
      <c r="N128" s="51" t="n">
        <v>0</v>
      </c>
      <c r="O128" s="51" t="n">
        <v>4</v>
      </c>
      <c r="P128" s="51" t="n">
        <v>12</v>
      </c>
      <c r="Q128" s="51" t="n">
        <v>5.31847133757962</v>
      </c>
      <c r="R128" s="51" t="n">
        <v>200</v>
      </c>
      <c r="S128" s="51" t="n">
        <v>1</v>
      </c>
      <c r="T128" s="51" t="n">
        <v>5</v>
      </c>
      <c r="U128" s="51" t="n">
        <v>59.041095890411</v>
      </c>
      <c r="V128" s="51" t="n">
        <v>2.29951690821256</v>
      </c>
      <c r="W128" s="51" t="n">
        <v>300</v>
      </c>
      <c r="X128" s="51" t="n">
        <v>0.02</v>
      </c>
    </row>
    <row r="129">
      <c r="A129" s="51" t="inlineStr">
        <is>
          <t>Oatmeal</t>
        </is>
      </c>
      <c r="B129" s="51" t="n">
        <v>40.1</v>
      </c>
      <c r="C129" s="51" t="n">
        <v>25.1</v>
      </c>
      <c r="D129" s="51" t="n">
        <v>26.1</v>
      </c>
      <c r="E129" s="51" t="n">
        <v>76.09999999999999</v>
      </c>
      <c r="F129" s="51" t="n">
        <v>6.1</v>
      </c>
      <c r="G129" s="51" t="n">
        <v>16.1</v>
      </c>
      <c r="H129" s="51" t="n">
        <v>48.17</v>
      </c>
      <c r="I129" s="51" t="n">
        <v>45.55</v>
      </c>
      <c r="J129" s="51" t="n">
        <v>6.23</v>
      </c>
      <c r="K129" s="51" t="n">
        <v>4</v>
      </c>
      <c r="L129" s="51" t="n">
        <v>7</v>
      </c>
      <c r="M129" s="51" t="n">
        <v>1</v>
      </c>
      <c r="N129" s="51" t="n">
        <v>0</v>
      </c>
      <c r="O129" s="51" t="n">
        <v>4</v>
      </c>
      <c r="P129" s="51" t="n">
        <v>12</v>
      </c>
      <c r="Q129" s="51" t="n">
        <v>5.31847133757962</v>
      </c>
      <c r="R129" s="51" t="n">
        <v>200</v>
      </c>
      <c r="S129" s="51" t="n">
        <v>1</v>
      </c>
      <c r="T129" s="51" t="n">
        <v>5</v>
      </c>
      <c r="U129" s="51" t="n">
        <v>59.041095890411</v>
      </c>
      <c r="V129" s="51" t="n">
        <v>2.29951690821256</v>
      </c>
      <c r="W129" s="51" t="n">
        <v>500</v>
      </c>
      <c r="X129" s="51" t="n">
        <v>0.15</v>
      </c>
    </row>
    <row r="130">
      <c r="A130" s="51" t="inlineStr">
        <is>
          <t>Oatmeal</t>
        </is>
      </c>
      <c r="B130" s="51" t="n">
        <v>40.1</v>
      </c>
      <c r="C130" s="51" t="n">
        <v>25.1</v>
      </c>
      <c r="D130" s="51" t="n">
        <v>26.1</v>
      </c>
      <c r="E130" s="51" t="n">
        <v>76.09999999999999</v>
      </c>
      <c r="F130" s="51" t="n">
        <v>6.1</v>
      </c>
      <c r="G130" s="51" t="n">
        <v>16.1</v>
      </c>
      <c r="H130" s="51" t="n">
        <v>48.17</v>
      </c>
      <c r="I130" s="51" t="n">
        <v>45.55</v>
      </c>
      <c r="J130" s="51" t="n">
        <v>6.23</v>
      </c>
      <c r="K130" s="51" t="n">
        <v>4</v>
      </c>
      <c r="L130" s="51" t="n">
        <v>7</v>
      </c>
      <c r="M130" s="51" t="n">
        <v>1</v>
      </c>
      <c r="N130" s="51" t="n">
        <v>0</v>
      </c>
      <c r="O130" s="51" t="n">
        <v>4</v>
      </c>
      <c r="P130" s="51" t="n">
        <v>12</v>
      </c>
      <c r="Q130" s="51" t="n">
        <v>5.31847133757962</v>
      </c>
      <c r="R130" s="51" t="n">
        <v>200</v>
      </c>
      <c r="S130" s="51" t="n">
        <v>1</v>
      </c>
      <c r="T130" s="51" t="n">
        <v>5</v>
      </c>
      <c r="U130" s="51" t="n">
        <v>59.041095890411</v>
      </c>
      <c r="V130" s="51" t="n">
        <v>2.29951690821256</v>
      </c>
      <c r="W130" s="51" t="n">
        <v>900</v>
      </c>
      <c r="X130" s="51" t="n">
        <v>0.05</v>
      </c>
    </row>
    <row r="131">
      <c r="A131" s="51" t="inlineStr">
        <is>
          <t>Olive Shells</t>
        </is>
      </c>
      <c r="B131" s="51" t="n">
        <v>53.5</v>
      </c>
      <c r="C131" s="51" t="n">
        <v>22.3</v>
      </c>
      <c r="D131" s="51" t="n">
        <v>22.5</v>
      </c>
      <c r="E131" s="51" t="n">
        <v>89.3</v>
      </c>
      <c r="F131" s="51" t="n">
        <v>0.6</v>
      </c>
      <c r="G131" s="51" t="n">
        <v>10</v>
      </c>
      <c r="H131" s="51" t="n">
        <v>49.5</v>
      </c>
      <c r="I131" s="51" t="n">
        <v>40.7</v>
      </c>
      <c r="J131" s="51" t="n">
        <v>6.4</v>
      </c>
      <c r="K131" s="51" t="n">
        <v>4</v>
      </c>
      <c r="L131" s="51" t="n">
        <v>5</v>
      </c>
      <c r="M131" s="51" t="n">
        <v>0</v>
      </c>
      <c r="N131" s="51" t="n">
        <v>1</v>
      </c>
      <c r="O131" s="51" t="n">
        <v>4</v>
      </c>
      <c r="P131" s="51" t="n">
        <v>120</v>
      </c>
      <c r="Q131" s="51" t="n">
        <v>5</v>
      </c>
      <c r="R131" s="51" t="n">
        <v>1300</v>
      </c>
      <c r="S131" s="51" t="n">
        <v>0</v>
      </c>
      <c r="T131" s="51" t="n">
        <v>5</v>
      </c>
      <c r="U131" s="51" t="n">
        <v>0</v>
      </c>
      <c r="V131" s="51" t="n">
        <v>0</v>
      </c>
      <c r="W131" s="51" t="n">
        <v>0</v>
      </c>
      <c r="X131" s="51" t="n">
        <v>0.022</v>
      </c>
    </row>
    <row r="132">
      <c r="A132" s="51" t="inlineStr">
        <is>
          <t>Olive Shells</t>
        </is>
      </c>
      <c r="B132" s="51" t="n">
        <v>53.5</v>
      </c>
      <c r="C132" s="51" t="n">
        <v>22.3</v>
      </c>
      <c r="D132" s="51" t="n">
        <v>22.5</v>
      </c>
      <c r="E132" s="51" t="n">
        <v>89.3</v>
      </c>
      <c r="F132" s="51" t="n">
        <v>0.6</v>
      </c>
      <c r="G132" s="51" t="n">
        <v>10</v>
      </c>
      <c r="H132" s="51" t="n">
        <v>49.5</v>
      </c>
      <c r="I132" s="51" t="n">
        <v>40.7</v>
      </c>
      <c r="J132" s="51" t="n">
        <v>6.4</v>
      </c>
      <c r="K132" s="51" t="n">
        <v>4</v>
      </c>
      <c r="L132" s="51" t="n">
        <v>5</v>
      </c>
      <c r="M132" s="51" t="n">
        <v>0</v>
      </c>
      <c r="N132" s="51" t="n">
        <v>1</v>
      </c>
      <c r="O132" s="51" t="n">
        <v>4</v>
      </c>
      <c r="P132" s="51" t="n">
        <v>120</v>
      </c>
      <c r="Q132" s="51" t="n">
        <v>5</v>
      </c>
      <c r="R132" s="51" t="n">
        <v>1200</v>
      </c>
      <c r="S132" s="51" t="n">
        <v>0</v>
      </c>
      <c r="T132" s="51" t="n">
        <v>5</v>
      </c>
      <c r="U132" s="51" t="n">
        <v>0</v>
      </c>
      <c r="V132" s="51" t="n">
        <v>0</v>
      </c>
      <c r="W132" s="51" t="n">
        <v>0</v>
      </c>
      <c r="X132" s="51" t="n">
        <v>0.031</v>
      </c>
    </row>
    <row r="133">
      <c r="A133" s="51" t="inlineStr">
        <is>
          <t>Olive Shells</t>
        </is>
      </c>
      <c r="B133" s="51" t="n">
        <v>53.5</v>
      </c>
      <c r="C133" s="51" t="n">
        <v>22.3</v>
      </c>
      <c r="D133" s="51" t="n">
        <v>22.5</v>
      </c>
      <c r="E133" s="51" t="n">
        <v>89.3</v>
      </c>
      <c r="F133" s="51" t="n">
        <v>0.6</v>
      </c>
      <c r="G133" s="51" t="n">
        <v>10</v>
      </c>
      <c r="H133" s="51" t="n">
        <v>49.5</v>
      </c>
      <c r="I133" s="51" t="n">
        <v>40.7</v>
      </c>
      <c r="J133" s="51" t="n">
        <v>6.4</v>
      </c>
      <c r="K133" s="51" t="n">
        <v>4</v>
      </c>
      <c r="L133" s="51" t="n">
        <v>5</v>
      </c>
      <c r="M133" s="51" t="n">
        <v>0</v>
      </c>
      <c r="N133" s="51" t="n">
        <v>1</v>
      </c>
      <c r="O133" s="51" t="n">
        <v>4</v>
      </c>
      <c r="P133" s="51" t="n">
        <v>120</v>
      </c>
      <c r="Q133" s="51" t="n">
        <v>5</v>
      </c>
      <c r="R133" s="51" t="n">
        <v>1400</v>
      </c>
      <c r="S133" s="51" t="n">
        <v>0</v>
      </c>
      <c r="T133" s="51" t="n">
        <v>5</v>
      </c>
      <c r="U133" s="51" t="n">
        <v>0</v>
      </c>
      <c r="V133" s="51" t="n">
        <v>0</v>
      </c>
      <c r="W133" s="51" t="n">
        <v>0</v>
      </c>
      <c r="X133" s="51" t="n">
        <v>0.015</v>
      </c>
    </row>
    <row r="134">
      <c r="A134" s="51" t="inlineStr">
        <is>
          <t>Olive stone</t>
        </is>
      </c>
      <c r="B134" s="51" t="n">
        <v>53.5</v>
      </c>
      <c r="C134" s="51" t="n">
        <v>22.3</v>
      </c>
      <c r="D134" s="51" t="n">
        <v>22.5</v>
      </c>
      <c r="E134" s="51" t="n">
        <v>89.3</v>
      </c>
      <c r="F134" s="51" t="n">
        <v>0.6</v>
      </c>
      <c r="G134" s="51" t="n">
        <v>10</v>
      </c>
      <c r="H134" s="51" t="n">
        <v>49.5</v>
      </c>
      <c r="I134" s="51" t="n">
        <v>40.7</v>
      </c>
      <c r="J134" s="51" t="n">
        <v>6.4</v>
      </c>
      <c r="K134" s="51" t="n">
        <v>4</v>
      </c>
      <c r="L134" s="51" t="n">
        <v>5</v>
      </c>
      <c r="M134" s="51" t="n">
        <v>0</v>
      </c>
      <c r="N134" s="51" t="n">
        <v>1</v>
      </c>
      <c r="O134" s="51" t="n">
        <v>4</v>
      </c>
      <c r="P134" s="51" t="n">
        <v>203.025773195876</v>
      </c>
      <c r="Q134" s="51" t="n">
        <v>5.31847133757962</v>
      </c>
      <c r="R134" s="51" t="n">
        <v>800</v>
      </c>
      <c r="S134" s="51" t="n">
        <v>0</v>
      </c>
      <c r="T134" s="51" t="n">
        <v>5</v>
      </c>
      <c r="U134" s="51" t="n">
        <v>0</v>
      </c>
      <c r="V134" s="51" t="n">
        <v>0</v>
      </c>
      <c r="W134" s="51" t="n">
        <v>0</v>
      </c>
      <c r="X134" s="51" t="n">
        <v>0.177</v>
      </c>
    </row>
    <row r="135">
      <c r="A135" s="51" t="inlineStr">
        <is>
          <t>Olive stone</t>
        </is>
      </c>
      <c r="B135" s="51" t="n">
        <v>53.5</v>
      </c>
      <c r="C135" s="51" t="n">
        <v>22.3</v>
      </c>
      <c r="D135" s="51" t="n">
        <v>22.5</v>
      </c>
      <c r="E135" s="51" t="n">
        <v>89.3</v>
      </c>
      <c r="F135" s="51" t="n">
        <v>0.6</v>
      </c>
      <c r="G135" s="51" t="n">
        <v>10</v>
      </c>
      <c r="H135" s="51" t="n">
        <v>49.5</v>
      </c>
      <c r="I135" s="51" t="n">
        <v>40.7</v>
      </c>
      <c r="J135" s="51" t="n">
        <v>6.4</v>
      </c>
      <c r="K135" s="51" t="n">
        <v>4</v>
      </c>
      <c r="L135" s="51" t="n">
        <v>5</v>
      </c>
      <c r="M135" s="51" t="n">
        <v>0</v>
      </c>
      <c r="N135" s="51" t="n">
        <v>1</v>
      </c>
      <c r="O135" s="51" t="n">
        <v>4</v>
      </c>
      <c r="P135" s="51" t="n">
        <v>203.025773195876</v>
      </c>
      <c r="Q135" s="51" t="n">
        <v>5.31847133757962</v>
      </c>
      <c r="R135" s="51" t="n">
        <v>1000</v>
      </c>
      <c r="S135" s="51" t="n">
        <v>0</v>
      </c>
      <c r="T135" s="51" t="n">
        <v>5</v>
      </c>
      <c r="U135" s="51" t="n">
        <v>0</v>
      </c>
      <c r="V135" s="51" t="n">
        <v>0</v>
      </c>
      <c r="W135" s="51" t="n">
        <v>0</v>
      </c>
      <c r="X135" s="51" t="n">
        <v>0.063</v>
      </c>
    </row>
    <row r="136">
      <c r="A136" s="51" t="inlineStr">
        <is>
          <t>Olive stone</t>
        </is>
      </c>
      <c r="B136" s="51" t="n">
        <v>53.5</v>
      </c>
      <c r="C136" s="51" t="n">
        <v>22.3</v>
      </c>
      <c r="D136" s="51" t="n">
        <v>22.5</v>
      </c>
      <c r="E136" s="51" t="n">
        <v>89.3</v>
      </c>
      <c r="F136" s="51" t="n">
        <v>0.6</v>
      </c>
      <c r="G136" s="51" t="n">
        <v>10</v>
      </c>
      <c r="H136" s="51" t="n">
        <v>49.5</v>
      </c>
      <c r="I136" s="51" t="n">
        <v>40.7</v>
      </c>
      <c r="J136" s="51" t="n">
        <v>6.4</v>
      </c>
      <c r="K136" s="51" t="n">
        <v>4</v>
      </c>
      <c r="L136" s="51" t="n">
        <v>5</v>
      </c>
      <c r="M136" s="51" t="n">
        <v>0</v>
      </c>
      <c r="N136" s="51" t="n">
        <v>1</v>
      </c>
      <c r="O136" s="51" t="n">
        <v>4</v>
      </c>
      <c r="P136" s="51" t="n">
        <v>203.025773195876</v>
      </c>
      <c r="Q136" s="51" t="n">
        <v>5.31847133757962</v>
      </c>
      <c r="R136" s="51" t="n">
        <v>1400</v>
      </c>
      <c r="S136" s="51" t="n">
        <v>0</v>
      </c>
      <c r="T136" s="51" t="n">
        <v>5</v>
      </c>
      <c r="U136" s="51" t="n">
        <v>0</v>
      </c>
      <c r="V136" s="51" t="n">
        <v>0</v>
      </c>
      <c r="W136" s="51" t="n">
        <v>0</v>
      </c>
      <c r="X136" s="51" t="n">
        <v>0.0091</v>
      </c>
    </row>
    <row r="137">
      <c r="A137" s="51" t="inlineStr">
        <is>
          <t>Olive stone</t>
        </is>
      </c>
      <c r="B137" s="51" t="n">
        <v>53.5</v>
      </c>
      <c r="C137" s="51" t="n">
        <v>22.3</v>
      </c>
      <c r="D137" s="51" t="n">
        <v>22.5</v>
      </c>
      <c r="E137" s="51" t="n">
        <v>89.3</v>
      </c>
      <c r="F137" s="51" t="n">
        <v>0.6</v>
      </c>
      <c r="G137" s="51" t="n">
        <v>10</v>
      </c>
      <c r="H137" s="51" t="n">
        <v>49.5</v>
      </c>
      <c r="I137" s="51" t="n">
        <v>40.7</v>
      </c>
      <c r="J137" s="51" t="n">
        <v>6.4</v>
      </c>
      <c r="K137" s="51" t="n">
        <v>4</v>
      </c>
      <c r="L137" s="51" t="n">
        <v>5</v>
      </c>
      <c r="M137" s="51" t="n">
        <v>0</v>
      </c>
      <c r="N137" s="51" t="n">
        <v>1</v>
      </c>
      <c r="O137" s="51" t="n">
        <v>4</v>
      </c>
      <c r="P137" s="51" t="n">
        <v>203.025773195876</v>
      </c>
      <c r="Q137" s="51" t="n">
        <v>5.31847133757962</v>
      </c>
      <c r="R137" s="51" t="n">
        <v>1600</v>
      </c>
      <c r="S137" s="51" t="n">
        <v>0</v>
      </c>
      <c r="T137" s="51" t="n">
        <v>5</v>
      </c>
      <c r="U137" s="51" t="n">
        <v>0</v>
      </c>
      <c r="V137" s="51" t="n">
        <v>0</v>
      </c>
      <c r="W137" s="51" t="n">
        <v>0</v>
      </c>
      <c r="X137" s="51" t="n">
        <v>0.0107</v>
      </c>
    </row>
    <row r="138">
      <c r="A138" s="51" t="inlineStr">
        <is>
          <t>Olive stone</t>
        </is>
      </c>
      <c r="B138" s="51" t="n">
        <v>53.5</v>
      </c>
      <c r="C138" s="51" t="n">
        <v>22.3</v>
      </c>
      <c r="D138" s="51" t="n">
        <v>22.5</v>
      </c>
      <c r="E138" s="51" t="n">
        <v>89.3</v>
      </c>
      <c r="F138" s="51" t="n">
        <v>0.6</v>
      </c>
      <c r="G138" s="51" t="n">
        <v>10</v>
      </c>
      <c r="H138" s="51" t="n">
        <v>49.5</v>
      </c>
      <c r="I138" s="51" t="n">
        <v>40.7</v>
      </c>
      <c r="J138" s="51" t="n">
        <v>6.4</v>
      </c>
      <c r="K138" s="51" t="n">
        <v>4</v>
      </c>
      <c r="L138" s="51" t="n">
        <v>5</v>
      </c>
      <c r="M138" s="51" t="n">
        <v>0</v>
      </c>
      <c r="N138" s="51" t="n">
        <v>1</v>
      </c>
      <c r="O138" s="51" t="n">
        <v>4</v>
      </c>
      <c r="P138" s="51" t="n">
        <v>203.025773195876</v>
      </c>
      <c r="Q138" s="51" t="n">
        <v>5.31847133757962</v>
      </c>
      <c r="R138" s="51" t="n">
        <v>2000</v>
      </c>
      <c r="S138" s="51" t="n">
        <v>0</v>
      </c>
      <c r="T138" s="51" t="n">
        <v>5</v>
      </c>
      <c r="U138" s="51" t="n">
        <v>0</v>
      </c>
      <c r="V138" s="51" t="n">
        <v>0</v>
      </c>
      <c r="W138" s="51" t="n">
        <v>0</v>
      </c>
      <c r="X138" s="51" t="n">
        <v>0.0135</v>
      </c>
    </row>
    <row r="139">
      <c r="A139" s="51" t="inlineStr">
        <is>
          <t>Olive stone</t>
        </is>
      </c>
      <c r="B139" s="51" t="n">
        <v>53.5</v>
      </c>
      <c r="C139" s="51" t="n">
        <v>22.3</v>
      </c>
      <c r="D139" s="51" t="n">
        <v>22.5</v>
      </c>
      <c r="E139" s="51" t="n">
        <v>89.3</v>
      </c>
      <c r="F139" s="51" t="n">
        <v>0.6</v>
      </c>
      <c r="G139" s="51" t="n">
        <v>10</v>
      </c>
      <c r="H139" s="51" t="n">
        <v>49.5</v>
      </c>
      <c r="I139" s="51" t="n">
        <v>40.7</v>
      </c>
      <c r="J139" s="51" t="n">
        <v>6.4</v>
      </c>
      <c r="K139" s="51" t="n">
        <v>4</v>
      </c>
      <c r="L139" s="51" t="n">
        <v>5</v>
      </c>
      <c r="M139" s="51" t="n">
        <v>0</v>
      </c>
      <c r="N139" s="51" t="n">
        <v>1</v>
      </c>
      <c r="O139" s="51" t="n">
        <v>4</v>
      </c>
      <c r="P139" s="51" t="n">
        <v>203.025773195876</v>
      </c>
      <c r="Q139" s="51" t="n">
        <v>5.31847133757962</v>
      </c>
      <c r="R139" s="51" t="n">
        <v>1200</v>
      </c>
      <c r="S139" s="51" t="n">
        <v>0</v>
      </c>
      <c r="T139" s="51" t="n">
        <v>5</v>
      </c>
      <c r="U139" s="51" t="n">
        <v>0</v>
      </c>
      <c r="V139" s="51" t="n">
        <v>0</v>
      </c>
      <c r="W139" s="51" t="n">
        <v>0</v>
      </c>
      <c r="X139" s="51" t="n">
        <v>0.049</v>
      </c>
    </row>
    <row r="140">
      <c r="A140" s="51" t="inlineStr">
        <is>
          <t>Paulownia wood</t>
        </is>
      </c>
      <c r="B140" s="51" t="n">
        <v>44.25</v>
      </c>
      <c r="C140" s="51" t="n">
        <v>24.8</v>
      </c>
      <c r="D140" s="51" t="n">
        <v>22.61</v>
      </c>
      <c r="E140" s="51" t="n">
        <v>71.8</v>
      </c>
      <c r="F140" s="51" t="n">
        <v>1.06</v>
      </c>
      <c r="G140" s="51" t="n">
        <v>20.6</v>
      </c>
      <c r="H140" s="51" t="n">
        <v>44.73</v>
      </c>
      <c r="I140" s="51" t="n">
        <v>48.28</v>
      </c>
      <c r="J140" s="51" t="n">
        <v>6.1</v>
      </c>
      <c r="K140" s="51" t="n">
        <v>1</v>
      </c>
      <c r="L140" s="51" t="n">
        <v>5</v>
      </c>
      <c r="M140" s="51" t="n">
        <v>1</v>
      </c>
      <c r="N140" s="51" t="n">
        <v>1</v>
      </c>
      <c r="O140" s="51" t="n">
        <v>4</v>
      </c>
      <c r="P140" s="51" t="n">
        <v>120</v>
      </c>
      <c r="Q140" s="51" t="n">
        <v>5</v>
      </c>
      <c r="R140" s="51" t="n">
        <v>600</v>
      </c>
      <c r="S140" s="51" t="n">
        <v>1</v>
      </c>
      <c r="T140" s="51" t="n">
        <v>5</v>
      </c>
      <c r="U140" s="51" t="n">
        <v>120</v>
      </c>
      <c r="V140" s="51" t="n">
        <v>5</v>
      </c>
      <c r="W140" s="51" t="n">
        <v>1000</v>
      </c>
      <c r="X140" s="51" t="n">
        <v>0.123</v>
      </c>
    </row>
    <row r="141">
      <c r="A141" s="51" t="inlineStr">
        <is>
          <t>Paulownia wood</t>
        </is>
      </c>
      <c r="B141" s="51" t="n">
        <v>44.25</v>
      </c>
      <c r="C141" s="51" t="n">
        <v>24.8</v>
      </c>
      <c r="D141" s="51" t="n">
        <v>22.61</v>
      </c>
      <c r="E141" s="51" t="n">
        <v>71.8</v>
      </c>
      <c r="F141" s="51" t="n">
        <v>1.06</v>
      </c>
      <c r="G141" s="51" t="n">
        <v>20.6</v>
      </c>
      <c r="H141" s="51" t="n">
        <v>44.73</v>
      </c>
      <c r="I141" s="51" t="n">
        <v>48.28</v>
      </c>
      <c r="J141" s="51" t="n">
        <v>6.1</v>
      </c>
      <c r="K141" s="51" t="n">
        <v>1</v>
      </c>
      <c r="L141" s="51" t="n">
        <v>5</v>
      </c>
      <c r="M141" s="51" t="n">
        <v>1</v>
      </c>
      <c r="N141" s="51" t="n">
        <v>1</v>
      </c>
      <c r="O141" s="51" t="n">
        <v>4</v>
      </c>
      <c r="P141" s="51" t="n">
        <v>120</v>
      </c>
      <c r="Q141" s="51" t="n">
        <v>5</v>
      </c>
      <c r="R141" s="51" t="n">
        <v>600</v>
      </c>
      <c r="S141" s="51" t="n">
        <v>1</v>
      </c>
      <c r="T141" s="51" t="n">
        <v>5</v>
      </c>
      <c r="U141" s="51" t="n">
        <v>120</v>
      </c>
      <c r="V141" s="51" t="n">
        <v>5</v>
      </c>
      <c r="W141" s="51" t="n">
        <v>1200</v>
      </c>
      <c r="X141" s="51" t="n">
        <v>0.016</v>
      </c>
    </row>
    <row r="142">
      <c r="A142" s="51" t="inlineStr">
        <is>
          <t>Paulownia wood</t>
        </is>
      </c>
      <c r="B142" s="51" t="n">
        <v>44.25</v>
      </c>
      <c r="C142" s="51" t="n">
        <v>24.8</v>
      </c>
      <c r="D142" s="51" t="n">
        <v>22.61</v>
      </c>
      <c r="E142" s="51" t="n">
        <v>71.8</v>
      </c>
      <c r="F142" s="51" t="n">
        <v>1.06</v>
      </c>
      <c r="G142" s="51" t="n">
        <v>20.6</v>
      </c>
      <c r="H142" s="51" t="n">
        <v>44.73</v>
      </c>
      <c r="I142" s="51" t="n">
        <v>48.28</v>
      </c>
      <c r="J142" s="51" t="n">
        <v>6.1</v>
      </c>
      <c r="K142" s="51" t="n">
        <v>1</v>
      </c>
      <c r="L142" s="51" t="n">
        <v>5</v>
      </c>
      <c r="M142" s="51" t="n">
        <v>1</v>
      </c>
      <c r="N142" s="51" t="n">
        <v>1</v>
      </c>
      <c r="O142" s="51" t="n">
        <v>4</v>
      </c>
      <c r="P142" s="51" t="n">
        <v>120</v>
      </c>
      <c r="Q142" s="51" t="n">
        <v>5</v>
      </c>
      <c r="R142" s="51" t="n">
        <v>600</v>
      </c>
      <c r="S142" s="51" t="n">
        <v>1</v>
      </c>
      <c r="T142" s="51" t="n">
        <v>5</v>
      </c>
      <c r="U142" s="51" t="n">
        <v>120</v>
      </c>
      <c r="V142" s="51" t="n">
        <v>5</v>
      </c>
      <c r="W142" s="51" t="n">
        <v>1400</v>
      </c>
      <c r="X142" s="51" t="n">
        <v>0.01</v>
      </c>
    </row>
    <row r="143">
      <c r="A143" s="51" t="inlineStr">
        <is>
          <t>Peanut skin</t>
        </is>
      </c>
      <c r="B143" s="51" t="n">
        <v>30</v>
      </c>
      <c r="C143" s="51" t="n">
        <v>20</v>
      </c>
      <c r="D143" s="51" t="n">
        <v>32</v>
      </c>
      <c r="E143" s="51" t="n">
        <v>77.3537993726442</v>
      </c>
      <c r="F143" s="51" t="n">
        <v>3.27902428678273</v>
      </c>
      <c r="G143" s="51" t="n">
        <v>15.2615332636271</v>
      </c>
      <c r="H143" s="51" t="n">
        <v>44.506272442111</v>
      </c>
      <c r="I143" s="51" t="n">
        <v>47.3301034802248</v>
      </c>
      <c r="J143" s="51" t="n">
        <v>5.76776304107581</v>
      </c>
      <c r="K143" s="51" t="n">
        <v>4</v>
      </c>
      <c r="L143" s="51" t="n">
        <v>1</v>
      </c>
      <c r="M143" s="51" t="n">
        <v>1</v>
      </c>
      <c r="N143" s="51" t="n">
        <v>0</v>
      </c>
      <c r="O143" s="51" t="n">
        <v>0</v>
      </c>
      <c r="P143" s="51" t="n">
        <v>1440</v>
      </c>
      <c r="Q143" s="51" t="n">
        <v>5.31847133757962</v>
      </c>
      <c r="R143" s="51" t="n">
        <v>180</v>
      </c>
      <c r="S143" s="51" t="n">
        <v>1</v>
      </c>
      <c r="T143" s="51" t="n">
        <v>8</v>
      </c>
      <c r="U143" s="51" t="n">
        <v>59.041095890411</v>
      </c>
      <c r="V143" s="51" t="n">
        <v>2.29951690821256</v>
      </c>
      <c r="W143" s="51" t="n">
        <v>800</v>
      </c>
      <c r="X143" s="51" t="n">
        <v>1.28</v>
      </c>
    </row>
    <row r="144">
      <c r="A144" s="51" t="inlineStr">
        <is>
          <t>Peanut skin</t>
        </is>
      </c>
      <c r="B144" s="51" t="n">
        <v>30</v>
      </c>
      <c r="C144" s="51" t="n">
        <v>20</v>
      </c>
      <c r="D144" s="51" t="n">
        <v>32</v>
      </c>
      <c r="E144" s="51" t="n">
        <v>77.3537993735514</v>
      </c>
      <c r="F144" s="51" t="n">
        <v>3.27902428671859</v>
      </c>
      <c r="G144" s="51" t="n">
        <v>15.2615332637279</v>
      </c>
      <c r="H144" s="51" t="n">
        <v>44.5062724425234</v>
      </c>
      <c r="I144" s="51" t="n">
        <v>47.3301034795743</v>
      </c>
      <c r="J144" s="51" t="n">
        <v>5.76776304106023</v>
      </c>
      <c r="K144" s="51" t="n">
        <v>4</v>
      </c>
      <c r="L144" s="51" t="n">
        <v>1</v>
      </c>
      <c r="M144" s="51" t="n">
        <v>1</v>
      </c>
      <c r="N144" s="51" t="n">
        <v>0</v>
      </c>
      <c r="O144" s="51" t="n">
        <v>0</v>
      </c>
      <c r="P144" s="51" t="n">
        <v>1440</v>
      </c>
      <c r="Q144" s="51" t="n">
        <v>5.31847133757962</v>
      </c>
      <c r="R144" s="51" t="n">
        <v>180</v>
      </c>
      <c r="S144" s="51" t="n">
        <v>1</v>
      </c>
      <c r="T144" s="51" t="n">
        <v>8</v>
      </c>
      <c r="U144" s="51" t="n">
        <v>59.041095890411</v>
      </c>
      <c r="V144" s="51" t="n">
        <v>2.29951690821256</v>
      </c>
      <c r="W144" s="51" t="n">
        <v>800</v>
      </c>
      <c r="X144" s="51" t="n">
        <v>1.69</v>
      </c>
    </row>
    <row r="145">
      <c r="A145" s="51" t="inlineStr">
        <is>
          <t>Peanut skin</t>
        </is>
      </c>
      <c r="B145" s="51" t="n">
        <v>30</v>
      </c>
      <c r="C145" s="51" t="n">
        <v>20</v>
      </c>
      <c r="D145" s="51" t="n">
        <v>32</v>
      </c>
      <c r="E145" s="51" t="n">
        <v>77.3537993736269</v>
      </c>
      <c r="F145" s="51" t="n">
        <v>3.27902428671325</v>
      </c>
      <c r="G145" s="51" t="n">
        <v>15.2615332637363</v>
      </c>
      <c r="H145" s="51" t="n">
        <v>44.5062724425577</v>
      </c>
      <c r="I145" s="51" t="n">
        <v>47.3301034795201</v>
      </c>
      <c r="J145" s="51" t="n">
        <v>5.76776304105893</v>
      </c>
      <c r="K145" s="51" t="n">
        <v>4</v>
      </c>
      <c r="L145" s="51" t="n">
        <v>1</v>
      </c>
      <c r="M145" s="51" t="n">
        <v>1</v>
      </c>
      <c r="N145" s="51" t="n">
        <v>1</v>
      </c>
      <c r="O145" s="51" t="n">
        <v>3</v>
      </c>
      <c r="P145" s="51" t="n">
        <v>1440</v>
      </c>
      <c r="Q145" s="51" t="n">
        <v>5.31847133757962</v>
      </c>
      <c r="R145" s="51" t="n">
        <v>180</v>
      </c>
      <c r="S145" s="51" t="n">
        <v>1</v>
      </c>
      <c r="T145" s="51" t="n">
        <v>8</v>
      </c>
      <c r="U145" s="51" t="n">
        <v>59.041095890411</v>
      </c>
      <c r="V145" s="51" t="n">
        <v>2.29951690821256</v>
      </c>
      <c r="W145" s="51" t="n">
        <v>800</v>
      </c>
      <c r="X145" s="51" t="n">
        <v>0.84</v>
      </c>
    </row>
    <row r="146">
      <c r="A146" s="51" t="inlineStr">
        <is>
          <t>Peanut skin</t>
        </is>
      </c>
      <c r="B146" s="51" t="n">
        <v>30</v>
      </c>
      <c r="C146" s="51" t="n">
        <v>20</v>
      </c>
      <c r="D146" s="51" t="n">
        <v>32</v>
      </c>
      <c r="E146" s="51" t="n">
        <v>77.3537993740789</v>
      </c>
      <c r="F146" s="51" t="n">
        <v>3.27902428668129</v>
      </c>
      <c r="G146" s="51" t="n">
        <v>15.2615332637865</v>
      </c>
      <c r="H146" s="51" t="n">
        <v>44.5062724427631</v>
      </c>
      <c r="I146" s="51" t="n">
        <v>47.330103479196</v>
      </c>
      <c r="J146" s="51" t="n">
        <v>5.76776304105117</v>
      </c>
      <c r="K146" s="51" t="n">
        <v>4</v>
      </c>
      <c r="L146" s="51" t="n">
        <v>1</v>
      </c>
      <c r="M146" s="51" t="n">
        <v>1</v>
      </c>
      <c r="N146" s="51" t="n">
        <v>1</v>
      </c>
      <c r="O146" s="51" t="n">
        <v>6</v>
      </c>
      <c r="P146" s="51" t="n">
        <v>1440</v>
      </c>
      <c r="Q146" s="51" t="n">
        <v>5.31847133757962</v>
      </c>
      <c r="R146" s="51" t="n">
        <v>180</v>
      </c>
      <c r="S146" s="51" t="n">
        <v>1</v>
      </c>
      <c r="T146" s="51" t="n">
        <v>8</v>
      </c>
      <c r="U146" s="51" t="n">
        <v>59.041095890411</v>
      </c>
      <c r="V146" s="51" t="n">
        <v>2.29951690821256</v>
      </c>
      <c r="W146" s="51" t="n">
        <v>800</v>
      </c>
      <c r="X146" s="51" t="n">
        <v>1.09</v>
      </c>
    </row>
    <row r="147">
      <c r="A147" s="51" t="inlineStr">
        <is>
          <t>Peat moss</t>
        </is>
      </c>
      <c r="B147" s="51" t="n">
        <v>55</v>
      </c>
      <c r="C147" s="51" t="n">
        <v>65</v>
      </c>
      <c r="D147" s="51" t="n">
        <v>3</v>
      </c>
      <c r="E147" s="51" t="n">
        <v>69.2</v>
      </c>
      <c r="F147" s="51" t="n">
        <v>5.16</v>
      </c>
      <c r="G147" s="51" t="n">
        <v>25.3</v>
      </c>
      <c r="H147" s="51" t="n">
        <v>53.6</v>
      </c>
      <c r="I147" s="51" t="n">
        <v>32.9</v>
      </c>
      <c r="J147" s="51" t="n">
        <v>5.7</v>
      </c>
      <c r="K147" s="51" t="n">
        <v>4</v>
      </c>
      <c r="L147" s="51" t="n">
        <v>2</v>
      </c>
      <c r="M147" s="51" t="n">
        <v>0</v>
      </c>
      <c r="N147" s="51" t="n">
        <v>1</v>
      </c>
      <c r="O147" s="51" t="n">
        <v>4</v>
      </c>
      <c r="P147" s="51" t="n">
        <v>60</v>
      </c>
      <c r="Q147" s="51" t="n">
        <v>5</v>
      </c>
      <c r="R147" s="51" t="n">
        <v>600</v>
      </c>
      <c r="S147" s="51" t="n">
        <v>0</v>
      </c>
      <c r="T147" s="51" t="n">
        <v>5</v>
      </c>
      <c r="U147" s="51" t="n">
        <v>0</v>
      </c>
      <c r="V147" s="51" t="n">
        <v>0</v>
      </c>
      <c r="W147" s="51" t="n">
        <v>0</v>
      </c>
      <c r="X147" s="51" t="n">
        <v>0.06900000000000001</v>
      </c>
    </row>
    <row r="148">
      <c r="A148" s="51" t="inlineStr">
        <is>
          <t>Peat moss</t>
        </is>
      </c>
      <c r="B148" s="51" t="n">
        <v>55</v>
      </c>
      <c r="C148" s="51" t="n">
        <v>65</v>
      </c>
      <c r="D148" s="51" t="n">
        <v>3</v>
      </c>
      <c r="E148" s="51" t="n">
        <v>69.2</v>
      </c>
      <c r="F148" s="51" t="n">
        <v>5.16</v>
      </c>
      <c r="G148" s="51" t="n">
        <v>25.3</v>
      </c>
      <c r="H148" s="51" t="n">
        <v>53.6</v>
      </c>
      <c r="I148" s="51" t="n">
        <v>32.9</v>
      </c>
      <c r="J148" s="51" t="n">
        <v>5.7</v>
      </c>
      <c r="K148" s="51" t="n">
        <v>4</v>
      </c>
      <c r="L148" s="51" t="n">
        <v>2</v>
      </c>
      <c r="M148" s="51" t="n">
        <v>1</v>
      </c>
      <c r="N148" s="51" t="n">
        <v>1</v>
      </c>
      <c r="O148" s="51" t="n">
        <v>4</v>
      </c>
      <c r="P148" s="51" t="n">
        <v>60</v>
      </c>
      <c r="Q148" s="51" t="n">
        <v>5</v>
      </c>
      <c r="R148" s="51" t="n">
        <v>600</v>
      </c>
      <c r="S148" s="51" t="n">
        <v>1</v>
      </c>
      <c r="T148" s="51" t="n">
        <v>6</v>
      </c>
      <c r="U148" s="51" t="n">
        <v>3</v>
      </c>
      <c r="V148" s="51" t="n">
        <v>5</v>
      </c>
      <c r="W148" s="51" t="n">
        <v>300</v>
      </c>
      <c r="X148" s="51" t="n">
        <v>0.26</v>
      </c>
    </row>
    <row r="149">
      <c r="A149" s="51" t="inlineStr">
        <is>
          <t>Peat moss</t>
        </is>
      </c>
      <c r="B149" s="51" t="n">
        <v>55</v>
      </c>
      <c r="C149" s="51" t="n">
        <v>65</v>
      </c>
      <c r="D149" s="51" t="n">
        <v>3</v>
      </c>
      <c r="E149" s="51" t="n">
        <v>69.2</v>
      </c>
      <c r="F149" s="51" t="n">
        <v>5.16</v>
      </c>
      <c r="G149" s="51" t="n">
        <v>25.3</v>
      </c>
      <c r="H149" s="51" t="n">
        <v>53.6</v>
      </c>
      <c r="I149" s="51" t="n">
        <v>32.9</v>
      </c>
      <c r="J149" s="51" t="n">
        <v>5.7</v>
      </c>
      <c r="K149" s="51" t="n">
        <v>4</v>
      </c>
      <c r="L149" s="51" t="n">
        <v>2</v>
      </c>
      <c r="M149" s="51" t="n">
        <v>0</v>
      </c>
      <c r="N149" s="51" t="n">
        <v>1</v>
      </c>
      <c r="O149" s="51" t="n">
        <v>4</v>
      </c>
      <c r="P149" s="51" t="n">
        <v>60</v>
      </c>
      <c r="Q149" s="51" t="n">
        <v>5</v>
      </c>
      <c r="R149" s="51" t="n">
        <v>900</v>
      </c>
      <c r="S149" s="51" t="n">
        <v>0</v>
      </c>
      <c r="T149" s="51" t="n">
        <v>5</v>
      </c>
      <c r="U149" s="51" t="n">
        <v>0</v>
      </c>
      <c r="V149" s="51" t="n">
        <v>0</v>
      </c>
      <c r="W149" s="51" t="n">
        <v>0</v>
      </c>
      <c r="X149" s="51" t="n">
        <v>0.059</v>
      </c>
    </row>
    <row r="150">
      <c r="A150" s="51" t="inlineStr">
        <is>
          <t>Peat moss</t>
        </is>
      </c>
      <c r="B150" s="51" t="n">
        <v>55</v>
      </c>
      <c r="C150" s="51" t="n">
        <v>65</v>
      </c>
      <c r="D150" s="51" t="n">
        <v>3</v>
      </c>
      <c r="E150" s="51" t="n">
        <v>69.2</v>
      </c>
      <c r="F150" s="51" t="n">
        <v>5.16</v>
      </c>
      <c r="G150" s="51" t="n">
        <v>25.3</v>
      </c>
      <c r="H150" s="51" t="n">
        <v>53.6</v>
      </c>
      <c r="I150" s="51" t="n">
        <v>32.9</v>
      </c>
      <c r="J150" s="51" t="n">
        <v>5.7</v>
      </c>
      <c r="K150" s="51" t="n">
        <v>4</v>
      </c>
      <c r="L150" s="51" t="n">
        <v>2</v>
      </c>
      <c r="M150" s="51" t="n">
        <v>0</v>
      </c>
      <c r="N150" s="51" t="n">
        <v>1</v>
      </c>
      <c r="O150" s="51" t="n">
        <v>4</v>
      </c>
      <c r="P150" s="51" t="n">
        <v>60</v>
      </c>
      <c r="Q150" s="51" t="n">
        <v>5</v>
      </c>
      <c r="R150" s="51" t="n">
        <v>1100</v>
      </c>
      <c r="S150" s="51" t="n">
        <v>0</v>
      </c>
      <c r="T150" s="51" t="n">
        <v>5</v>
      </c>
      <c r="U150" s="51" t="n">
        <v>0</v>
      </c>
      <c r="V150" s="51" t="n">
        <v>0</v>
      </c>
      <c r="W150" s="51" t="n">
        <v>0</v>
      </c>
      <c r="X150" s="51" t="n">
        <v>0.054</v>
      </c>
    </row>
    <row r="151">
      <c r="A151" s="51" t="inlineStr">
        <is>
          <t>Peat moss</t>
        </is>
      </c>
      <c r="B151" s="51" t="n">
        <v>55</v>
      </c>
      <c r="C151" s="51" t="n">
        <v>65</v>
      </c>
      <c r="D151" s="51" t="n">
        <v>3</v>
      </c>
      <c r="E151" s="51" t="n">
        <v>69.2</v>
      </c>
      <c r="F151" s="51" t="n">
        <v>5.16</v>
      </c>
      <c r="G151" s="51" t="n">
        <v>25.3</v>
      </c>
      <c r="H151" s="51" t="n">
        <v>53.6</v>
      </c>
      <c r="I151" s="51" t="n">
        <v>32.9</v>
      </c>
      <c r="J151" s="51" t="n">
        <v>5.7</v>
      </c>
      <c r="K151" s="51" t="n">
        <v>4</v>
      </c>
      <c r="L151" s="51" t="n">
        <v>2</v>
      </c>
      <c r="M151" s="51" t="n">
        <v>0</v>
      </c>
      <c r="N151" s="51" t="n">
        <v>1</v>
      </c>
      <c r="O151" s="51" t="n">
        <v>4</v>
      </c>
      <c r="P151" s="51" t="n">
        <v>60</v>
      </c>
      <c r="Q151" s="51" t="n">
        <v>5</v>
      </c>
      <c r="R151" s="51" t="n">
        <v>1400</v>
      </c>
      <c r="S151" s="51" t="n">
        <v>0</v>
      </c>
      <c r="T151" s="51" t="n">
        <v>5</v>
      </c>
      <c r="U151" s="51" t="n">
        <v>0</v>
      </c>
      <c r="V151" s="51" t="n">
        <v>0</v>
      </c>
      <c r="W151" s="51" t="n">
        <v>0</v>
      </c>
      <c r="X151" s="51" t="n">
        <v>0.052</v>
      </c>
    </row>
    <row r="152">
      <c r="A152" s="51" t="inlineStr">
        <is>
          <t>Peat moss</t>
        </is>
      </c>
      <c r="B152" s="51" t="n">
        <v>55</v>
      </c>
      <c r="C152" s="51" t="n">
        <v>65</v>
      </c>
      <c r="D152" s="51" t="n">
        <v>3</v>
      </c>
      <c r="E152" s="51" t="n">
        <v>69.2</v>
      </c>
      <c r="F152" s="51" t="n">
        <v>5.16</v>
      </c>
      <c r="G152" s="51" t="n">
        <v>25.3</v>
      </c>
      <c r="H152" s="51" t="n">
        <v>53.6</v>
      </c>
      <c r="I152" s="51" t="n">
        <v>32.9</v>
      </c>
      <c r="J152" s="51" t="n">
        <v>5.7</v>
      </c>
      <c r="K152" s="51" t="n">
        <v>4</v>
      </c>
      <c r="L152" s="51" t="n">
        <v>2</v>
      </c>
      <c r="M152" s="51" t="n">
        <v>1</v>
      </c>
      <c r="N152" s="51" t="n">
        <v>1</v>
      </c>
      <c r="O152" s="51" t="n">
        <v>4</v>
      </c>
      <c r="P152" s="51" t="n">
        <v>60</v>
      </c>
      <c r="Q152" s="51" t="n">
        <v>5</v>
      </c>
      <c r="R152" s="51" t="n">
        <v>900</v>
      </c>
      <c r="S152" s="51" t="n">
        <v>1</v>
      </c>
      <c r="T152" s="51" t="n">
        <v>6</v>
      </c>
      <c r="U152" s="51" t="n">
        <v>3</v>
      </c>
      <c r="V152" s="51" t="n">
        <v>5</v>
      </c>
      <c r="W152" s="51" t="n">
        <v>300</v>
      </c>
      <c r="X152" s="51" t="n">
        <v>0.21</v>
      </c>
    </row>
    <row r="153">
      <c r="A153" s="51" t="inlineStr">
        <is>
          <t>Peat moss</t>
        </is>
      </c>
      <c r="B153" s="51" t="n">
        <v>55</v>
      </c>
      <c r="C153" s="51" t="n">
        <v>65</v>
      </c>
      <c r="D153" s="51" t="n">
        <v>3</v>
      </c>
      <c r="E153" s="51" t="n">
        <v>69.2</v>
      </c>
      <c r="F153" s="51" t="n">
        <v>5.16</v>
      </c>
      <c r="G153" s="51" t="n">
        <v>25.3</v>
      </c>
      <c r="H153" s="51" t="n">
        <v>53.6</v>
      </c>
      <c r="I153" s="51" t="n">
        <v>32.9</v>
      </c>
      <c r="J153" s="51" t="n">
        <v>5.7</v>
      </c>
      <c r="K153" s="51" t="n">
        <v>4</v>
      </c>
      <c r="L153" s="51" t="n">
        <v>2</v>
      </c>
      <c r="M153" s="51" t="n">
        <v>1</v>
      </c>
      <c r="N153" s="51" t="n">
        <v>1</v>
      </c>
      <c r="O153" s="51" t="n">
        <v>4</v>
      </c>
      <c r="P153" s="51" t="n">
        <v>60</v>
      </c>
      <c r="Q153" s="51" t="n">
        <v>5</v>
      </c>
      <c r="R153" s="51" t="n">
        <v>1100</v>
      </c>
      <c r="S153" s="51" t="n">
        <v>1</v>
      </c>
      <c r="T153" s="51" t="n">
        <v>6</v>
      </c>
      <c r="U153" s="51" t="n">
        <v>3</v>
      </c>
      <c r="V153" s="51" t="n">
        <v>5</v>
      </c>
      <c r="W153" s="51" t="n">
        <v>300</v>
      </c>
      <c r="X153" s="51" t="n">
        <v>0.18</v>
      </c>
    </row>
    <row r="154">
      <c r="A154" s="51" t="inlineStr">
        <is>
          <t>Peat moss</t>
        </is>
      </c>
      <c r="B154" s="51" t="n">
        <v>55</v>
      </c>
      <c r="C154" s="51" t="n">
        <v>65</v>
      </c>
      <c r="D154" s="51" t="n">
        <v>3</v>
      </c>
      <c r="E154" s="51" t="n">
        <v>69.2</v>
      </c>
      <c r="F154" s="51" t="n">
        <v>5.16</v>
      </c>
      <c r="G154" s="51" t="n">
        <v>25.3</v>
      </c>
      <c r="H154" s="51" t="n">
        <v>53.6</v>
      </c>
      <c r="I154" s="51" t="n">
        <v>32.9</v>
      </c>
      <c r="J154" s="51" t="n">
        <v>5.7</v>
      </c>
      <c r="K154" s="51" t="n">
        <v>4</v>
      </c>
      <c r="L154" s="51" t="n">
        <v>2</v>
      </c>
      <c r="M154" s="51" t="n">
        <v>1</v>
      </c>
      <c r="N154" s="51" t="n">
        <v>1</v>
      </c>
      <c r="O154" s="51" t="n">
        <v>4</v>
      </c>
      <c r="P154" s="51" t="n">
        <v>60</v>
      </c>
      <c r="Q154" s="51" t="n">
        <v>5</v>
      </c>
      <c r="R154" s="51" t="n">
        <v>1400</v>
      </c>
      <c r="S154" s="51" t="n">
        <v>1</v>
      </c>
      <c r="T154" s="51" t="n">
        <v>6</v>
      </c>
      <c r="U154" s="51" t="n">
        <v>3</v>
      </c>
      <c r="V154" s="51" t="n">
        <v>5</v>
      </c>
      <c r="W154" s="51" t="n">
        <v>300</v>
      </c>
      <c r="X154" s="51" t="n">
        <v>0.12</v>
      </c>
    </row>
    <row r="155">
      <c r="A155" s="51" t="inlineStr">
        <is>
          <t>Pinecone</t>
        </is>
      </c>
      <c r="B155" s="51" t="n">
        <v>32.91</v>
      </c>
      <c r="C155" s="51" t="n">
        <v>22.92</v>
      </c>
      <c r="D155" s="51" t="n">
        <v>30</v>
      </c>
      <c r="E155" s="51" t="n">
        <v>80.34999999999999</v>
      </c>
      <c r="F155" s="51" t="n">
        <v>1.41</v>
      </c>
      <c r="G155" s="51" t="n">
        <v>10.27</v>
      </c>
      <c r="H155" s="51" t="n">
        <v>48.62</v>
      </c>
      <c r="I155" s="51" t="n">
        <v>38.45</v>
      </c>
      <c r="J155" s="51" t="n">
        <v>5.31</v>
      </c>
      <c r="K155" s="51" t="n">
        <v>6</v>
      </c>
      <c r="L155" s="51" t="n">
        <v>7</v>
      </c>
      <c r="M155" s="51" t="n">
        <v>1</v>
      </c>
      <c r="N155" s="51" t="n">
        <v>1</v>
      </c>
      <c r="O155" s="51" t="n">
        <v>1</v>
      </c>
      <c r="P155" s="51" t="n">
        <v>120</v>
      </c>
      <c r="Q155" s="51" t="n">
        <v>5.31847133757962</v>
      </c>
      <c r="R155" s="51" t="n">
        <v>500</v>
      </c>
      <c r="S155" s="51" t="n">
        <v>1</v>
      </c>
      <c r="T155" s="51" t="n">
        <v>0</v>
      </c>
      <c r="U155" s="51" t="n">
        <v>120</v>
      </c>
      <c r="V155" s="51" t="n">
        <v>5</v>
      </c>
      <c r="W155" s="51" t="n">
        <v>800</v>
      </c>
      <c r="X155" s="51" t="n">
        <v>0.29</v>
      </c>
    </row>
    <row r="156">
      <c r="A156" s="51" t="inlineStr">
        <is>
          <t>Pinecone</t>
        </is>
      </c>
      <c r="B156" s="51" t="n">
        <v>32.91</v>
      </c>
      <c r="C156" s="51" t="n">
        <v>22.92</v>
      </c>
      <c r="D156" s="51" t="n">
        <v>30</v>
      </c>
      <c r="E156" s="51" t="n">
        <v>80.34999999999999</v>
      </c>
      <c r="F156" s="51" t="n">
        <v>1.41</v>
      </c>
      <c r="G156" s="51" t="n">
        <v>10.27</v>
      </c>
      <c r="H156" s="51" t="n">
        <v>48.62</v>
      </c>
      <c r="I156" s="51" t="n">
        <v>38.45</v>
      </c>
      <c r="J156" s="51" t="n">
        <v>5.31</v>
      </c>
      <c r="K156" s="51" t="n">
        <v>6</v>
      </c>
      <c r="L156" s="51" t="n">
        <v>7</v>
      </c>
      <c r="M156" s="51" t="n">
        <v>1</v>
      </c>
      <c r="N156" s="51" t="n">
        <v>1</v>
      </c>
      <c r="O156" s="51" t="n">
        <v>1</v>
      </c>
      <c r="P156" s="51" t="n">
        <v>120</v>
      </c>
      <c r="Q156" s="51" t="n">
        <v>5.31847133757962</v>
      </c>
      <c r="R156" s="51" t="n">
        <v>500</v>
      </c>
      <c r="S156" s="51" t="n">
        <v>1</v>
      </c>
      <c r="T156" s="51" t="n">
        <v>0</v>
      </c>
      <c r="U156" s="51" t="n">
        <v>120</v>
      </c>
      <c r="V156" s="51" t="n">
        <v>5</v>
      </c>
      <c r="W156" s="51" t="n">
        <v>1000</v>
      </c>
      <c r="X156" s="51" t="n">
        <v>0.13</v>
      </c>
    </row>
    <row r="157">
      <c r="A157" s="51" t="inlineStr">
        <is>
          <t>Pinecone</t>
        </is>
      </c>
      <c r="B157" s="51" t="n">
        <v>32.91</v>
      </c>
      <c r="C157" s="51" t="n">
        <v>22.92</v>
      </c>
      <c r="D157" s="51" t="n">
        <v>30</v>
      </c>
      <c r="E157" s="51" t="n">
        <v>80.34999999999999</v>
      </c>
      <c r="F157" s="51" t="n">
        <v>1.41</v>
      </c>
      <c r="G157" s="51" t="n">
        <v>10.27</v>
      </c>
      <c r="H157" s="51" t="n">
        <v>48.62</v>
      </c>
      <c r="I157" s="51" t="n">
        <v>38.45</v>
      </c>
      <c r="J157" s="51" t="n">
        <v>5.31</v>
      </c>
      <c r="K157" s="51" t="n">
        <v>6</v>
      </c>
      <c r="L157" s="51" t="n">
        <v>7</v>
      </c>
      <c r="M157" s="51" t="n">
        <v>1</v>
      </c>
      <c r="N157" s="51" t="n">
        <v>1</v>
      </c>
      <c r="O157" s="51" t="n">
        <v>1</v>
      </c>
      <c r="P157" s="51" t="n">
        <v>120</v>
      </c>
      <c r="Q157" s="51" t="n">
        <v>5.31847133757962</v>
      </c>
      <c r="R157" s="51" t="n">
        <v>500</v>
      </c>
      <c r="S157" s="51" t="n">
        <v>1</v>
      </c>
      <c r="T157" s="51" t="n">
        <v>0</v>
      </c>
      <c r="U157" s="51" t="n">
        <v>120</v>
      </c>
      <c r="V157" s="51" t="n">
        <v>5</v>
      </c>
      <c r="W157" s="51" t="n">
        <v>1400</v>
      </c>
      <c r="X157" s="51" t="n">
        <v>0.03</v>
      </c>
    </row>
    <row r="158">
      <c r="A158" s="51" t="inlineStr">
        <is>
          <t>Pinecone</t>
        </is>
      </c>
      <c r="B158" s="51" t="n">
        <v>32.91</v>
      </c>
      <c r="C158" s="51" t="n">
        <v>22.92</v>
      </c>
      <c r="D158" s="51" t="n">
        <v>30</v>
      </c>
      <c r="E158" s="51" t="n">
        <v>80.34999999999999</v>
      </c>
      <c r="F158" s="51" t="n">
        <v>1.41</v>
      </c>
      <c r="G158" s="51" t="n">
        <v>10.27</v>
      </c>
      <c r="H158" s="51" t="n">
        <v>48.62</v>
      </c>
      <c r="I158" s="51" t="n">
        <v>38.45</v>
      </c>
      <c r="J158" s="51" t="n">
        <v>5.31</v>
      </c>
      <c r="K158" s="51" t="n">
        <v>6</v>
      </c>
      <c r="L158" s="51" t="n">
        <v>7</v>
      </c>
      <c r="M158" s="51" t="n">
        <v>1</v>
      </c>
      <c r="N158" s="51" t="n">
        <v>1</v>
      </c>
      <c r="O158" s="51" t="n">
        <v>1</v>
      </c>
      <c r="P158" s="51" t="n">
        <v>120</v>
      </c>
      <c r="Q158" s="51" t="n">
        <v>5.31847133757962</v>
      </c>
      <c r="R158" s="51" t="n">
        <v>500</v>
      </c>
      <c r="S158" s="51" t="n">
        <v>1</v>
      </c>
      <c r="T158" s="51" t="n">
        <v>0</v>
      </c>
      <c r="U158" s="51" t="n">
        <v>120</v>
      </c>
      <c r="V158" s="51" t="n">
        <v>5</v>
      </c>
      <c r="W158" s="51" t="n">
        <v>1600</v>
      </c>
      <c r="X158" s="51" t="n">
        <v>0.01</v>
      </c>
    </row>
    <row r="159">
      <c r="A159" s="51" t="inlineStr">
        <is>
          <t>Pinecone</t>
        </is>
      </c>
      <c r="B159" s="51" t="n">
        <v>32.91</v>
      </c>
      <c r="C159" s="51" t="n">
        <v>22.92</v>
      </c>
      <c r="D159" s="51" t="n">
        <v>30</v>
      </c>
      <c r="E159" s="51" t="n">
        <v>80.34999999999999</v>
      </c>
      <c r="F159" s="51" t="n">
        <v>1.41</v>
      </c>
      <c r="G159" s="51" t="n">
        <v>10.27</v>
      </c>
      <c r="H159" s="51" t="n">
        <v>48.62</v>
      </c>
      <c r="I159" s="51" t="n">
        <v>38.45</v>
      </c>
      <c r="J159" s="51" t="n">
        <v>5.31</v>
      </c>
      <c r="K159" s="51" t="n">
        <v>6</v>
      </c>
      <c r="L159" s="51" t="n">
        <v>7</v>
      </c>
      <c r="M159" s="51" t="n">
        <v>1</v>
      </c>
      <c r="N159" s="51" t="n">
        <v>1</v>
      </c>
      <c r="O159" s="51" t="n">
        <v>1</v>
      </c>
      <c r="P159" s="51" t="n">
        <v>120</v>
      </c>
      <c r="Q159" s="51" t="n">
        <v>5.31847133757962</v>
      </c>
      <c r="R159" s="51" t="n">
        <v>500</v>
      </c>
      <c r="S159" s="51" t="n">
        <v>1</v>
      </c>
      <c r="T159" s="51" t="n">
        <v>0</v>
      </c>
      <c r="U159" s="51" t="n">
        <v>120</v>
      </c>
      <c r="V159" s="51" t="n">
        <v>5</v>
      </c>
      <c r="W159" s="51" t="n">
        <v>500</v>
      </c>
      <c r="X159" s="51" t="n">
        <v>0.19</v>
      </c>
    </row>
    <row r="160">
      <c r="A160" s="51" t="inlineStr">
        <is>
          <t>Pinecone</t>
        </is>
      </c>
      <c r="B160" s="51" t="n">
        <v>32.91</v>
      </c>
      <c r="C160" s="51" t="n">
        <v>22.92</v>
      </c>
      <c r="D160" s="51" t="n">
        <v>30</v>
      </c>
      <c r="E160" s="51" t="n">
        <v>80.34999999999999</v>
      </c>
      <c r="F160" s="51" t="n">
        <v>1.41</v>
      </c>
      <c r="G160" s="51" t="n">
        <v>10.27</v>
      </c>
      <c r="H160" s="51" t="n">
        <v>48.62</v>
      </c>
      <c r="I160" s="51" t="n">
        <v>38.45</v>
      </c>
      <c r="J160" s="51" t="n">
        <v>5.31</v>
      </c>
      <c r="K160" s="51" t="n">
        <v>6</v>
      </c>
      <c r="L160" s="51" t="n">
        <v>7</v>
      </c>
      <c r="M160" s="51" t="n">
        <v>1</v>
      </c>
      <c r="N160" s="51" t="n">
        <v>1</v>
      </c>
      <c r="O160" s="51" t="n">
        <v>1</v>
      </c>
      <c r="P160" s="51" t="n">
        <v>120</v>
      </c>
      <c r="Q160" s="51" t="n">
        <v>5.31847133757962</v>
      </c>
      <c r="R160" s="51" t="n">
        <v>500</v>
      </c>
      <c r="S160" s="51" t="n">
        <v>1</v>
      </c>
      <c r="T160" s="51" t="n">
        <v>0</v>
      </c>
      <c r="U160" s="51" t="n">
        <v>120</v>
      </c>
      <c r="V160" s="51" t="n">
        <v>5</v>
      </c>
      <c r="W160" s="51" t="n">
        <v>850</v>
      </c>
      <c r="X160" s="51" t="n">
        <v>0.22</v>
      </c>
    </row>
    <row r="161">
      <c r="A161" s="51" t="inlineStr">
        <is>
          <t>Pinecone</t>
        </is>
      </c>
      <c r="B161" s="51" t="n">
        <v>32.91</v>
      </c>
      <c r="C161" s="51" t="n">
        <v>22.92</v>
      </c>
      <c r="D161" s="51" t="n">
        <v>30</v>
      </c>
      <c r="E161" s="51" t="n">
        <v>80.34999999999999</v>
      </c>
      <c r="F161" s="51" t="n">
        <v>1.41</v>
      </c>
      <c r="G161" s="51" t="n">
        <v>10.27</v>
      </c>
      <c r="H161" s="51" t="n">
        <v>48.62</v>
      </c>
      <c r="I161" s="51" t="n">
        <v>38.45</v>
      </c>
      <c r="J161" s="51" t="n">
        <v>5.31</v>
      </c>
      <c r="K161" s="51" t="n">
        <v>6</v>
      </c>
      <c r="L161" s="51" t="n">
        <v>7</v>
      </c>
      <c r="M161" s="51" t="n">
        <v>1</v>
      </c>
      <c r="N161" s="51" t="n">
        <v>1</v>
      </c>
      <c r="O161" s="51" t="n">
        <v>1</v>
      </c>
      <c r="P161" s="51" t="n">
        <v>120</v>
      </c>
      <c r="Q161" s="51" t="n">
        <v>5.31847133757962</v>
      </c>
      <c r="R161" s="51" t="n">
        <v>500</v>
      </c>
      <c r="S161" s="51" t="n">
        <v>1</v>
      </c>
      <c r="T161" s="51" t="n">
        <v>0</v>
      </c>
      <c r="U161" s="51" t="n">
        <v>120</v>
      </c>
      <c r="V161" s="51" t="n">
        <v>5</v>
      </c>
      <c r="W161" s="51" t="n">
        <v>900</v>
      </c>
      <c r="X161" s="51" t="n">
        <v>0.21</v>
      </c>
    </row>
    <row r="162">
      <c r="A162" s="51" t="inlineStr">
        <is>
          <t>Pinecone</t>
        </is>
      </c>
      <c r="B162" s="51" t="n">
        <v>32.91</v>
      </c>
      <c r="C162" s="51" t="n">
        <v>22.92</v>
      </c>
      <c r="D162" s="51" t="n">
        <v>30</v>
      </c>
      <c r="E162" s="51" t="n">
        <v>80.34999999999999</v>
      </c>
      <c r="F162" s="51" t="n">
        <v>1.41</v>
      </c>
      <c r="G162" s="51" t="n">
        <v>10.27</v>
      </c>
      <c r="H162" s="51" t="n">
        <v>48.62</v>
      </c>
      <c r="I162" s="51" t="n">
        <v>38.45</v>
      </c>
      <c r="J162" s="51" t="n">
        <v>5.31</v>
      </c>
      <c r="K162" s="51" t="n">
        <v>6</v>
      </c>
      <c r="L162" s="51" t="n">
        <v>7</v>
      </c>
      <c r="M162" s="51" t="n">
        <v>1</v>
      </c>
      <c r="N162" s="51" t="n">
        <v>1</v>
      </c>
      <c r="O162" s="51" t="n">
        <v>1</v>
      </c>
      <c r="P162" s="51" t="n">
        <v>120</v>
      </c>
      <c r="Q162" s="51" t="n">
        <v>5.31847133757962</v>
      </c>
      <c r="R162" s="51" t="n">
        <v>500</v>
      </c>
      <c r="S162" s="51" t="n">
        <v>1</v>
      </c>
      <c r="T162" s="51" t="n">
        <v>0</v>
      </c>
      <c r="U162" s="51" t="n">
        <v>120</v>
      </c>
      <c r="V162" s="51" t="n">
        <v>5</v>
      </c>
      <c r="W162" s="51" t="n">
        <v>1200</v>
      </c>
      <c r="X162" s="51" t="n">
        <v>0.05</v>
      </c>
    </row>
    <row r="163">
      <c r="A163" s="51" t="inlineStr">
        <is>
          <t>Pistachio shells</t>
        </is>
      </c>
      <c r="B163" s="51" t="n">
        <v>34.56</v>
      </c>
      <c r="C163" s="51" t="n">
        <v>10.33</v>
      </c>
      <c r="D163" s="51" t="n">
        <v>27.02</v>
      </c>
      <c r="E163" s="51" t="n">
        <v>89.31</v>
      </c>
      <c r="F163" s="51" t="n">
        <v>0.33</v>
      </c>
      <c r="G163" s="51" t="n">
        <v>5.46</v>
      </c>
      <c r="H163" s="51" t="n">
        <v>44.58</v>
      </c>
      <c r="I163" s="51" t="n">
        <v>43.75</v>
      </c>
      <c r="J163" s="51" t="n">
        <v>5.68</v>
      </c>
      <c r="K163" s="51" t="n">
        <v>5</v>
      </c>
      <c r="L163" s="51" t="n">
        <v>5</v>
      </c>
      <c r="M163" s="51" t="n">
        <v>1</v>
      </c>
      <c r="N163" s="51" t="n">
        <v>0</v>
      </c>
      <c r="O163" s="51" t="n">
        <v>6</v>
      </c>
      <c r="P163" s="51" t="n">
        <v>360</v>
      </c>
      <c r="Q163" s="51" t="n">
        <v>5.31847133757962</v>
      </c>
      <c r="R163" s="51" t="n">
        <v>165</v>
      </c>
      <c r="S163" s="51" t="n">
        <v>1</v>
      </c>
      <c r="T163" s="51" t="n">
        <v>5</v>
      </c>
      <c r="U163" s="51" t="n">
        <v>59.041095890411</v>
      </c>
      <c r="V163" s="51" t="n">
        <v>2.29951690821256</v>
      </c>
      <c r="W163" s="51" t="n">
        <v>800</v>
      </c>
      <c r="X163" s="51" t="n">
        <v>0.201</v>
      </c>
    </row>
    <row r="164">
      <c r="A164" s="51" t="inlineStr">
        <is>
          <t>Pistachio shells</t>
        </is>
      </c>
      <c r="B164" s="51" t="n">
        <v>34.56</v>
      </c>
      <c r="C164" s="51" t="n">
        <v>10.33</v>
      </c>
      <c r="D164" s="51" t="n">
        <v>27.02</v>
      </c>
      <c r="E164" s="51" t="n">
        <v>89.31</v>
      </c>
      <c r="F164" s="51" t="n">
        <v>0.33</v>
      </c>
      <c r="G164" s="51" t="n">
        <v>5.46</v>
      </c>
      <c r="H164" s="51" t="n">
        <v>44.58</v>
      </c>
      <c r="I164" s="51" t="n">
        <v>43.75</v>
      </c>
      <c r="J164" s="51" t="n">
        <v>5.68</v>
      </c>
      <c r="K164" s="51" t="n">
        <v>5</v>
      </c>
      <c r="L164" s="51" t="n">
        <v>5</v>
      </c>
      <c r="M164" s="51" t="n">
        <v>1</v>
      </c>
      <c r="N164" s="51" t="n">
        <v>0</v>
      </c>
      <c r="O164" s="51" t="n">
        <v>6</v>
      </c>
      <c r="P164" s="51" t="n">
        <v>360</v>
      </c>
      <c r="Q164" s="51" t="n">
        <v>5.31847133757962</v>
      </c>
      <c r="R164" s="51" t="n">
        <v>165</v>
      </c>
      <c r="S164" s="51" t="n">
        <v>1</v>
      </c>
      <c r="T164" s="51" t="n">
        <v>5</v>
      </c>
      <c r="U164" s="51" t="n">
        <v>59.041095890411</v>
      </c>
      <c r="V164" s="51" t="n">
        <v>2.29951690821256</v>
      </c>
      <c r="W164" s="51" t="n">
        <v>1000</v>
      </c>
      <c r="X164" s="51" t="n">
        <v>0.064</v>
      </c>
    </row>
    <row r="165">
      <c r="A165" s="51" t="inlineStr">
        <is>
          <t>Pistachio shells</t>
        </is>
      </c>
      <c r="B165" s="51" t="n">
        <v>34.56</v>
      </c>
      <c r="C165" s="51" t="n">
        <v>10.33</v>
      </c>
      <c r="D165" s="51" t="n">
        <v>27.02</v>
      </c>
      <c r="E165" s="51" t="n">
        <v>89.31</v>
      </c>
      <c r="F165" s="51" t="n">
        <v>0.33</v>
      </c>
      <c r="G165" s="51" t="n">
        <v>5.46</v>
      </c>
      <c r="H165" s="51" t="n">
        <v>44.58</v>
      </c>
      <c r="I165" s="51" t="n">
        <v>43.75</v>
      </c>
      <c r="J165" s="51" t="n">
        <v>5.68</v>
      </c>
      <c r="K165" s="51" t="n">
        <v>5</v>
      </c>
      <c r="L165" s="51" t="n">
        <v>5</v>
      </c>
      <c r="M165" s="51" t="n">
        <v>1</v>
      </c>
      <c r="N165" s="51" t="n">
        <v>0</v>
      </c>
      <c r="O165" s="51" t="n">
        <v>6</v>
      </c>
      <c r="P165" s="51" t="n">
        <v>360</v>
      </c>
      <c r="Q165" s="51" t="n">
        <v>5.31847133757962</v>
      </c>
      <c r="R165" s="51" t="n">
        <v>165</v>
      </c>
      <c r="S165" s="51" t="n">
        <v>1</v>
      </c>
      <c r="T165" s="51" t="n">
        <v>5</v>
      </c>
      <c r="U165" s="51" t="n">
        <v>59.041095890411</v>
      </c>
      <c r="V165" s="51" t="n">
        <v>2.29951690821256</v>
      </c>
      <c r="W165" s="51" t="n">
        <v>1100</v>
      </c>
      <c r="X165" s="51" t="n">
        <v>0.1</v>
      </c>
    </row>
    <row r="166">
      <c r="A166" s="51" t="inlineStr">
        <is>
          <t>Pistachio shells</t>
        </is>
      </c>
      <c r="B166" s="51" t="n">
        <v>34.56</v>
      </c>
      <c r="C166" s="51" t="n">
        <v>10.33</v>
      </c>
      <c r="D166" s="51" t="n">
        <v>27.02</v>
      </c>
      <c r="E166" s="51" t="n">
        <v>89.31</v>
      </c>
      <c r="F166" s="51" t="n">
        <v>0.33</v>
      </c>
      <c r="G166" s="51" t="n">
        <v>5.46</v>
      </c>
      <c r="H166" s="51" t="n">
        <v>44.58</v>
      </c>
      <c r="I166" s="51" t="n">
        <v>43.75</v>
      </c>
      <c r="J166" s="51" t="n">
        <v>5.68</v>
      </c>
      <c r="K166" s="51" t="n">
        <v>5</v>
      </c>
      <c r="L166" s="51" t="n">
        <v>5</v>
      </c>
      <c r="M166" s="51" t="n">
        <v>1</v>
      </c>
      <c r="N166" s="51" t="n">
        <v>0</v>
      </c>
      <c r="O166" s="51" t="n">
        <v>6</v>
      </c>
      <c r="P166" s="51" t="n">
        <v>360</v>
      </c>
      <c r="Q166" s="51" t="n">
        <v>5.31847133757962</v>
      </c>
      <c r="R166" s="51" t="n">
        <v>165</v>
      </c>
      <c r="S166" s="51" t="n">
        <v>1</v>
      </c>
      <c r="T166" s="51" t="n">
        <v>5</v>
      </c>
      <c r="U166" s="51" t="n">
        <v>59.041095890411</v>
      </c>
      <c r="V166" s="51" t="n">
        <v>2.29951690821256</v>
      </c>
      <c r="W166" s="51" t="n">
        <v>900</v>
      </c>
      <c r="X166" s="51" t="n">
        <v>0.122</v>
      </c>
    </row>
    <row r="167">
      <c r="A167" s="51" t="inlineStr">
        <is>
          <t>Platanus</t>
        </is>
      </c>
      <c r="B167" s="51" t="n">
        <v>33.79</v>
      </c>
      <c r="C167" s="51" t="n">
        <v>19.91</v>
      </c>
      <c r="D167" s="51" t="n">
        <v>25.89</v>
      </c>
      <c r="E167" s="51" t="n">
        <v>74.09999999999999</v>
      </c>
      <c r="F167" s="51" t="n">
        <v>3.61</v>
      </c>
      <c r="G167" s="51" t="n">
        <v>22.29</v>
      </c>
      <c r="H167" s="51" t="n">
        <v>47.8</v>
      </c>
      <c r="I167" s="51" t="n">
        <v>40.33</v>
      </c>
      <c r="J167" s="51" t="n">
        <v>6.62</v>
      </c>
      <c r="K167" s="51" t="n">
        <v>0</v>
      </c>
      <c r="L167" s="51" t="n">
        <v>5</v>
      </c>
      <c r="M167" s="51" t="n">
        <v>1</v>
      </c>
      <c r="N167" s="51" t="n">
        <v>1</v>
      </c>
      <c r="O167" s="51" t="n">
        <v>4</v>
      </c>
      <c r="P167" s="51" t="n">
        <v>60</v>
      </c>
      <c r="Q167" s="51" t="n">
        <v>1</v>
      </c>
      <c r="R167" s="51" t="n">
        <v>550</v>
      </c>
      <c r="S167" s="51" t="n">
        <v>1</v>
      </c>
      <c r="T167" s="51" t="n">
        <v>5</v>
      </c>
      <c r="U167" s="51" t="n">
        <v>120</v>
      </c>
      <c r="V167" s="51" t="n">
        <v>10</v>
      </c>
      <c r="W167" s="51" t="n">
        <v>700</v>
      </c>
      <c r="X167" s="51" t="n">
        <v>0.658</v>
      </c>
    </row>
    <row r="168">
      <c r="A168" s="51" t="inlineStr">
        <is>
          <t>Platanus</t>
        </is>
      </c>
      <c r="B168" s="51" t="n">
        <v>33.79</v>
      </c>
      <c r="C168" s="51" t="n">
        <v>19.91</v>
      </c>
      <c r="D168" s="51" t="n">
        <v>25.89</v>
      </c>
      <c r="E168" s="51" t="n">
        <v>74.09999999999999</v>
      </c>
      <c r="F168" s="51" t="n">
        <v>3.61</v>
      </c>
      <c r="G168" s="51" t="n">
        <v>22.29</v>
      </c>
      <c r="H168" s="51" t="n">
        <v>47.8</v>
      </c>
      <c r="I168" s="51" t="n">
        <v>40.33</v>
      </c>
      <c r="J168" s="51" t="n">
        <v>6.62</v>
      </c>
      <c r="K168" s="51" t="n">
        <v>4</v>
      </c>
      <c r="L168" s="51" t="n">
        <v>5</v>
      </c>
      <c r="M168" s="51" t="n">
        <v>1</v>
      </c>
      <c r="N168" s="51" t="n">
        <v>1</v>
      </c>
      <c r="O168" s="51" t="n">
        <v>4</v>
      </c>
      <c r="P168" s="51" t="n">
        <v>60</v>
      </c>
      <c r="Q168" s="51" t="n">
        <v>1</v>
      </c>
      <c r="R168" s="51" t="n">
        <v>550</v>
      </c>
      <c r="S168" s="51" t="n">
        <v>1</v>
      </c>
      <c r="T168" s="51" t="n">
        <v>5</v>
      </c>
      <c r="U168" s="51" t="n">
        <v>120</v>
      </c>
      <c r="V168" s="51" t="n">
        <v>10</v>
      </c>
      <c r="W168" s="51" t="n">
        <v>700</v>
      </c>
      <c r="X168" s="51" t="n">
        <v>0.165</v>
      </c>
    </row>
    <row r="169">
      <c r="A169" s="51" t="inlineStr">
        <is>
          <t>Rambutan peel</t>
        </is>
      </c>
      <c r="B169" s="51" t="n">
        <v>24.28</v>
      </c>
      <c r="C169" s="51" t="n">
        <v>11.62</v>
      </c>
      <c r="D169" s="51" t="n">
        <v>35.34</v>
      </c>
      <c r="E169" s="51" t="n">
        <v>75.76371196371311</v>
      </c>
      <c r="F169" s="51" t="n">
        <v>3.39145470963645</v>
      </c>
      <c r="G169" s="51" t="n">
        <v>15.084856884857</v>
      </c>
      <c r="H169" s="51" t="n">
        <v>43.7835054380514</v>
      </c>
      <c r="I169" s="51" t="n">
        <v>48.4704691977411</v>
      </c>
      <c r="J169" s="51" t="n">
        <v>5.79506757234028</v>
      </c>
      <c r="K169" s="51" t="n">
        <v>6</v>
      </c>
      <c r="L169" s="51" t="n">
        <v>6</v>
      </c>
      <c r="M169" s="51" t="n">
        <v>1</v>
      </c>
      <c r="N169" s="51" t="n">
        <v>0</v>
      </c>
      <c r="O169" s="51" t="n">
        <v>1</v>
      </c>
      <c r="P169" s="51" t="n">
        <v>800</v>
      </c>
      <c r="Q169" s="51" t="n">
        <v>5.31847133757962</v>
      </c>
      <c r="R169" s="51" t="n">
        <v>200</v>
      </c>
      <c r="S169" s="51" t="n">
        <v>1</v>
      </c>
      <c r="T169" s="51" t="n">
        <v>5</v>
      </c>
      <c r="U169" s="51" t="n">
        <v>59.041095890411</v>
      </c>
      <c r="V169" s="51" t="n">
        <v>2.29951690821256</v>
      </c>
      <c r="W169" s="51" t="n">
        <v>1000</v>
      </c>
      <c r="X169" s="51" t="n">
        <v>0.12</v>
      </c>
    </row>
    <row r="170">
      <c r="A170" s="51" t="inlineStr">
        <is>
          <t>Rambutan peel</t>
        </is>
      </c>
      <c r="B170" s="51" t="n">
        <v>24.28</v>
      </c>
      <c r="C170" s="51" t="n">
        <v>11.62</v>
      </c>
      <c r="D170" s="51" t="n">
        <v>35.34</v>
      </c>
      <c r="E170" s="51" t="n">
        <v>75.4970805933678</v>
      </c>
      <c r="F170" s="51" t="n">
        <v>3.41030743279218</v>
      </c>
      <c r="G170" s="51" t="n">
        <v>15.0552311770409</v>
      </c>
      <c r="H170" s="51" t="n">
        <v>43.6623093606217</v>
      </c>
      <c r="I170" s="51" t="n">
        <v>48.6616896754635</v>
      </c>
      <c r="J170" s="51" t="n">
        <v>5.79964609082096</v>
      </c>
      <c r="K170" s="51" t="n">
        <v>6</v>
      </c>
      <c r="L170" s="51" t="n">
        <v>6</v>
      </c>
      <c r="M170" s="51" t="n">
        <v>1</v>
      </c>
      <c r="N170" s="51" t="n">
        <v>0</v>
      </c>
      <c r="O170" s="51" t="n">
        <v>1</v>
      </c>
      <c r="P170" s="51" t="n">
        <v>1000</v>
      </c>
      <c r="Q170" s="51" t="n">
        <v>5.31847133757962</v>
      </c>
      <c r="R170" s="51" t="n">
        <v>200</v>
      </c>
      <c r="S170" s="51" t="n">
        <v>1</v>
      </c>
      <c r="T170" s="51" t="n">
        <v>5</v>
      </c>
      <c r="U170" s="51" t="n">
        <v>59.041095890411</v>
      </c>
      <c r="V170" s="51" t="n">
        <v>2.29951690821256</v>
      </c>
      <c r="W170" s="51" t="n">
        <v>1000</v>
      </c>
      <c r="X170" s="51" t="n">
        <v>0.22</v>
      </c>
    </row>
    <row r="171">
      <c r="A171" s="51" t="inlineStr">
        <is>
          <t>Rambutan peel</t>
        </is>
      </c>
      <c r="B171" s="51" t="n">
        <v>24.28</v>
      </c>
      <c r="C171" s="51" t="n">
        <v>11.62</v>
      </c>
      <c r="D171" s="51" t="n">
        <v>35.34</v>
      </c>
      <c r="E171" s="51" t="n">
        <v>76.525263018903</v>
      </c>
      <c r="F171" s="51" t="n">
        <v>3.33760766533009</v>
      </c>
      <c r="G171" s="51" t="n">
        <v>15.169473668767</v>
      </c>
      <c r="H171" s="51" t="n">
        <v>44.1296650085923</v>
      </c>
      <c r="I171" s="51" t="n">
        <v>47.9243063197766</v>
      </c>
      <c r="J171" s="51" t="n">
        <v>5.78199043300874</v>
      </c>
      <c r="K171" s="51" t="n">
        <v>6</v>
      </c>
      <c r="L171" s="51" t="n">
        <v>6</v>
      </c>
      <c r="M171" s="51" t="n">
        <v>1</v>
      </c>
      <c r="N171" s="51" t="n">
        <v>0</v>
      </c>
      <c r="O171" s="51" t="n">
        <v>1</v>
      </c>
      <c r="P171" s="51" t="n">
        <v>1200</v>
      </c>
      <c r="Q171" s="51" t="n">
        <v>5.31847133757962</v>
      </c>
      <c r="R171" s="51" t="n">
        <v>200</v>
      </c>
      <c r="S171" s="51" t="n">
        <v>1</v>
      </c>
      <c r="T171" s="51" t="n">
        <v>5</v>
      </c>
      <c r="U171" s="51" t="n">
        <v>59.041095890411</v>
      </c>
      <c r="V171" s="51" t="n">
        <v>2.29951690821256</v>
      </c>
      <c r="W171" s="51" t="n">
        <v>1000</v>
      </c>
      <c r="X171" s="51" t="n">
        <v>0.17</v>
      </c>
    </row>
    <row r="172">
      <c r="A172" s="51" t="inlineStr">
        <is>
          <t>Reed straw</t>
        </is>
      </c>
      <c r="B172" s="51" t="n">
        <v>56</v>
      </c>
      <c r="C172" s="51" t="n">
        <v>14.5</v>
      </c>
      <c r="D172" s="51" t="n">
        <v>20.5</v>
      </c>
      <c r="E172" s="51" t="n">
        <v>79.73</v>
      </c>
      <c r="F172" s="51" t="n">
        <v>2</v>
      </c>
      <c r="G172" s="51" t="n">
        <v>14.47</v>
      </c>
      <c r="H172" s="51" t="n">
        <v>45.16</v>
      </c>
      <c r="I172" s="51" t="n">
        <v>48.78</v>
      </c>
      <c r="J172" s="51" t="n">
        <v>5.58</v>
      </c>
      <c r="K172" s="51" t="n">
        <v>6</v>
      </c>
      <c r="L172" s="51" t="n">
        <v>5</v>
      </c>
      <c r="M172" s="51" t="n">
        <v>1</v>
      </c>
      <c r="N172" s="51" t="n">
        <v>0</v>
      </c>
      <c r="O172" s="51" t="n">
        <v>4</v>
      </c>
      <c r="P172" s="51" t="n">
        <v>24</v>
      </c>
      <c r="Q172" s="51" t="n">
        <v>10</v>
      </c>
      <c r="R172" s="51" t="n">
        <v>200</v>
      </c>
      <c r="S172" s="51" t="n">
        <v>1</v>
      </c>
      <c r="T172" s="51" t="n">
        <v>5</v>
      </c>
      <c r="U172" s="51" t="n">
        <v>120</v>
      </c>
      <c r="V172" s="51" t="n">
        <v>5</v>
      </c>
      <c r="W172" s="51" t="n">
        <v>900</v>
      </c>
      <c r="X172" s="51" t="n">
        <v>0.18</v>
      </c>
    </row>
    <row r="173">
      <c r="A173" s="51" t="inlineStr">
        <is>
          <t>Reed straw</t>
        </is>
      </c>
      <c r="B173" s="51" t="n">
        <v>56</v>
      </c>
      <c r="C173" s="51" t="n">
        <v>14.5</v>
      </c>
      <c r="D173" s="51" t="n">
        <v>20.5</v>
      </c>
      <c r="E173" s="51" t="n">
        <v>79.73</v>
      </c>
      <c r="F173" s="51" t="n">
        <v>2</v>
      </c>
      <c r="G173" s="51" t="n">
        <v>14.47</v>
      </c>
      <c r="H173" s="51" t="n">
        <v>45.16</v>
      </c>
      <c r="I173" s="51" t="n">
        <v>48.78</v>
      </c>
      <c r="J173" s="51" t="n">
        <v>5.58</v>
      </c>
      <c r="K173" s="51" t="n">
        <v>6</v>
      </c>
      <c r="L173" s="51" t="n">
        <v>5</v>
      </c>
      <c r="M173" s="51" t="n">
        <v>1</v>
      </c>
      <c r="N173" s="51" t="n">
        <v>0</v>
      </c>
      <c r="O173" s="51" t="n">
        <v>4</v>
      </c>
      <c r="P173" s="51" t="n">
        <v>24</v>
      </c>
      <c r="Q173" s="51" t="n">
        <v>10</v>
      </c>
      <c r="R173" s="51" t="n">
        <v>200</v>
      </c>
      <c r="S173" s="51" t="n">
        <v>1</v>
      </c>
      <c r="T173" s="51" t="n">
        <v>5</v>
      </c>
      <c r="U173" s="51" t="n">
        <v>120</v>
      </c>
      <c r="V173" s="51" t="n">
        <v>5</v>
      </c>
      <c r="W173" s="51" t="n">
        <v>1100</v>
      </c>
      <c r="X173" s="51" t="n">
        <v>0.05</v>
      </c>
    </row>
    <row r="174">
      <c r="A174" s="51" t="inlineStr">
        <is>
          <t>Reed straw</t>
        </is>
      </c>
      <c r="B174" s="51" t="n">
        <v>56</v>
      </c>
      <c r="C174" s="51" t="n">
        <v>14.5</v>
      </c>
      <c r="D174" s="51" t="n">
        <v>20.5</v>
      </c>
      <c r="E174" s="51" t="n">
        <v>79.73</v>
      </c>
      <c r="F174" s="51" t="n">
        <v>2</v>
      </c>
      <c r="G174" s="51" t="n">
        <v>14.47</v>
      </c>
      <c r="H174" s="51" t="n">
        <v>45.16</v>
      </c>
      <c r="I174" s="51" t="n">
        <v>48.78</v>
      </c>
      <c r="J174" s="51" t="n">
        <v>5.58</v>
      </c>
      <c r="K174" s="51" t="n">
        <v>6</v>
      </c>
      <c r="L174" s="51" t="n">
        <v>5</v>
      </c>
      <c r="M174" s="51" t="n">
        <v>1</v>
      </c>
      <c r="N174" s="51" t="n">
        <v>0</v>
      </c>
      <c r="O174" s="51" t="n">
        <v>4</v>
      </c>
      <c r="P174" s="51" t="n">
        <v>24</v>
      </c>
      <c r="Q174" s="51" t="n">
        <v>10</v>
      </c>
      <c r="R174" s="51" t="n">
        <v>200</v>
      </c>
      <c r="S174" s="51" t="n">
        <v>1</v>
      </c>
      <c r="T174" s="51" t="n">
        <v>5</v>
      </c>
      <c r="U174" s="51" t="n">
        <v>120</v>
      </c>
      <c r="V174" s="51" t="n">
        <v>5</v>
      </c>
      <c r="W174" s="51" t="n">
        <v>1300</v>
      </c>
      <c r="X174" s="51" t="n">
        <v>0.04</v>
      </c>
    </row>
    <row r="175">
      <c r="A175" s="51" t="inlineStr">
        <is>
          <t>Reed straw</t>
        </is>
      </c>
      <c r="B175" s="51" t="n">
        <v>56</v>
      </c>
      <c r="C175" s="51" t="n">
        <v>14.5</v>
      </c>
      <c r="D175" s="51" t="n">
        <v>20.5</v>
      </c>
      <c r="E175" s="51" t="n">
        <v>79.73</v>
      </c>
      <c r="F175" s="51" t="n">
        <v>2</v>
      </c>
      <c r="G175" s="51" t="n">
        <v>14.47</v>
      </c>
      <c r="H175" s="51" t="n">
        <v>45.16</v>
      </c>
      <c r="I175" s="51" t="n">
        <v>48.78</v>
      </c>
      <c r="J175" s="51" t="n">
        <v>5.58</v>
      </c>
      <c r="K175" s="51" t="n">
        <v>6</v>
      </c>
      <c r="L175" s="51" t="n">
        <v>5</v>
      </c>
      <c r="M175" s="51" t="n">
        <v>1</v>
      </c>
      <c r="N175" s="51" t="n">
        <v>0</v>
      </c>
      <c r="O175" s="51" t="n">
        <v>4</v>
      </c>
      <c r="P175" s="51" t="n">
        <v>24</v>
      </c>
      <c r="Q175" s="51" t="n">
        <v>10</v>
      </c>
      <c r="R175" s="51" t="n">
        <v>200</v>
      </c>
      <c r="S175" s="51" t="n">
        <v>1</v>
      </c>
      <c r="T175" s="51" t="n">
        <v>5</v>
      </c>
      <c r="U175" s="51" t="n">
        <v>120</v>
      </c>
      <c r="V175" s="51" t="n">
        <v>5</v>
      </c>
      <c r="W175" s="51" t="n">
        <v>1500</v>
      </c>
      <c r="X175" s="51" t="n">
        <v>0.02</v>
      </c>
    </row>
    <row r="176">
      <c r="A176" s="51" t="inlineStr">
        <is>
          <t>Reed straw</t>
        </is>
      </c>
      <c r="B176" s="51" t="n">
        <v>56</v>
      </c>
      <c r="C176" s="51" t="n">
        <v>14.5</v>
      </c>
      <c r="D176" s="51" t="n">
        <v>20.5</v>
      </c>
      <c r="E176" s="51" t="n">
        <v>79.73</v>
      </c>
      <c r="F176" s="51" t="n">
        <v>2</v>
      </c>
      <c r="G176" s="51" t="n">
        <v>14.47</v>
      </c>
      <c r="H176" s="51" t="n">
        <v>45.16</v>
      </c>
      <c r="I176" s="51" t="n">
        <v>48.78</v>
      </c>
      <c r="J176" s="51" t="n">
        <v>5.58</v>
      </c>
      <c r="K176" s="51" t="n">
        <v>2</v>
      </c>
      <c r="L176" s="51" t="n">
        <v>5</v>
      </c>
      <c r="M176" s="51" t="n">
        <v>1</v>
      </c>
      <c r="N176" s="51" t="n">
        <v>1</v>
      </c>
      <c r="O176" s="51" t="n">
        <v>4</v>
      </c>
      <c r="P176" s="51" t="n">
        <v>180</v>
      </c>
      <c r="Q176" s="51" t="n">
        <v>10</v>
      </c>
      <c r="R176" s="51" t="n">
        <v>400</v>
      </c>
      <c r="S176" s="51" t="n">
        <v>1</v>
      </c>
      <c r="T176" s="51" t="n">
        <v>5</v>
      </c>
      <c r="U176" s="51" t="n">
        <v>120</v>
      </c>
      <c r="V176" s="51" t="n">
        <v>5</v>
      </c>
      <c r="W176" s="51" t="n">
        <v>1400</v>
      </c>
      <c r="X176" s="51" t="n">
        <v>0.012</v>
      </c>
    </row>
    <row r="177">
      <c r="A177" s="51" t="inlineStr">
        <is>
          <t>Reed straw</t>
        </is>
      </c>
      <c r="B177" s="51" t="n">
        <v>56</v>
      </c>
      <c r="C177" s="51" t="n">
        <v>14.5</v>
      </c>
      <c r="D177" s="51" t="n">
        <v>20.5</v>
      </c>
      <c r="E177" s="51" t="n">
        <v>79.73</v>
      </c>
      <c r="F177" s="51" t="n">
        <v>2</v>
      </c>
      <c r="G177" s="51" t="n">
        <v>14.47</v>
      </c>
      <c r="H177" s="51" t="n">
        <v>45.16</v>
      </c>
      <c r="I177" s="51" t="n">
        <v>48.78</v>
      </c>
      <c r="J177" s="51" t="n">
        <v>5.58</v>
      </c>
      <c r="K177" s="51" t="n">
        <v>2</v>
      </c>
      <c r="L177" s="51" t="n">
        <v>5</v>
      </c>
      <c r="M177" s="51" t="n">
        <v>1</v>
      </c>
      <c r="N177" s="51" t="n">
        <v>1</v>
      </c>
      <c r="O177" s="51" t="n">
        <v>4</v>
      </c>
      <c r="P177" s="51" t="n">
        <v>180</v>
      </c>
      <c r="Q177" s="51" t="n">
        <v>10</v>
      </c>
      <c r="R177" s="51" t="n">
        <v>400</v>
      </c>
      <c r="S177" s="51" t="n">
        <v>1</v>
      </c>
      <c r="T177" s="51" t="n">
        <v>5</v>
      </c>
      <c r="U177" s="51" t="n">
        <v>120</v>
      </c>
      <c r="V177" s="51" t="n">
        <v>5</v>
      </c>
      <c r="W177" s="51" t="n">
        <v>1400</v>
      </c>
      <c r="X177" s="51" t="n">
        <v>0.015</v>
      </c>
    </row>
    <row r="178">
      <c r="A178" s="51" t="inlineStr">
        <is>
          <t>Reed straw</t>
        </is>
      </c>
      <c r="B178" s="51" t="n">
        <v>56</v>
      </c>
      <c r="C178" s="51" t="n">
        <v>14.5</v>
      </c>
      <c r="D178" s="51" t="n">
        <v>20.5</v>
      </c>
      <c r="E178" s="51" t="n">
        <v>79.73</v>
      </c>
      <c r="F178" s="51" t="n">
        <v>2</v>
      </c>
      <c r="G178" s="51" t="n">
        <v>14.47</v>
      </c>
      <c r="H178" s="51" t="n">
        <v>45.16</v>
      </c>
      <c r="I178" s="51" t="n">
        <v>48.78</v>
      </c>
      <c r="J178" s="51" t="n">
        <v>5.58</v>
      </c>
      <c r="K178" s="51" t="n">
        <v>2</v>
      </c>
      <c r="L178" s="51" t="n">
        <v>5</v>
      </c>
      <c r="M178" s="51" t="n">
        <v>1</v>
      </c>
      <c r="N178" s="51" t="n">
        <v>1</v>
      </c>
      <c r="O178" s="51" t="n">
        <v>4</v>
      </c>
      <c r="P178" s="51" t="n">
        <v>180</v>
      </c>
      <c r="Q178" s="51" t="n">
        <v>10</v>
      </c>
      <c r="R178" s="51" t="n">
        <v>400</v>
      </c>
      <c r="S178" s="51" t="n">
        <v>1</v>
      </c>
      <c r="T178" s="51" t="n">
        <v>5</v>
      </c>
      <c r="U178" s="51" t="n">
        <v>120</v>
      </c>
      <c r="V178" s="51" t="n">
        <v>5</v>
      </c>
      <c r="W178" s="51" t="n">
        <v>1400</v>
      </c>
      <c r="X178" s="51" t="n">
        <v>0.033</v>
      </c>
    </row>
    <row r="179">
      <c r="A179" s="51" t="inlineStr">
        <is>
          <t>Reed straw</t>
        </is>
      </c>
      <c r="B179" s="51" t="n">
        <v>56</v>
      </c>
      <c r="C179" s="51" t="n">
        <v>14.5</v>
      </c>
      <c r="D179" s="51" t="n">
        <v>20.5</v>
      </c>
      <c r="E179" s="51" t="n">
        <v>79.73</v>
      </c>
      <c r="F179" s="51" t="n">
        <v>2</v>
      </c>
      <c r="G179" s="51" t="n">
        <v>14.47</v>
      </c>
      <c r="H179" s="51" t="n">
        <v>45.16</v>
      </c>
      <c r="I179" s="51" t="n">
        <v>48.78</v>
      </c>
      <c r="J179" s="51" t="n">
        <v>5.58</v>
      </c>
      <c r="K179" s="51" t="n">
        <v>2</v>
      </c>
      <c r="L179" s="51" t="n">
        <v>5</v>
      </c>
      <c r="M179" s="51" t="n">
        <v>1</v>
      </c>
      <c r="N179" s="51" t="n">
        <v>1</v>
      </c>
      <c r="O179" s="51" t="n">
        <v>4</v>
      </c>
      <c r="P179" s="51" t="n">
        <v>180</v>
      </c>
      <c r="Q179" s="51" t="n">
        <v>10</v>
      </c>
      <c r="R179" s="51" t="n">
        <v>400</v>
      </c>
      <c r="S179" s="51" t="n">
        <v>1</v>
      </c>
      <c r="T179" s="51" t="n">
        <v>5</v>
      </c>
      <c r="U179" s="51" t="n">
        <v>120</v>
      </c>
      <c r="V179" s="51" t="n">
        <v>5</v>
      </c>
      <c r="W179" s="51" t="n">
        <v>1400</v>
      </c>
      <c r="X179" s="51" t="n">
        <v>0.031</v>
      </c>
    </row>
    <row r="180">
      <c r="A180" s="51" t="inlineStr">
        <is>
          <t>Rice husk</t>
        </is>
      </c>
      <c r="B180" s="51" t="n">
        <v>38.3</v>
      </c>
      <c r="C180" s="51" t="n">
        <v>31.6</v>
      </c>
      <c r="D180" s="51" t="n">
        <v>11.8</v>
      </c>
      <c r="E180" s="51" t="n">
        <v>68.2</v>
      </c>
      <c r="F180" s="51" t="n">
        <v>16.1</v>
      </c>
      <c r="G180" s="51" t="n">
        <v>15.7</v>
      </c>
      <c r="H180" s="51" t="n">
        <v>45.2</v>
      </c>
      <c r="I180" s="51" t="n">
        <v>47.6</v>
      </c>
      <c r="J180" s="51" t="n">
        <v>5.8</v>
      </c>
      <c r="K180" s="51" t="n">
        <v>4</v>
      </c>
      <c r="L180" s="51" t="n">
        <v>1</v>
      </c>
      <c r="M180" s="51" t="n">
        <v>0</v>
      </c>
      <c r="N180" s="51" t="n">
        <v>1</v>
      </c>
      <c r="O180" s="51" t="n">
        <v>4</v>
      </c>
      <c r="P180" s="51" t="n">
        <v>120</v>
      </c>
      <c r="Q180" s="51" t="n">
        <v>3</v>
      </c>
      <c r="R180" s="51" t="n">
        <v>900</v>
      </c>
      <c r="S180" s="51" t="n">
        <v>0</v>
      </c>
      <c r="T180" s="51" t="n">
        <v>5</v>
      </c>
      <c r="U180" s="51" t="n">
        <v>0</v>
      </c>
      <c r="V180" s="51" t="n">
        <v>0</v>
      </c>
      <c r="W180" s="51" t="n">
        <v>0</v>
      </c>
      <c r="X180" s="51" t="n">
        <v>0.46</v>
      </c>
    </row>
    <row r="181">
      <c r="A181" s="51" t="inlineStr">
        <is>
          <t>Rice husk</t>
        </is>
      </c>
      <c r="B181" s="51" t="n">
        <v>38.3</v>
      </c>
      <c r="C181" s="51" t="n">
        <v>31.6</v>
      </c>
      <c r="D181" s="51" t="n">
        <v>11.8</v>
      </c>
      <c r="E181" s="51" t="n">
        <v>68.2</v>
      </c>
      <c r="F181" s="51" t="n">
        <v>16.1</v>
      </c>
      <c r="G181" s="51" t="n">
        <v>15.7</v>
      </c>
      <c r="H181" s="51" t="n">
        <v>45.2</v>
      </c>
      <c r="I181" s="51" t="n">
        <v>47.6</v>
      </c>
      <c r="J181" s="51" t="n">
        <v>5.8</v>
      </c>
      <c r="K181" s="51" t="n">
        <v>4</v>
      </c>
      <c r="L181" s="51" t="n">
        <v>1</v>
      </c>
      <c r="M181" s="51" t="n">
        <v>0</v>
      </c>
      <c r="N181" s="51" t="n">
        <v>1</v>
      </c>
      <c r="O181" s="51" t="n">
        <v>4</v>
      </c>
      <c r="P181" s="51" t="n">
        <v>120</v>
      </c>
      <c r="Q181" s="51" t="n">
        <v>3</v>
      </c>
      <c r="R181" s="51" t="n">
        <v>1300</v>
      </c>
      <c r="S181" s="51" t="n">
        <v>0</v>
      </c>
      <c r="T181" s="51" t="n">
        <v>5</v>
      </c>
      <c r="U181" s="51" t="n">
        <v>0</v>
      </c>
      <c r="V181" s="51" t="n">
        <v>0</v>
      </c>
      <c r="W181" s="51" t="n">
        <v>0</v>
      </c>
      <c r="X181" s="51" t="n">
        <v>0.44</v>
      </c>
    </row>
    <row r="182">
      <c r="A182" s="51" t="inlineStr">
        <is>
          <t>Rice husk</t>
        </is>
      </c>
      <c r="B182" s="51" t="n">
        <v>38.3</v>
      </c>
      <c r="C182" s="51" t="n">
        <v>31.6</v>
      </c>
      <c r="D182" s="51" t="n">
        <v>11.8</v>
      </c>
      <c r="E182" s="51" t="n">
        <v>68.2</v>
      </c>
      <c r="F182" s="51" t="n">
        <v>16.1</v>
      </c>
      <c r="G182" s="51" t="n">
        <v>15.7</v>
      </c>
      <c r="H182" s="51" t="n">
        <v>45.2</v>
      </c>
      <c r="I182" s="51" t="n">
        <v>47.6</v>
      </c>
      <c r="J182" s="51" t="n">
        <v>5.8</v>
      </c>
      <c r="K182" s="51" t="n">
        <v>1</v>
      </c>
      <c r="L182" s="51" t="n">
        <v>5</v>
      </c>
      <c r="M182" s="51" t="n">
        <v>0</v>
      </c>
      <c r="N182" s="51" t="n">
        <v>1</v>
      </c>
      <c r="O182" s="51" t="n">
        <v>4</v>
      </c>
      <c r="P182" s="51" t="n">
        <v>120</v>
      </c>
      <c r="Q182" s="51" t="n">
        <v>5</v>
      </c>
      <c r="R182" s="51" t="n">
        <v>1100</v>
      </c>
      <c r="S182" s="51" t="n">
        <v>0</v>
      </c>
      <c r="T182" s="51" t="n">
        <v>5</v>
      </c>
      <c r="U182" s="51" t="n">
        <v>0</v>
      </c>
      <c r="V182" s="51" t="n">
        <v>0</v>
      </c>
      <c r="W182" s="51" t="n">
        <v>0</v>
      </c>
      <c r="X182" s="51" t="n">
        <v>0.00335</v>
      </c>
    </row>
    <row r="183">
      <c r="A183" s="51" t="inlineStr">
        <is>
          <t>Rice husk</t>
        </is>
      </c>
      <c r="B183" s="51" t="n">
        <v>38.3</v>
      </c>
      <c r="C183" s="51" t="n">
        <v>31.6</v>
      </c>
      <c r="D183" s="51" t="n">
        <v>11.8</v>
      </c>
      <c r="E183" s="51" t="n">
        <v>68.2</v>
      </c>
      <c r="F183" s="51" t="n">
        <v>16.1</v>
      </c>
      <c r="G183" s="51" t="n">
        <v>15.7</v>
      </c>
      <c r="H183" s="51" t="n">
        <v>45.2</v>
      </c>
      <c r="I183" s="51" t="n">
        <v>47.6</v>
      </c>
      <c r="J183" s="51" t="n">
        <v>5.8</v>
      </c>
      <c r="K183" s="51" t="n">
        <v>4</v>
      </c>
      <c r="L183" s="51" t="n">
        <v>1</v>
      </c>
      <c r="M183" s="51" t="n">
        <v>0</v>
      </c>
      <c r="N183" s="51" t="n">
        <v>1</v>
      </c>
      <c r="O183" s="51" t="n">
        <v>4</v>
      </c>
      <c r="P183" s="51" t="n">
        <v>120</v>
      </c>
      <c r="Q183" s="51" t="n">
        <v>3</v>
      </c>
      <c r="R183" s="51" t="n">
        <v>1600</v>
      </c>
      <c r="S183" s="51" t="n">
        <v>0</v>
      </c>
      <c r="T183" s="51" t="n">
        <v>5</v>
      </c>
      <c r="U183" s="51" t="n">
        <v>0</v>
      </c>
      <c r="V183" s="51" t="n">
        <v>0</v>
      </c>
      <c r="W183" s="51" t="n">
        <v>0</v>
      </c>
      <c r="X183" s="51" t="n">
        <v>0.41</v>
      </c>
    </row>
    <row r="184">
      <c r="A184" s="51" t="inlineStr">
        <is>
          <t>rosewood</t>
        </is>
      </c>
      <c r="B184" s="51" t="n">
        <v>16.13</v>
      </c>
      <c r="C184" s="51" t="n">
        <v>4.33</v>
      </c>
      <c r="D184" s="51" t="n">
        <v>4.51</v>
      </c>
      <c r="E184" s="51" t="n">
        <v>77.7061755455497</v>
      </c>
      <c r="F184" s="51" t="n">
        <v>4.58437402909193</v>
      </c>
      <c r="G184" s="51" t="n">
        <v>13.490269029798</v>
      </c>
      <c r="H184" s="51" t="n">
        <v>46.4104625052959</v>
      </c>
      <c r="I184" s="51" t="n">
        <v>43.1090043779127</v>
      </c>
      <c r="J184" s="51" t="n">
        <v>6.70462812372359</v>
      </c>
      <c r="K184" s="51" t="n">
        <v>4</v>
      </c>
      <c r="L184" s="51" t="n">
        <v>5</v>
      </c>
      <c r="M184" s="51" t="n">
        <v>0</v>
      </c>
      <c r="N184" s="51" t="n">
        <v>1</v>
      </c>
      <c r="O184" s="51" t="n">
        <v>4</v>
      </c>
      <c r="P184" s="51" t="n">
        <v>120</v>
      </c>
      <c r="Q184" s="51" t="n">
        <v>2</v>
      </c>
      <c r="R184" s="51" t="n">
        <v>1500</v>
      </c>
      <c r="S184" s="51" t="n">
        <v>0</v>
      </c>
      <c r="T184" s="51" t="n">
        <v>5</v>
      </c>
      <c r="U184" s="51" t="n">
        <v>0</v>
      </c>
      <c r="V184" s="51" t="n">
        <v>0</v>
      </c>
      <c r="W184" s="51" t="n">
        <v>0</v>
      </c>
      <c r="X184" s="51" t="n">
        <v>0.00326</v>
      </c>
    </row>
    <row r="185">
      <c r="A185" s="51" t="inlineStr">
        <is>
          <t>rosewood</t>
        </is>
      </c>
      <c r="B185" s="51" t="n">
        <v>16.13</v>
      </c>
      <c r="C185" s="51" t="n">
        <v>4.33</v>
      </c>
      <c r="D185" s="51" t="n">
        <v>4.51</v>
      </c>
      <c r="E185" s="51" t="n">
        <v>77.7061755455497</v>
      </c>
      <c r="F185" s="51" t="n">
        <v>4.58437402909193</v>
      </c>
      <c r="G185" s="51" t="n">
        <v>13.490269029798</v>
      </c>
      <c r="H185" s="51" t="n">
        <v>46.4104625052959</v>
      </c>
      <c r="I185" s="51" t="n">
        <v>43.1090043779127</v>
      </c>
      <c r="J185" s="51" t="n">
        <v>6.70462812372359</v>
      </c>
      <c r="K185" s="51" t="n">
        <v>4</v>
      </c>
      <c r="L185" s="51" t="n">
        <v>5</v>
      </c>
      <c r="M185" s="51" t="n">
        <v>0</v>
      </c>
      <c r="N185" s="51" t="n">
        <v>1</v>
      </c>
      <c r="O185" s="51" t="n">
        <v>4</v>
      </c>
      <c r="P185" s="51" t="n">
        <v>120</v>
      </c>
      <c r="Q185" s="51" t="n">
        <v>2</v>
      </c>
      <c r="R185" s="51" t="n">
        <v>1300</v>
      </c>
      <c r="S185" s="51" t="n">
        <v>0</v>
      </c>
      <c r="T185" s="51" t="n">
        <v>5</v>
      </c>
      <c r="U185" s="51" t="n">
        <v>0</v>
      </c>
      <c r="V185" s="51" t="n">
        <v>0</v>
      </c>
      <c r="W185" s="51" t="n">
        <v>0</v>
      </c>
      <c r="X185" s="51" t="n">
        <v>0.0031</v>
      </c>
    </row>
    <row r="186">
      <c r="A186" s="51" t="inlineStr">
        <is>
          <t>rosewood</t>
        </is>
      </c>
      <c r="B186" s="51" t="n">
        <v>16.13</v>
      </c>
      <c r="C186" s="51" t="n">
        <v>4.33</v>
      </c>
      <c r="D186" s="51" t="n">
        <v>4.51</v>
      </c>
      <c r="E186" s="51" t="n">
        <v>77.7061755455497</v>
      </c>
      <c r="F186" s="51" t="n">
        <v>4.58437402909193</v>
      </c>
      <c r="G186" s="51" t="n">
        <v>13.490269029798</v>
      </c>
      <c r="H186" s="51" t="n">
        <v>46.4104625052959</v>
      </c>
      <c r="I186" s="51" t="n">
        <v>43.1090043779127</v>
      </c>
      <c r="J186" s="51" t="n">
        <v>6.70462812372359</v>
      </c>
      <c r="K186" s="51" t="n">
        <v>4</v>
      </c>
      <c r="L186" s="51" t="n">
        <v>5</v>
      </c>
      <c r="M186" s="51" t="n">
        <v>0</v>
      </c>
      <c r="N186" s="51" t="n">
        <v>1</v>
      </c>
      <c r="O186" s="51" t="n">
        <v>4</v>
      </c>
      <c r="P186" s="51" t="n">
        <v>120</v>
      </c>
      <c r="Q186" s="51" t="n">
        <v>2</v>
      </c>
      <c r="R186" s="51" t="n">
        <v>1100</v>
      </c>
      <c r="S186" s="51" t="n">
        <v>0</v>
      </c>
      <c r="T186" s="51" t="n">
        <v>5</v>
      </c>
      <c r="U186" s="51" t="n">
        <v>0</v>
      </c>
      <c r="V186" s="51" t="n">
        <v>0</v>
      </c>
      <c r="W186" s="51" t="n">
        <v>0</v>
      </c>
      <c r="X186" s="51" t="n">
        <v>0.0035</v>
      </c>
    </row>
    <row r="187">
      <c r="A187" s="51" t="inlineStr">
        <is>
          <t>rubberwood sawdust</t>
        </is>
      </c>
      <c r="B187" s="51" t="n">
        <v>46.2</v>
      </c>
      <c r="C187" s="51" t="n">
        <v>15.7</v>
      </c>
      <c r="D187" s="51" t="n">
        <v>28.3</v>
      </c>
      <c r="E187" s="51" t="n">
        <v>77.09999999999999</v>
      </c>
      <c r="F187" s="51" t="n">
        <v>0.84</v>
      </c>
      <c r="G187" s="51" t="n">
        <v>22</v>
      </c>
      <c r="H187" s="51" t="n">
        <v>48.5</v>
      </c>
      <c r="I187" s="51" t="n">
        <v>43.9</v>
      </c>
      <c r="J187" s="51" t="n">
        <v>7.15</v>
      </c>
      <c r="K187" s="51" t="n">
        <v>3</v>
      </c>
      <c r="L187" s="51" t="n">
        <v>5</v>
      </c>
      <c r="M187" s="51" t="n">
        <v>0</v>
      </c>
      <c r="N187" s="51" t="n">
        <v>1</v>
      </c>
      <c r="O187" s="51" t="n">
        <v>4</v>
      </c>
      <c r="P187" s="51" t="n">
        <v>60</v>
      </c>
      <c r="Q187" s="51" t="n">
        <v>8</v>
      </c>
      <c r="R187" s="51" t="n">
        <v>900</v>
      </c>
      <c r="S187" s="51" t="n">
        <v>0</v>
      </c>
      <c r="T187" s="51" t="n">
        <v>5</v>
      </c>
      <c r="U187" s="51" t="n">
        <v>0</v>
      </c>
      <c r="V187" s="51" t="n">
        <v>0</v>
      </c>
      <c r="W187" s="51" t="n">
        <v>0</v>
      </c>
      <c r="X187" s="51" t="n">
        <v>0.122</v>
      </c>
    </row>
    <row r="188">
      <c r="A188" s="51" t="inlineStr">
        <is>
          <t>rubberwood sawdust</t>
        </is>
      </c>
      <c r="B188" s="51" t="n">
        <v>46.2</v>
      </c>
      <c r="C188" s="51" t="n">
        <v>15.7</v>
      </c>
      <c r="D188" s="51" t="n">
        <v>28.3</v>
      </c>
      <c r="E188" s="51" t="n">
        <v>77.09999999999999</v>
      </c>
      <c r="F188" s="51" t="n">
        <v>0.84</v>
      </c>
      <c r="G188" s="51" t="n">
        <v>22</v>
      </c>
      <c r="H188" s="51" t="n">
        <v>48.5</v>
      </c>
      <c r="I188" s="51" t="n">
        <v>43.9</v>
      </c>
      <c r="J188" s="51" t="n">
        <v>7.15</v>
      </c>
      <c r="K188" s="51" t="n">
        <v>3</v>
      </c>
      <c r="L188" s="51" t="n">
        <v>5</v>
      </c>
      <c r="M188" s="51" t="n">
        <v>1</v>
      </c>
      <c r="N188" s="51" t="n">
        <v>1</v>
      </c>
      <c r="O188" s="51" t="n">
        <v>4</v>
      </c>
      <c r="P188" s="51" t="n">
        <v>60</v>
      </c>
      <c r="Q188" s="51" t="n">
        <v>8</v>
      </c>
      <c r="R188" s="51" t="n">
        <v>900</v>
      </c>
      <c r="S188" s="51" t="n">
        <v>1</v>
      </c>
      <c r="T188" s="51" t="n">
        <v>5</v>
      </c>
      <c r="U188" s="51" t="n">
        <v>180</v>
      </c>
      <c r="V188" s="51" t="n">
        <v>0</v>
      </c>
      <c r="W188" s="51" t="n">
        <v>1000</v>
      </c>
      <c r="X188" s="51" t="n">
        <v>0.122</v>
      </c>
    </row>
    <row r="189">
      <c r="A189" s="51" t="inlineStr">
        <is>
          <t>rubberwood sawdust</t>
        </is>
      </c>
      <c r="B189" s="51" t="n">
        <v>46.2</v>
      </c>
      <c r="C189" s="51" t="n">
        <v>15.7</v>
      </c>
      <c r="D189" s="51" t="n">
        <v>28.3</v>
      </c>
      <c r="E189" s="51" t="n">
        <v>77.09999999999999</v>
      </c>
      <c r="F189" s="51" t="n">
        <v>0.84</v>
      </c>
      <c r="G189" s="51" t="n">
        <v>22</v>
      </c>
      <c r="H189" s="51" t="n">
        <v>48.5</v>
      </c>
      <c r="I189" s="51" t="n">
        <v>43.9</v>
      </c>
      <c r="J189" s="51" t="n">
        <v>7.15</v>
      </c>
      <c r="K189" s="51" t="n">
        <v>3</v>
      </c>
      <c r="L189" s="51" t="n">
        <v>5</v>
      </c>
      <c r="M189" s="51" t="n">
        <v>1</v>
      </c>
      <c r="N189" s="51" t="n">
        <v>1</v>
      </c>
      <c r="O189" s="51" t="n">
        <v>4</v>
      </c>
      <c r="P189" s="51" t="n">
        <v>60</v>
      </c>
      <c r="Q189" s="51" t="n">
        <v>8</v>
      </c>
      <c r="R189" s="51" t="n">
        <v>900</v>
      </c>
      <c r="S189" s="51" t="n">
        <v>1</v>
      </c>
      <c r="T189" s="51" t="n">
        <v>5</v>
      </c>
      <c r="U189" s="51" t="n">
        <v>180</v>
      </c>
      <c r="V189" s="51" t="n">
        <v>0</v>
      </c>
      <c r="W189" s="51" t="n">
        <v>1400</v>
      </c>
      <c r="X189" s="51" t="n">
        <v>0.019</v>
      </c>
    </row>
    <row r="190">
      <c r="A190" s="51" t="inlineStr">
        <is>
          <t>Shaddock peel</t>
        </is>
      </c>
      <c r="B190" s="51" t="n">
        <v>25</v>
      </c>
      <c r="C190" s="51" t="n">
        <v>12</v>
      </c>
      <c r="D190" s="51" t="n">
        <v>18</v>
      </c>
      <c r="E190" s="51" t="n">
        <v>68.7332338070571</v>
      </c>
      <c r="F190" s="51" t="n">
        <v>10.4093487979159</v>
      </c>
      <c r="G190" s="51" t="n">
        <v>11.7255301216053</v>
      </c>
      <c r="H190" s="51" t="n">
        <v>48.3006412354055</v>
      </c>
      <c r="I190" s="51" t="n">
        <v>44.3983958217421</v>
      </c>
      <c r="J190" s="51" t="n">
        <v>6.06457199426366</v>
      </c>
      <c r="K190" s="51" t="n">
        <v>6</v>
      </c>
      <c r="L190" s="51" t="n">
        <v>1</v>
      </c>
      <c r="M190" s="51" t="n">
        <v>0</v>
      </c>
      <c r="N190" s="51" t="n">
        <v>1</v>
      </c>
      <c r="O190" s="51" t="n">
        <v>4</v>
      </c>
      <c r="P190" s="51" t="n">
        <v>120</v>
      </c>
      <c r="Q190" s="51" t="n">
        <v>5.31847133757962</v>
      </c>
      <c r="R190" s="51" t="n">
        <v>800</v>
      </c>
      <c r="S190" s="51" t="n">
        <v>0</v>
      </c>
      <c r="T190" s="51" t="n">
        <v>5</v>
      </c>
      <c r="U190" s="51" t="n">
        <v>0</v>
      </c>
      <c r="V190" s="51" t="n">
        <v>0</v>
      </c>
      <c r="W190" s="51" t="n">
        <v>0</v>
      </c>
      <c r="X190" s="51" t="n">
        <v>0.01</v>
      </c>
    </row>
    <row r="191">
      <c r="A191" s="51" t="inlineStr">
        <is>
          <t>Shaddock peel</t>
        </is>
      </c>
      <c r="B191" s="51" t="n">
        <v>25</v>
      </c>
      <c r="C191" s="51" t="n">
        <v>12</v>
      </c>
      <c r="D191" s="51" t="n">
        <v>18</v>
      </c>
      <c r="E191" s="51" t="n">
        <v>78.73021611774141</v>
      </c>
      <c r="F191" s="51" t="n">
        <v>6.36136784952378</v>
      </c>
      <c r="G191" s="51" t="n">
        <v>11.504893998745</v>
      </c>
      <c r="H191" s="51" t="n">
        <v>45.4515236120653</v>
      </c>
      <c r="I191" s="51" t="n">
        <v>44.0364466900786</v>
      </c>
      <c r="J191" s="51" t="n">
        <v>5.86991467266897</v>
      </c>
      <c r="K191" s="51" t="n">
        <v>6</v>
      </c>
      <c r="L191" s="51" t="n">
        <v>1</v>
      </c>
      <c r="M191" s="51" t="n">
        <v>0</v>
      </c>
      <c r="N191" s="51" t="n">
        <v>1</v>
      </c>
      <c r="O191" s="51" t="n">
        <v>4</v>
      </c>
      <c r="P191" s="51" t="n">
        <v>120</v>
      </c>
      <c r="Q191" s="51" t="n">
        <v>5.31847133757962</v>
      </c>
      <c r="R191" s="51" t="n">
        <v>1200</v>
      </c>
      <c r="S191" s="51" t="n">
        <v>0</v>
      </c>
      <c r="T191" s="51" t="n">
        <v>5</v>
      </c>
      <c r="U191" s="51" t="n">
        <v>0</v>
      </c>
      <c r="V191" s="51" t="n">
        <v>0</v>
      </c>
      <c r="W191" s="51" t="n">
        <v>0</v>
      </c>
      <c r="X191" s="51" t="n">
        <v>0.049</v>
      </c>
    </row>
    <row r="192">
      <c r="A192" s="51" t="inlineStr">
        <is>
          <t>Snake fruit peal</t>
        </is>
      </c>
      <c r="B192" s="51" t="n">
        <v>33.2213057087756</v>
      </c>
      <c r="C192" s="51" t="n">
        <v>21.8551929733927</v>
      </c>
      <c r="D192" s="51" t="n">
        <v>28.5460608374232</v>
      </c>
      <c r="E192" s="51" t="n">
        <v>63.5</v>
      </c>
      <c r="F192" s="51" t="n">
        <v>5.2</v>
      </c>
      <c r="G192" s="51" t="n">
        <v>25.5</v>
      </c>
      <c r="H192" s="51" t="n">
        <v>55.73</v>
      </c>
      <c r="I192" s="51" t="n">
        <v>23.28</v>
      </c>
      <c r="J192" s="51" t="n">
        <v>5.7734209982909</v>
      </c>
      <c r="K192" s="51" t="n">
        <v>6</v>
      </c>
      <c r="L192" s="51" t="n">
        <v>1</v>
      </c>
      <c r="M192" s="51" t="n">
        <v>1</v>
      </c>
      <c r="N192" s="51" t="n">
        <v>1</v>
      </c>
      <c r="O192" s="51" t="n">
        <v>4</v>
      </c>
      <c r="P192" s="51" t="n">
        <v>60</v>
      </c>
      <c r="Q192" s="51" t="n">
        <v>5.31847133757962</v>
      </c>
      <c r="R192" s="51" t="n">
        <v>500</v>
      </c>
      <c r="S192" s="51" t="n">
        <v>1</v>
      </c>
      <c r="T192" s="51" t="n">
        <v>3</v>
      </c>
      <c r="U192" s="51" t="n">
        <v>60</v>
      </c>
      <c r="V192" s="51" t="n">
        <v>5</v>
      </c>
      <c r="W192" s="51" t="n">
        <v>800</v>
      </c>
      <c r="X192" s="51" t="n">
        <v>0.548</v>
      </c>
    </row>
    <row r="193">
      <c r="A193" s="51" t="inlineStr">
        <is>
          <t>Snake fruit peal</t>
        </is>
      </c>
      <c r="B193" s="51" t="n">
        <v>33.2213059405548</v>
      </c>
      <c r="C193" s="51" t="n">
        <v>21.8551921806023</v>
      </c>
      <c r="D193" s="51" t="n">
        <v>28.5460597549088</v>
      </c>
      <c r="E193" s="51" t="n">
        <v>63.5</v>
      </c>
      <c r="F193" s="51" t="n">
        <v>5.2</v>
      </c>
      <c r="G193" s="51" t="n">
        <v>25.5</v>
      </c>
      <c r="H193" s="51" t="n">
        <v>55.73</v>
      </c>
      <c r="I193" s="51" t="n">
        <v>23.28</v>
      </c>
      <c r="J193" s="51" t="n">
        <v>5.77342134332592</v>
      </c>
      <c r="K193" s="51" t="n">
        <v>6</v>
      </c>
      <c r="L193" s="51" t="n">
        <v>1</v>
      </c>
      <c r="M193" s="51" t="n">
        <v>1</v>
      </c>
      <c r="N193" s="51" t="n">
        <v>1</v>
      </c>
      <c r="O193" s="51" t="n">
        <v>4</v>
      </c>
      <c r="P193" s="51" t="n">
        <v>60</v>
      </c>
      <c r="Q193" s="51" t="n">
        <v>5.31847133757962</v>
      </c>
      <c r="R193" s="51" t="n">
        <v>500</v>
      </c>
      <c r="S193" s="51" t="n">
        <v>1</v>
      </c>
      <c r="T193" s="51" t="n">
        <v>3</v>
      </c>
      <c r="U193" s="51" t="n">
        <v>60</v>
      </c>
      <c r="V193" s="51" t="n">
        <v>5</v>
      </c>
      <c r="W193" s="51" t="n">
        <v>800</v>
      </c>
      <c r="X193" s="51" t="n">
        <v>0.603</v>
      </c>
    </row>
    <row r="194">
      <c r="A194" s="51" t="inlineStr">
        <is>
          <t>Snake fruit peal</t>
        </is>
      </c>
      <c r="B194" s="51" t="n">
        <v>33.2218074137531</v>
      </c>
      <c r="C194" s="51" t="n">
        <v>21.8534769143218</v>
      </c>
      <c r="D194" s="51" t="n">
        <v>28.5437176471304</v>
      </c>
      <c r="E194" s="51" t="n">
        <v>63.5</v>
      </c>
      <c r="F194" s="51" t="n">
        <v>5.2</v>
      </c>
      <c r="G194" s="51" t="n">
        <v>25.5</v>
      </c>
      <c r="H194" s="51" t="n">
        <v>55.73</v>
      </c>
      <c r="I194" s="51" t="n">
        <v>23.28</v>
      </c>
      <c r="J194" s="51" t="n">
        <v>5.77416785456426</v>
      </c>
      <c r="K194" s="51" t="n">
        <v>6</v>
      </c>
      <c r="L194" s="51" t="n">
        <v>1</v>
      </c>
      <c r="M194" s="51" t="n">
        <v>1</v>
      </c>
      <c r="N194" s="51" t="n">
        <v>1</v>
      </c>
      <c r="O194" s="51" t="n">
        <v>4</v>
      </c>
      <c r="P194" s="51" t="n">
        <v>60</v>
      </c>
      <c r="Q194" s="51" t="n">
        <v>5.31847133757962</v>
      </c>
      <c r="R194" s="51" t="n">
        <v>500</v>
      </c>
      <c r="S194" s="51" t="n">
        <v>1</v>
      </c>
      <c r="T194" s="51" t="n">
        <v>8</v>
      </c>
      <c r="U194" s="51" t="n">
        <v>60</v>
      </c>
      <c r="V194" s="51" t="n">
        <v>5</v>
      </c>
      <c r="W194" s="51" t="n">
        <v>800</v>
      </c>
      <c r="X194" s="51" t="n">
        <v>1.05</v>
      </c>
    </row>
    <row r="195">
      <c r="A195" s="51" t="inlineStr">
        <is>
          <t>Vine Shoots</t>
        </is>
      </c>
      <c r="B195" s="51" t="n">
        <v>31.9</v>
      </c>
      <c r="C195" s="51" t="n">
        <v>23.2</v>
      </c>
      <c r="D195" s="51" t="n">
        <v>38.5</v>
      </c>
      <c r="E195" s="51" t="n">
        <v>71.40000000000001</v>
      </c>
      <c r="F195" s="51" t="n">
        <v>3.7</v>
      </c>
      <c r="G195" s="51" t="n">
        <v>14.6</v>
      </c>
      <c r="H195" s="51" t="n">
        <v>41.8</v>
      </c>
      <c r="I195" s="51" t="n">
        <v>51.6</v>
      </c>
      <c r="J195" s="51" t="n">
        <v>5.87</v>
      </c>
      <c r="K195" s="51" t="n">
        <v>4</v>
      </c>
      <c r="L195" s="51" t="n">
        <v>1</v>
      </c>
      <c r="M195" s="51" t="n">
        <v>1</v>
      </c>
      <c r="N195" s="51" t="n">
        <v>0</v>
      </c>
      <c r="O195" s="51" t="n">
        <v>4</v>
      </c>
      <c r="P195" s="51" t="n">
        <v>720</v>
      </c>
      <c r="Q195" s="51" t="n">
        <v>5</v>
      </c>
      <c r="R195" s="51" t="n">
        <v>180</v>
      </c>
      <c r="S195" s="51" t="n">
        <v>1</v>
      </c>
      <c r="T195" s="51" t="n">
        <v>5</v>
      </c>
      <c r="U195" s="51" t="n">
        <v>120</v>
      </c>
      <c r="V195" s="51" t="n">
        <v>5</v>
      </c>
      <c r="W195" s="51" t="n">
        <v>800</v>
      </c>
      <c r="X195" s="51" t="n">
        <v>0.227</v>
      </c>
    </row>
    <row r="196">
      <c r="A196" s="51" t="inlineStr">
        <is>
          <t>Vine Shoots</t>
        </is>
      </c>
      <c r="B196" s="51" t="n">
        <v>31.9</v>
      </c>
      <c r="C196" s="51" t="n">
        <v>23.2</v>
      </c>
      <c r="D196" s="51" t="n">
        <v>38.5</v>
      </c>
      <c r="E196" s="51" t="n">
        <v>71.40000000000001</v>
      </c>
      <c r="F196" s="51" t="n">
        <v>3.7</v>
      </c>
      <c r="G196" s="51" t="n">
        <v>14.6</v>
      </c>
      <c r="H196" s="51" t="n">
        <v>41.8</v>
      </c>
      <c r="I196" s="51" t="n">
        <v>51.6</v>
      </c>
      <c r="J196" s="51" t="n">
        <v>5.87</v>
      </c>
      <c r="K196" s="51" t="n">
        <v>4</v>
      </c>
      <c r="L196" s="51" t="n">
        <v>1</v>
      </c>
      <c r="M196" s="51" t="n">
        <v>1</v>
      </c>
      <c r="N196" s="51" t="n">
        <v>0</v>
      </c>
      <c r="O196" s="51" t="n">
        <v>4</v>
      </c>
      <c r="P196" s="51" t="n">
        <v>720</v>
      </c>
      <c r="Q196" s="51" t="n">
        <v>5</v>
      </c>
      <c r="R196" s="51" t="n">
        <v>180</v>
      </c>
      <c r="S196" s="51" t="n">
        <v>1</v>
      </c>
      <c r="T196" s="51" t="n">
        <v>5</v>
      </c>
      <c r="U196" s="51" t="n">
        <v>120</v>
      </c>
      <c r="V196" s="51" t="n">
        <v>5</v>
      </c>
      <c r="W196" s="51" t="n">
        <v>1000</v>
      </c>
      <c r="X196" s="51" t="n">
        <v>0.219</v>
      </c>
    </row>
    <row r="197">
      <c r="A197" s="51" t="inlineStr">
        <is>
          <t>Vine Shoots</t>
        </is>
      </c>
      <c r="B197" s="51" t="n">
        <v>31.9</v>
      </c>
      <c r="C197" s="51" t="n">
        <v>23.2</v>
      </c>
      <c r="D197" s="51" t="n">
        <v>38.5</v>
      </c>
      <c r="E197" s="51" t="n">
        <v>71.40000000000001</v>
      </c>
      <c r="F197" s="51" t="n">
        <v>3.7</v>
      </c>
      <c r="G197" s="51" t="n">
        <v>14.6</v>
      </c>
      <c r="H197" s="51" t="n">
        <v>41.8</v>
      </c>
      <c r="I197" s="51" t="n">
        <v>51.6</v>
      </c>
      <c r="J197" s="51" t="n">
        <v>5.87</v>
      </c>
      <c r="K197" s="51" t="n">
        <v>4</v>
      </c>
      <c r="L197" s="51" t="n">
        <v>1</v>
      </c>
      <c r="M197" s="51" t="n">
        <v>1</v>
      </c>
      <c r="N197" s="51" t="n">
        <v>0</v>
      </c>
      <c r="O197" s="51" t="n">
        <v>4</v>
      </c>
      <c r="P197" s="51" t="n">
        <v>720</v>
      </c>
      <c r="Q197" s="51" t="n">
        <v>5</v>
      </c>
      <c r="R197" s="51" t="n">
        <v>180</v>
      </c>
      <c r="S197" s="51" t="n">
        <v>1</v>
      </c>
      <c r="T197" s="51" t="n">
        <v>5</v>
      </c>
      <c r="U197" s="51" t="n">
        <v>120</v>
      </c>
      <c r="V197" s="51" t="n">
        <v>5</v>
      </c>
      <c r="W197" s="51" t="n">
        <v>1200</v>
      </c>
      <c r="X197" s="51" t="n">
        <v>0.096</v>
      </c>
    </row>
    <row r="198">
      <c r="A198" s="51" t="inlineStr">
        <is>
          <t>Vine Shoots</t>
        </is>
      </c>
      <c r="B198" s="51" t="n">
        <v>31.9</v>
      </c>
      <c r="C198" s="51" t="n">
        <v>23.2</v>
      </c>
      <c r="D198" s="51" t="n">
        <v>38.5</v>
      </c>
      <c r="E198" s="51" t="n">
        <v>71.40000000000001</v>
      </c>
      <c r="F198" s="51" t="n">
        <v>3.7</v>
      </c>
      <c r="G198" s="51" t="n">
        <v>14.6</v>
      </c>
      <c r="H198" s="51" t="n">
        <v>41.8</v>
      </c>
      <c r="I198" s="51" t="n">
        <v>51.6</v>
      </c>
      <c r="J198" s="51" t="n">
        <v>5.87</v>
      </c>
      <c r="K198" s="51" t="n">
        <v>4</v>
      </c>
      <c r="L198" s="51" t="n">
        <v>1</v>
      </c>
      <c r="M198" s="51" t="n">
        <v>1</v>
      </c>
      <c r="N198" s="51" t="n">
        <v>0</v>
      </c>
      <c r="O198" s="51" t="n">
        <v>4</v>
      </c>
      <c r="P198" s="51" t="n">
        <v>720</v>
      </c>
      <c r="Q198" s="51" t="n">
        <v>5</v>
      </c>
      <c r="R198" s="51" t="n">
        <v>180</v>
      </c>
      <c r="S198" s="51" t="n">
        <v>1</v>
      </c>
      <c r="T198" s="51" t="n">
        <v>5</v>
      </c>
      <c r="U198" s="51" t="n">
        <v>120</v>
      </c>
      <c r="V198" s="51" t="n">
        <v>5</v>
      </c>
      <c r="W198" s="51" t="n">
        <v>1000</v>
      </c>
      <c r="X198" s="51" t="n">
        <v>0.378</v>
      </c>
    </row>
    <row r="199">
      <c r="A199" s="51" t="inlineStr">
        <is>
          <t>Wheat straw</t>
        </is>
      </c>
      <c r="B199" s="51" t="n">
        <v>57.09</v>
      </c>
      <c r="C199" s="51" t="n">
        <v>16.81</v>
      </c>
      <c r="D199" s="51" t="n">
        <v>19.1</v>
      </c>
      <c r="E199" s="51" t="n">
        <v>68.23</v>
      </c>
      <c r="F199" s="51" t="n">
        <v>17.04</v>
      </c>
      <c r="G199" s="51" t="n">
        <v>14.72</v>
      </c>
      <c r="H199" s="51" t="n">
        <v>37.2</v>
      </c>
      <c r="I199" s="51" t="n">
        <v>37.3</v>
      </c>
      <c r="J199" s="51" t="n">
        <v>5.57</v>
      </c>
      <c r="K199" s="51" t="n">
        <v>5</v>
      </c>
      <c r="L199" s="51" t="n">
        <v>1</v>
      </c>
      <c r="M199" s="51" t="n">
        <v>0</v>
      </c>
      <c r="N199" s="51" t="n">
        <v>1</v>
      </c>
      <c r="O199" s="51" t="n">
        <v>0</v>
      </c>
      <c r="P199" s="51" t="n">
        <v>120</v>
      </c>
      <c r="Q199" s="51" t="n">
        <v>2</v>
      </c>
      <c r="R199" s="51" t="n">
        <v>900</v>
      </c>
      <c r="S199" s="51" t="n">
        <v>0</v>
      </c>
      <c r="T199" s="51" t="n">
        <v>5</v>
      </c>
      <c r="U199" s="51" t="n">
        <v>0</v>
      </c>
      <c r="V199" s="51" t="n">
        <v>0</v>
      </c>
      <c r="W199" s="51" t="n">
        <v>0</v>
      </c>
      <c r="X199" s="51" t="n">
        <v>0.7984</v>
      </c>
    </row>
    <row r="200">
      <c r="A200" s="51" t="inlineStr">
        <is>
          <t>Wheat straw</t>
        </is>
      </c>
      <c r="B200" s="51" t="n">
        <v>57.09</v>
      </c>
      <c r="C200" s="51" t="n">
        <v>16.81</v>
      </c>
      <c r="D200" s="51" t="n">
        <v>19.1</v>
      </c>
      <c r="E200" s="51" t="n">
        <v>68.23</v>
      </c>
      <c r="F200" s="51" t="n">
        <v>17.04</v>
      </c>
      <c r="G200" s="51" t="n">
        <v>14.72</v>
      </c>
      <c r="H200" s="51" t="n">
        <v>37.2</v>
      </c>
      <c r="I200" s="51" t="n">
        <v>37.3</v>
      </c>
      <c r="J200" s="51" t="n">
        <v>5.57</v>
      </c>
      <c r="K200" s="51" t="n">
        <v>5</v>
      </c>
      <c r="L200" s="51" t="n">
        <v>1</v>
      </c>
      <c r="M200" s="51" t="n">
        <v>0</v>
      </c>
      <c r="N200" s="51" t="n">
        <v>1</v>
      </c>
      <c r="O200" s="51" t="n">
        <v>0</v>
      </c>
      <c r="P200" s="51" t="n">
        <v>120</v>
      </c>
      <c r="Q200" s="51" t="n">
        <v>2</v>
      </c>
      <c r="R200" s="51" t="n">
        <v>1200</v>
      </c>
      <c r="S200" s="51" t="n">
        <v>0</v>
      </c>
      <c r="T200" s="51" t="n">
        <v>5</v>
      </c>
      <c r="U200" s="51" t="n">
        <v>0</v>
      </c>
      <c r="V200" s="51" t="n">
        <v>0</v>
      </c>
      <c r="W200" s="51" t="n">
        <v>0</v>
      </c>
      <c r="X200" s="51" t="n">
        <v>0.0878</v>
      </c>
    </row>
    <row r="201">
      <c r="A201" s="51" t="inlineStr">
        <is>
          <t>yellow sandal</t>
        </is>
      </c>
      <c r="B201" s="51" t="n">
        <v>45</v>
      </c>
      <c r="C201" s="51" t="n">
        <v>25</v>
      </c>
      <c r="D201" s="51" t="n">
        <v>25</v>
      </c>
      <c r="E201" s="51" t="n">
        <v>78</v>
      </c>
      <c r="F201" s="51" t="n">
        <v>1.3</v>
      </c>
      <c r="G201" s="51" t="n">
        <v>19.7</v>
      </c>
      <c r="H201" s="51" t="n">
        <v>51</v>
      </c>
      <c r="I201" s="51" t="n">
        <v>42</v>
      </c>
      <c r="J201" s="51" t="n">
        <v>6.3</v>
      </c>
      <c r="K201" s="51" t="n">
        <v>4</v>
      </c>
      <c r="L201" s="51" t="n">
        <v>5</v>
      </c>
      <c r="M201" s="51" t="n">
        <v>0</v>
      </c>
      <c r="N201" s="51" t="n">
        <v>1</v>
      </c>
      <c r="O201" s="51" t="n">
        <v>4</v>
      </c>
      <c r="P201" s="51" t="n">
        <v>203.025773195876</v>
      </c>
      <c r="Q201" s="51" t="n">
        <v>2</v>
      </c>
      <c r="R201" s="51" t="n">
        <v>1500</v>
      </c>
      <c r="S201" s="51" t="n">
        <v>0</v>
      </c>
      <c r="T201" s="51" t="n">
        <v>5</v>
      </c>
      <c r="U201" s="51" t="n">
        <v>0</v>
      </c>
      <c r="V201" s="51" t="n">
        <v>0</v>
      </c>
      <c r="W201" s="51" t="n">
        <v>0</v>
      </c>
      <c r="X201" s="51" t="n">
        <v>0.008160000000000001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75"/>
  <sheetViews>
    <sheetView topLeftCell="E1" workbookViewId="0">
      <selection activeCell="U33" sqref="U33"/>
    </sheetView>
  </sheetViews>
  <sheetFormatPr baseColWidth="8" defaultRowHeight="14.4"/>
  <cols>
    <col width="19.21875" customWidth="1" style="51" min="1" max="1"/>
    <col width="12.88671875" customWidth="1" style="51" min="2" max="2"/>
    <col width="16" customWidth="1" style="51" min="3" max="3"/>
    <col width="12.88671875" customWidth="1" style="51" min="4" max="4"/>
    <col width="16.44140625" customWidth="1" style="51" min="5" max="5"/>
    <col width="12.88671875" customWidth="1" style="51" min="6" max="6"/>
    <col width="14.5546875" customWidth="1" style="51" min="7" max="7"/>
    <col width="12.88671875" customWidth="1" style="51" min="8" max="10"/>
    <col width="8.77734375" customWidth="1" style="51" min="11" max="11"/>
    <col width="9.6640625" customWidth="1" style="51" min="12" max="12"/>
    <col width="5.77734375" customWidth="1" style="51" min="13" max="13"/>
    <col width="11.6640625" customWidth="1" style="51" min="14" max="14"/>
    <col width="12.6640625" customWidth="1" style="51" min="15" max="15"/>
    <col width="12.88671875" customWidth="1" style="51" min="16" max="16"/>
    <col width="15.5546875" customWidth="1" style="51" min="17" max="17"/>
    <col width="16.21875" customWidth="1" style="51" min="18" max="18"/>
    <col width="11.6640625" customWidth="1" style="51" min="19" max="19"/>
    <col width="12.6640625" customWidth="1" style="51" min="20" max="20"/>
    <col width="12.88671875" customWidth="1" style="51" min="21" max="21"/>
    <col width="15.5546875" customWidth="1" style="51" min="22" max="22"/>
    <col width="16.21875" customWidth="1" style="51" min="23" max="23"/>
    <col width="12.88671875" customWidth="1" style="51" min="24" max="24"/>
  </cols>
  <sheetData>
    <row r="1">
      <c r="A1" s="50" t="inlineStr">
        <is>
          <t>Biomass</t>
        </is>
      </c>
      <c r="B1" s="50" t="inlineStr">
        <is>
          <t>Cellulose%</t>
        </is>
      </c>
      <c r="C1" s="50" t="inlineStr">
        <is>
          <t>Hemi-cellulose%</t>
        </is>
      </c>
      <c r="D1" s="50" t="inlineStr">
        <is>
          <t>Lignin%</t>
        </is>
      </c>
      <c r="E1" s="50" t="inlineStr">
        <is>
          <t>Volatile Matter%</t>
        </is>
      </c>
      <c r="F1" s="50" t="inlineStr">
        <is>
          <t>Ash%</t>
        </is>
      </c>
      <c r="G1" s="50" t="inlineStr">
        <is>
          <t>Fixed Carbon%</t>
        </is>
      </c>
      <c r="H1" s="50" t="inlineStr">
        <is>
          <t>Carbon%</t>
        </is>
      </c>
      <c r="I1" s="50" t="inlineStr">
        <is>
          <t>Oxygen%</t>
        </is>
      </c>
      <c r="J1" s="50" t="inlineStr">
        <is>
          <t>Hydrogen%</t>
        </is>
      </c>
      <c r="K1" s="50" t="inlineStr">
        <is>
          <t>Prewash</t>
        </is>
      </c>
      <c r="L1" s="50" t="inlineStr">
        <is>
          <t>Postwash</t>
        </is>
      </c>
      <c r="M1" s="50" t="inlineStr">
        <is>
          <t>Type</t>
        </is>
      </c>
      <c r="N1" s="50" t="inlineStr">
        <is>
          <t>Method_01</t>
        </is>
      </c>
      <c r="O1" s="50" t="inlineStr">
        <is>
          <t>Activator_01</t>
        </is>
      </c>
      <c r="P1" s="50" t="inlineStr">
        <is>
          <t>Time_01</t>
        </is>
      </c>
      <c r="Q1" s="50" t="inlineStr">
        <is>
          <t>Heating rate_01</t>
        </is>
      </c>
      <c r="R1" s="50" t="inlineStr">
        <is>
          <t>Temperature_01</t>
        </is>
      </c>
      <c r="S1" s="50" t="inlineStr">
        <is>
          <t>Method_02</t>
        </is>
      </c>
      <c r="T1" s="50" t="inlineStr">
        <is>
          <t>Activator_02</t>
        </is>
      </c>
      <c r="U1" s="50" t="inlineStr">
        <is>
          <t>Time_02</t>
        </is>
      </c>
      <c r="V1" s="50" t="inlineStr">
        <is>
          <t>Heating rate_02</t>
        </is>
      </c>
      <c r="W1" s="50" t="inlineStr">
        <is>
          <t>Temperature_02</t>
        </is>
      </c>
      <c r="X1" s="50" t="inlineStr">
        <is>
          <t>IG/ID</t>
        </is>
      </c>
    </row>
    <row r="2">
      <c r="A2" s="51" t="inlineStr">
        <is>
          <t>Alkali Lignin</t>
        </is>
      </c>
      <c r="B2" s="51" t="n">
        <v>0</v>
      </c>
      <c r="C2" s="51" t="n">
        <v>0</v>
      </c>
      <c r="D2" s="51" t="n">
        <v>100</v>
      </c>
      <c r="E2" s="51" t="n">
        <v>68.95923718526311</v>
      </c>
      <c r="F2" s="51" t="n">
        <v>3.85650251849244</v>
      </c>
      <c r="G2" s="51" t="n">
        <v>21.9334593054885</v>
      </c>
      <c r="H2" s="51" t="n">
        <v>45.695702977591</v>
      </c>
      <c r="I2" s="51" t="n">
        <v>44.7190770244817</v>
      </c>
      <c r="J2" s="51" t="n">
        <v>5.98146243273457</v>
      </c>
      <c r="K2" s="51" t="n">
        <v>4</v>
      </c>
      <c r="L2" s="51" t="n">
        <v>5</v>
      </c>
      <c r="M2" s="51" t="n">
        <v>0</v>
      </c>
      <c r="N2" s="51" t="n">
        <v>1</v>
      </c>
      <c r="O2" s="51" t="n">
        <v>4</v>
      </c>
      <c r="P2" s="51" t="n">
        <v>180</v>
      </c>
      <c r="Q2" s="51" t="n">
        <v>2</v>
      </c>
      <c r="R2" s="51" t="n">
        <v>1300</v>
      </c>
      <c r="S2" s="51" t="n">
        <v>0</v>
      </c>
      <c r="T2" s="51" t="n">
        <v>5</v>
      </c>
      <c r="U2" s="51" t="n">
        <v>0</v>
      </c>
      <c r="V2" s="51" t="n">
        <v>0</v>
      </c>
      <c r="W2" s="51" t="n">
        <v>0</v>
      </c>
      <c r="X2" s="51" t="n">
        <v>0.689655172413793</v>
      </c>
    </row>
    <row r="3">
      <c r="A3" s="51" t="inlineStr">
        <is>
          <t>Alkali Lignin</t>
        </is>
      </c>
      <c r="B3" s="51" t="n">
        <v>0</v>
      </c>
      <c r="C3" s="51" t="n">
        <v>0</v>
      </c>
      <c r="D3" s="51" t="n">
        <v>100</v>
      </c>
      <c r="E3" s="51" t="n">
        <v>68.9592372041144</v>
      </c>
      <c r="F3" s="51" t="n">
        <v>3.8565025196313</v>
      </c>
      <c r="G3" s="51" t="n">
        <v>21.9334592805848</v>
      </c>
      <c r="H3" s="51" t="n">
        <v>45.6957029750271</v>
      </c>
      <c r="I3" s="51" t="n">
        <v>44.7190770297867</v>
      </c>
      <c r="J3" s="51" t="n">
        <v>5.98146243361558</v>
      </c>
      <c r="K3" s="51" t="n">
        <v>4</v>
      </c>
      <c r="L3" s="51" t="n">
        <v>5</v>
      </c>
      <c r="M3" s="51" t="n">
        <v>0</v>
      </c>
      <c r="N3" s="51" t="n">
        <v>1</v>
      </c>
      <c r="O3" s="51" t="n">
        <v>4</v>
      </c>
      <c r="P3" s="51" t="n">
        <v>180</v>
      </c>
      <c r="Q3" s="51" t="n">
        <v>2</v>
      </c>
      <c r="R3" s="51" t="n">
        <v>1300</v>
      </c>
      <c r="S3" s="51" t="n">
        <v>0</v>
      </c>
      <c r="T3" s="51" t="n">
        <v>5</v>
      </c>
      <c r="U3" s="51" t="n">
        <v>0</v>
      </c>
      <c r="V3" s="51" t="n">
        <v>0</v>
      </c>
      <c r="W3" s="51" t="n">
        <v>0</v>
      </c>
      <c r="X3" s="51" t="n">
        <v>0.595238095238095</v>
      </c>
    </row>
    <row r="4">
      <c r="A4" s="51" t="inlineStr">
        <is>
          <t>Almond shell</t>
        </is>
      </c>
      <c r="B4" s="51" t="n">
        <v>38.47</v>
      </c>
      <c r="C4" s="51" t="n">
        <v>28.82</v>
      </c>
      <c r="D4" s="51" t="n">
        <v>29.54</v>
      </c>
      <c r="E4" s="51" t="n">
        <v>75.73</v>
      </c>
      <c r="F4" s="51" t="n">
        <v>12.48</v>
      </c>
      <c r="G4" s="51" t="n">
        <v>11.14</v>
      </c>
      <c r="H4" s="51" t="n">
        <v>42.92</v>
      </c>
      <c r="I4" s="51" t="n">
        <v>50.56</v>
      </c>
      <c r="J4" s="51" t="n">
        <v>5.8</v>
      </c>
      <c r="K4" s="51" t="n">
        <v>1</v>
      </c>
      <c r="L4" s="51" t="n">
        <v>5</v>
      </c>
      <c r="M4" s="51" t="n">
        <v>1</v>
      </c>
      <c r="N4" s="51" t="n">
        <v>1</v>
      </c>
      <c r="O4" s="51" t="n">
        <v>4</v>
      </c>
      <c r="P4" s="51" t="n">
        <v>120</v>
      </c>
      <c r="Q4" s="51" t="n">
        <v>5</v>
      </c>
      <c r="R4" s="51" t="n">
        <v>600</v>
      </c>
      <c r="S4" s="51" t="n">
        <v>1</v>
      </c>
      <c r="T4" s="51" t="n">
        <v>5</v>
      </c>
      <c r="U4" s="51" t="n">
        <v>180</v>
      </c>
      <c r="V4" s="51" t="n">
        <v>5</v>
      </c>
      <c r="W4" s="51" t="n">
        <v>1300</v>
      </c>
      <c r="X4" s="51" t="n">
        <v>0.518134715025907</v>
      </c>
    </row>
    <row r="5">
      <c r="A5" s="51" t="inlineStr">
        <is>
          <t>Almond shell</t>
        </is>
      </c>
      <c r="B5" s="51" t="n">
        <v>38.47</v>
      </c>
      <c r="C5" s="51" t="n">
        <v>28.82</v>
      </c>
      <c r="D5" s="51" t="n">
        <v>29.54</v>
      </c>
      <c r="E5" s="51" t="n">
        <v>75.73</v>
      </c>
      <c r="F5" s="51" t="n">
        <v>12.48</v>
      </c>
      <c r="G5" s="51" t="n">
        <v>11.14</v>
      </c>
      <c r="H5" s="51" t="n">
        <v>42.92</v>
      </c>
      <c r="I5" s="51" t="n">
        <v>50.56</v>
      </c>
      <c r="J5" s="51" t="n">
        <v>5.8</v>
      </c>
      <c r="K5" s="51" t="n">
        <v>1</v>
      </c>
      <c r="L5" s="51" t="n">
        <v>5</v>
      </c>
      <c r="M5" s="51" t="n">
        <v>1</v>
      </c>
      <c r="N5" s="51" t="n">
        <v>1</v>
      </c>
      <c r="O5" s="51" t="n">
        <v>4</v>
      </c>
      <c r="P5" s="51" t="n">
        <v>120</v>
      </c>
      <c r="Q5" s="51" t="n">
        <v>5</v>
      </c>
      <c r="R5" s="51" t="n">
        <v>600</v>
      </c>
      <c r="S5" s="51" t="n">
        <v>1</v>
      </c>
      <c r="T5" s="51" t="n">
        <v>5</v>
      </c>
      <c r="U5" s="51" t="n">
        <v>180</v>
      </c>
      <c r="V5" s="51" t="n">
        <v>5</v>
      </c>
      <c r="W5" s="51" t="n">
        <v>1300</v>
      </c>
      <c r="X5" s="51" t="n">
        <v>0.53475935828877</v>
      </c>
    </row>
    <row r="6">
      <c r="A6" s="51" t="inlineStr">
        <is>
          <t>Almond shell</t>
        </is>
      </c>
      <c r="B6" s="51" t="n">
        <v>38.47</v>
      </c>
      <c r="C6" s="51" t="n">
        <v>28.82</v>
      </c>
      <c r="D6" s="51" t="n">
        <v>29.54</v>
      </c>
      <c r="E6" s="51" t="n">
        <v>75.73</v>
      </c>
      <c r="F6" s="51" t="n">
        <v>12.48</v>
      </c>
      <c r="G6" s="51" t="n">
        <v>11.14</v>
      </c>
      <c r="H6" s="51" t="n">
        <v>42.92</v>
      </c>
      <c r="I6" s="51" t="n">
        <v>50.56</v>
      </c>
      <c r="J6" s="51" t="n">
        <v>5.8</v>
      </c>
      <c r="K6" s="51" t="n">
        <v>1</v>
      </c>
      <c r="L6" s="51" t="n">
        <v>5</v>
      </c>
      <c r="M6" s="51" t="n">
        <v>1</v>
      </c>
      <c r="N6" s="51" t="n">
        <v>1</v>
      </c>
      <c r="O6" s="51" t="n">
        <v>4</v>
      </c>
      <c r="P6" s="51" t="n">
        <v>120</v>
      </c>
      <c r="Q6" s="51" t="n">
        <v>5</v>
      </c>
      <c r="R6" s="51" t="n">
        <v>600</v>
      </c>
      <c r="S6" s="51" t="n">
        <v>1</v>
      </c>
      <c r="T6" s="51" t="n">
        <v>5</v>
      </c>
      <c r="U6" s="51" t="n">
        <v>180</v>
      </c>
      <c r="V6" s="51" t="n">
        <v>5</v>
      </c>
      <c r="W6" s="51" t="n">
        <v>1300</v>
      </c>
      <c r="X6" s="51" t="n">
        <v>0.568181818181818</v>
      </c>
    </row>
    <row r="7">
      <c r="A7" s="51" t="inlineStr">
        <is>
          <t>Almond shell</t>
        </is>
      </c>
      <c r="B7" s="51" t="n">
        <v>38.47</v>
      </c>
      <c r="C7" s="51" t="n">
        <v>28.82</v>
      </c>
      <c r="D7" s="51" t="n">
        <v>29.54</v>
      </c>
      <c r="E7" s="51" t="n">
        <v>75.73</v>
      </c>
      <c r="F7" s="51" t="n">
        <v>12.48</v>
      </c>
      <c r="G7" s="51" t="n">
        <v>11.14</v>
      </c>
      <c r="H7" s="51" t="n">
        <v>42.92</v>
      </c>
      <c r="I7" s="51" t="n">
        <v>50.56</v>
      </c>
      <c r="J7" s="51" t="n">
        <v>5.8</v>
      </c>
      <c r="K7" s="51" t="n">
        <v>1</v>
      </c>
      <c r="L7" s="51" t="n">
        <v>5</v>
      </c>
      <c r="M7" s="51" t="n">
        <v>1</v>
      </c>
      <c r="N7" s="51" t="n">
        <v>1</v>
      </c>
      <c r="O7" s="51" t="n">
        <v>4</v>
      </c>
      <c r="P7" s="51" t="n">
        <v>120</v>
      </c>
      <c r="Q7" s="51" t="n">
        <v>5</v>
      </c>
      <c r="R7" s="51" t="n">
        <v>600</v>
      </c>
      <c r="S7" s="51" t="n">
        <v>1</v>
      </c>
      <c r="T7" s="51" t="n">
        <v>5</v>
      </c>
      <c r="U7" s="51" t="n">
        <v>180</v>
      </c>
      <c r="V7" s="51" t="n">
        <v>5</v>
      </c>
      <c r="W7" s="51" t="n">
        <v>1300</v>
      </c>
      <c r="X7" s="51" t="n">
        <v>0.515463917525773</v>
      </c>
    </row>
    <row r="8">
      <c r="A8" s="51" t="inlineStr">
        <is>
          <t>Apple pomace</t>
        </is>
      </c>
      <c r="B8" s="51" t="n">
        <v>47.49</v>
      </c>
      <c r="C8" s="51" t="n">
        <v>27.77</v>
      </c>
      <c r="D8" s="51" t="n">
        <v>24.72</v>
      </c>
      <c r="E8" s="51" t="n">
        <v>91.31999999999999</v>
      </c>
      <c r="F8" s="51" t="n">
        <v>3.4</v>
      </c>
      <c r="G8" s="51" t="n">
        <v>6.41</v>
      </c>
      <c r="H8" s="51" t="n">
        <v>47.98</v>
      </c>
      <c r="I8" s="51" t="n">
        <v>37.44</v>
      </c>
      <c r="J8" s="51" t="n">
        <v>6.65</v>
      </c>
      <c r="K8" s="51" t="n">
        <v>4</v>
      </c>
      <c r="L8" s="51" t="n">
        <v>6</v>
      </c>
      <c r="M8" s="51" t="n">
        <v>1</v>
      </c>
      <c r="N8" s="51" t="n">
        <v>0</v>
      </c>
      <c r="O8" s="51" t="n">
        <v>6</v>
      </c>
      <c r="P8" s="51" t="n">
        <v>1800</v>
      </c>
      <c r="Q8" s="51" t="n">
        <v>9.33902507440621</v>
      </c>
      <c r="R8" s="51" t="n">
        <v>180</v>
      </c>
      <c r="S8" s="51" t="n">
        <v>1</v>
      </c>
      <c r="T8" s="51" t="n">
        <v>5</v>
      </c>
      <c r="U8" s="51" t="n">
        <v>160.589303781979</v>
      </c>
      <c r="V8" s="51" t="n">
        <v>5</v>
      </c>
      <c r="W8" s="51" t="n">
        <v>700</v>
      </c>
      <c r="X8" s="51" t="n">
        <v>0.92</v>
      </c>
    </row>
    <row r="9">
      <c r="A9" s="51" t="inlineStr">
        <is>
          <t>Apple pomace</t>
        </is>
      </c>
      <c r="B9" s="51" t="n">
        <v>47.49</v>
      </c>
      <c r="C9" s="51" t="n">
        <v>27.77</v>
      </c>
      <c r="D9" s="51" t="n">
        <v>24.72</v>
      </c>
      <c r="E9" s="51" t="n">
        <v>91.31999999999999</v>
      </c>
      <c r="F9" s="51" t="n">
        <v>3.4</v>
      </c>
      <c r="G9" s="51" t="n">
        <v>6.41</v>
      </c>
      <c r="H9" s="51" t="n">
        <v>47.98</v>
      </c>
      <c r="I9" s="51" t="n">
        <v>37.44</v>
      </c>
      <c r="J9" s="51" t="n">
        <v>6.65</v>
      </c>
      <c r="K9" s="51" t="n">
        <v>4</v>
      </c>
      <c r="L9" s="51" t="n">
        <v>6</v>
      </c>
      <c r="M9" s="51" t="n">
        <v>1</v>
      </c>
      <c r="N9" s="51" t="n">
        <v>0</v>
      </c>
      <c r="O9" s="51" t="n">
        <v>6</v>
      </c>
      <c r="P9" s="51" t="n">
        <v>1800</v>
      </c>
      <c r="Q9" s="51" t="n">
        <v>9.213426951779519</v>
      </c>
      <c r="R9" s="51" t="n">
        <v>180</v>
      </c>
      <c r="S9" s="51" t="n">
        <v>1</v>
      </c>
      <c r="T9" s="51" t="n">
        <v>5</v>
      </c>
      <c r="U9" s="51" t="n">
        <v>159.327749707141</v>
      </c>
      <c r="V9" s="51" t="n">
        <v>5</v>
      </c>
      <c r="W9" s="51" t="n">
        <v>600</v>
      </c>
      <c r="X9" s="51" t="n">
        <v>1.08</v>
      </c>
    </row>
    <row r="10">
      <c r="A10" s="51" t="inlineStr">
        <is>
          <t>Apple pomace</t>
        </is>
      </c>
      <c r="B10" s="51" t="n">
        <v>47.49</v>
      </c>
      <c r="C10" s="51" t="n">
        <v>27.77</v>
      </c>
      <c r="D10" s="51" t="n">
        <v>24.72</v>
      </c>
      <c r="E10" s="51" t="n">
        <v>91.31999999999999</v>
      </c>
      <c r="F10" s="51" t="n">
        <v>3.4</v>
      </c>
      <c r="G10" s="51" t="n">
        <v>6.41</v>
      </c>
      <c r="H10" s="51" t="n">
        <v>47.98</v>
      </c>
      <c r="I10" s="51" t="n">
        <v>37.44</v>
      </c>
      <c r="J10" s="51" t="n">
        <v>6.65</v>
      </c>
      <c r="K10" s="51" t="n">
        <v>4</v>
      </c>
      <c r="L10" s="51" t="n">
        <v>6</v>
      </c>
      <c r="M10" s="51" t="n">
        <v>1</v>
      </c>
      <c r="N10" s="51" t="n">
        <v>0</v>
      </c>
      <c r="O10" s="51" t="n">
        <v>6</v>
      </c>
      <c r="P10" s="51" t="n">
        <v>1800</v>
      </c>
      <c r="Q10" s="51" t="n">
        <v>8.319685960255089</v>
      </c>
      <c r="R10" s="51" t="n">
        <v>180</v>
      </c>
      <c r="S10" s="51" t="n">
        <v>1</v>
      </c>
      <c r="T10" s="51" t="n">
        <v>5</v>
      </c>
      <c r="U10" s="51" t="n">
        <v>102.077152479705</v>
      </c>
      <c r="V10" s="51" t="n">
        <v>5</v>
      </c>
      <c r="W10" s="51" t="n">
        <v>500</v>
      </c>
      <c r="X10" s="51" t="n">
        <v>1.13</v>
      </c>
    </row>
    <row r="11">
      <c r="A11" s="51" t="inlineStr">
        <is>
          <t>Apricot shells</t>
        </is>
      </c>
      <c r="B11" s="51" t="n">
        <v>33.3</v>
      </c>
      <c r="C11" s="51" t="n">
        <v>27.8</v>
      </c>
      <c r="D11" s="51" t="n">
        <v>52</v>
      </c>
      <c r="E11" s="51" t="n">
        <v>73.84</v>
      </c>
      <c r="F11" s="51" t="n">
        <v>0.9399999999999999</v>
      </c>
      <c r="G11" s="51" t="n">
        <v>15.51</v>
      </c>
      <c r="H11" s="51" t="n">
        <v>46.88</v>
      </c>
      <c r="I11" s="51" t="n">
        <v>45.45</v>
      </c>
      <c r="J11" s="51" t="n">
        <v>6.38</v>
      </c>
      <c r="K11" s="51" t="n">
        <v>6</v>
      </c>
      <c r="L11" s="51" t="n">
        <v>5</v>
      </c>
      <c r="M11" s="51" t="n">
        <v>0</v>
      </c>
      <c r="N11" s="51" t="n">
        <v>1</v>
      </c>
      <c r="O11" s="51" t="n">
        <v>4</v>
      </c>
      <c r="P11" s="51" t="n">
        <v>175.8318649121</v>
      </c>
      <c r="Q11" s="51" t="n">
        <v>5</v>
      </c>
      <c r="R11" s="51" t="n">
        <v>900</v>
      </c>
      <c r="S11" s="51" t="n">
        <v>0</v>
      </c>
      <c r="T11" s="51" t="n">
        <v>5</v>
      </c>
      <c r="U11" s="51" t="n">
        <v>0</v>
      </c>
      <c r="V11" s="51" t="n">
        <v>0</v>
      </c>
      <c r="W11" s="51" t="n">
        <v>0</v>
      </c>
      <c r="X11" s="51" t="n">
        <v>0.48</v>
      </c>
    </row>
    <row r="12">
      <c r="A12" s="51" t="inlineStr">
        <is>
          <t>Apricot shells</t>
        </is>
      </c>
      <c r="B12" s="51" t="n">
        <v>33.3</v>
      </c>
      <c r="C12" s="51" t="n">
        <v>27.8</v>
      </c>
      <c r="D12" s="51" t="n">
        <v>52</v>
      </c>
      <c r="E12" s="51" t="n">
        <v>73.84</v>
      </c>
      <c r="F12" s="51" t="n">
        <v>0.9399999999999999</v>
      </c>
      <c r="G12" s="51" t="n">
        <v>15.51</v>
      </c>
      <c r="H12" s="51" t="n">
        <v>46.88</v>
      </c>
      <c r="I12" s="51" t="n">
        <v>45.45</v>
      </c>
      <c r="J12" s="51" t="n">
        <v>6.38</v>
      </c>
      <c r="K12" s="51" t="n">
        <v>6</v>
      </c>
      <c r="L12" s="51" t="n">
        <v>5</v>
      </c>
      <c r="M12" s="51" t="n">
        <v>0</v>
      </c>
      <c r="N12" s="51" t="n">
        <v>1</v>
      </c>
      <c r="O12" s="51" t="n">
        <v>4</v>
      </c>
      <c r="P12" s="51" t="n">
        <v>189.941814640298</v>
      </c>
      <c r="Q12" s="51" t="n">
        <v>5.45246687866242</v>
      </c>
      <c r="R12" s="51" t="n">
        <v>1100</v>
      </c>
      <c r="S12" s="51" t="n">
        <v>0</v>
      </c>
      <c r="T12" s="51" t="n">
        <v>5</v>
      </c>
      <c r="U12" s="51" t="n">
        <v>0</v>
      </c>
      <c r="V12" s="51" t="n">
        <v>0</v>
      </c>
      <c r="W12" s="51" t="n">
        <v>0</v>
      </c>
      <c r="X12" s="51" t="n">
        <v>0.55</v>
      </c>
    </row>
    <row r="13">
      <c r="A13" s="51" t="inlineStr">
        <is>
          <t>Apricot shells</t>
        </is>
      </c>
      <c r="B13" s="51" t="n">
        <v>33.3</v>
      </c>
      <c r="C13" s="51" t="n">
        <v>27.8</v>
      </c>
      <c r="D13" s="51" t="n">
        <v>52</v>
      </c>
      <c r="E13" s="51" t="n">
        <v>73.84</v>
      </c>
      <c r="F13" s="51" t="n">
        <v>0.9399999999999999</v>
      </c>
      <c r="G13" s="51" t="n">
        <v>15.51</v>
      </c>
      <c r="H13" s="51" t="n">
        <v>46.88</v>
      </c>
      <c r="I13" s="51" t="n">
        <v>45.45</v>
      </c>
      <c r="J13" s="51" t="n">
        <v>6.38</v>
      </c>
      <c r="K13" s="51" t="n">
        <v>6</v>
      </c>
      <c r="L13" s="51" t="n">
        <v>5</v>
      </c>
      <c r="M13" s="51" t="n">
        <v>0</v>
      </c>
      <c r="N13" s="51" t="n">
        <v>1</v>
      </c>
      <c r="O13" s="51" t="n">
        <v>4</v>
      </c>
      <c r="P13" s="51" t="n">
        <v>131.981029101058</v>
      </c>
      <c r="Q13" s="51" t="n">
        <v>5.97268940194489</v>
      </c>
      <c r="R13" s="51" t="n">
        <v>1300</v>
      </c>
      <c r="S13" s="51" t="n">
        <v>0</v>
      </c>
      <c r="T13" s="51" t="n">
        <v>5</v>
      </c>
      <c r="U13" s="51" t="n">
        <v>0</v>
      </c>
      <c r="V13" s="51" t="n">
        <v>0</v>
      </c>
      <c r="W13" s="51" t="n">
        <v>0</v>
      </c>
      <c r="X13" s="51" t="n">
        <v>0.64</v>
      </c>
    </row>
    <row r="14">
      <c r="A14" s="51" t="inlineStr">
        <is>
          <t>Apricot shells</t>
        </is>
      </c>
      <c r="B14" s="51" t="n">
        <v>33.3</v>
      </c>
      <c r="C14" s="51" t="n">
        <v>27.8</v>
      </c>
      <c r="D14" s="51" t="n">
        <v>52</v>
      </c>
      <c r="E14" s="51" t="n">
        <v>73.84</v>
      </c>
      <c r="F14" s="51" t="n">
        <v>0.9399999999999999</v>
      </c>
      <c r="G14" s="51" t="n">
        <v>15.51</v>
      </c>
      <c r="H14" s="51" t="n">
        <v>46.88</v>
      </c>
      <c r="I14" s="51" t="n">
        <v>45.45</v>
      </c>
      <c r="J14" s="51" t="n">
        <v>6.38</v>
      </c>
      <c r="K14" s="51" t="n">
        <v>6</v>
      </c>
      <c r="L14" s="51" t="n">
        <v>5</v>
      </c>
      <c r="M14" s="51" t="n">
        <v>0</v>
      </c>
      <c r="N14" s="51" t="n">
        <v>1</v>
      </c>
      <c r="O14" s="51" t="n">
        <v>4</v>
      </c>
      <c r="P14" s="51" t="n">
        <v>151.754179342575</v>
      </c>
      <c r="Q14" s="51" t="n">
        <v>5.39284982225185</v>
      </c>
      <c r="R14" s="51" t="n">
        <v>1500</v>
      </c>
      <c r="S14" s="51" t="n">
        <v>0</v>
      </c>
      <c r="T14" s="51" t="n">
        <v>5</v>
      </c>
      <c r="U14" s="51" t="n">
        <v>0</v>
      </c>
      <c r="V14" s="51" t="n">
        <v>0</v>
      </c>
      <c r="W14" s="51" t="n">
        <v>0</v>
      </c>
      <c r="X14" s="51" t="n">
        <v>0.72</v>
      </c>
    </row>
    <row r="15">
      <c r="A15" s="51" t="inlineStr">
        <is>
          <t>Apricot shells</t>
        </is>
      </c>
      <c r="B15" s="51" t="n">
        <v>33.3</v>
      </c>
      <c r="C15" s="51" t="n">
        <v>27.8</v>
      </c>
      <c r="D15" s="51" t="n">
        <v>52</v>
      </c>
      <c r="E15" s="51" t="n">
        <v>73.84</v>
      </c>
      <c r="F15" s="51" t="n">
        <v>0.9399999999999999</v>
      </c>
      <c r="G15" s="51" t="n">
        <v>15.51</v>
      </c>
      <c r="H15" s="51" t="n">
        <v>46.88</v>
      </c>
      <c r="I15" s="51" t="n">
        <v>45.45</v>
      </c>
      <c r="J15" s="51" t="n">
        <v>6.38</v>
      </c>
      <c r="K15" s="51" t="n">
        <v>6</v>
      </c>
      <c r="L15" s="51" t="n">
        <v>5</v>
      </c>
      <c r="M15" s="51" t="n">
        <v>1</v>
      </c>
      <c r="N15" s="51" t="n">
        <v>1</v>
      </c>
      <c r="O15" s="51" t="n">
        <v>4</v>
      </c>
      <c r="P15" s="51" t="n">
        <v>108.933637305437</v>
      </c>
      <c r="Q15" s="51" t="n">
        <v>6.90041440165281</v>
      </c>
      <c r="R15" s="51" t="n">
        <v>900</v>
      </c>
      <c r="S15" s="51" t="n">
        <v>1</v>
      </c>
      <c r="T15" s="51" t="n">
        <v>7</v>
      </c>
      <c r="U15" s="51" t="n">
        <v>120</v>
      </c>
      <c r="V15" s="51" t="n">
        <v>0</v>
      </c>
      <c r="W15" s="51" t="n">
        <v>800</v>
      </c>
      <c r="X15" s="51" t="n">
        <v>0.53</v>
      </c>
    </row>
    <row r="16">
      <c r="A16" s="51" t="inlineStr">
        <is>
          <t>Apricot shells</t>
        </is>
      </c>
      <c r="B16" s="51" t="n">
        <v>33.3</v>
      </c>
      <c r="C16" s="51" t="n">
        <v>27.8</v>
      </c>
      <c r="D16" s="51" t="n">
        <v>52</v>
      </c>
      <c r="E16" s="51" t="n">
        <v>73.84</v>
      </c>
      <c r="F16" s="51" t="n">
        <v>0.9399999999999999</v>
      </c>
      <c r="G16" s="51" t="n">
        <v>15.51</v>
      </c>
      <c r="H16" s="51" t="n">
        <v>46.88</v>
      </c>
      <c r="I16" s="51" t="n">
        <v>45.45</v>
      </c>
      <c r="J16" s="51" t="n">
        <v>6.38</v>
      </c>
      <c r="K16" s="51" t="n">
        <v>6</v>
      </c>
      <c r="L16" s="51" t="n">
        <v>5</v>
      </c>
      <c r="M16" s="51" t="n">
        <v>1</v>
      </c>
      <c r="N16" s="51" t="n">
        <v>1</v>
      </c>
      <c r="O16" s="51" t="n">
        <v>4</v>
      </c>
      <c r="P16" s="51" t="n">
        <v>98.223951146399</v>
      </c>
      <c r="Q16" s="51" t="n">
        <v>5.40205937727459</v>
      </c>
      <c r="R16" s="51" t="n">
        <v>1100</v>
      </c>
      <c r="S16" s="51" t="n">
        <v>1</v>
      </c>
      <c r="T16" s="51" t="n">
        <v>7</v>
      </c>
      <c r="U16" s="51" t="n">
        <v>120</v>
      </c>
      <c r="V16" s="51" t="n">
        <v>0</v>
      </c>
      <c r="W16" s="51" t="n">
        <v>800</v>
      </c>
      <c r="X16" s="51" t="n">
        <v>0.6</v>
      </c>
    </row>
    <row r="17">
      <c r="A17" s="51" t="inlineStr">
        <is>
          <t>Apricot shells</t>
        </is>
      </c>
      <c r="B17" s="51" t="n">
        <v>33.3</v>
      </c>
      <c r="C17" s="51" t="n">
        <v>27.8</v>
      </c>
      <c r="D17" s="51" t="n">
        <v>52</v>
      </c>
      <c r="E17" s="51" t="n">
        <v>73.84</v>
      </c>
      <c r="F17" s="51" t="n">
        <v>0.9399999999999999</v>
      </c>
      <c r="G17" s="51" t="n">
        <v>15.51</v>
      </c>
      <c r="H17" s="51" t="n">
        <v>46.88</v>
      </c>
      <c r="I17" s="51" t="n">
        <v>45.45</v>
      </c>
      <c r="J17" s="51" t="n">
        <v>6.38</v>
      </c>
      <c r="K17" s="51" t="n">
        <v>6</v>
      </c>
      <c r="L17" s="51" t="n">
        <v>5</v>
      </c>
      <c r="M17" s="51" t="n">
        <v>1</v>
      </c>
      <c r="N17" s="51" t="n">
        <v>1</v>
      </c>
      <c r="O17" s="51" t="n">
        <v>4</v>
      </c>
      <c r="P17" s="51" t="n">
        <v>176.338690644737</v>
      </c>
      <c r="Q17" s="51" t="n">
        <v>5.14879432218149</v>
      </c>
      <c r="R17" s="51" t="n">
        <v>1300</v>
      </c>
      <c r="S17" s="51" t="n">
        <v>1</v>
      </c>
      <c r="T17" s="51" t="n">
        <v>7</v>
      </c>
      <c r="U17" s="51" t="n">
        <v>120</v>
      </c>
      <c r="V17" s="51" t="n">
        <v>0</v>
      </c>
      <c r="W17" s="51" t="n">
        <v>800</v>
      </c>
      <c r="X17" s="51" t="n">
        <v>0.6899999999999999</v>
      </c>
    </row>
    <row r="18">
      <c r="A18" s="51" t="inlineStr">
        <is>
          <t>Apricot shells</t>
        </is>
      </c>
      <c r="B18" s="51" t="n">
        <v>33.3</v>
      </c>
      <c r="C18" s="51" t="n">
        <v>27.8</v>
      </c>
      <c r="D18" s="51" t="n">
        <v>52</v>
      </c>
      <c r="E18" s="51" t="n">
        <v>73.84</v>
      </c>
      <c r="F18" s="51" t="n">
        <v>0.9399999999999999</v>
      </c>
      <c r="G18" s="51" t="n">
        <v>15.51</v>
      </c>
      <c r="H18" s="51" t="n">
        <v>46.88</v>
      </c>
      <c r="I18" s="51" t="n">
        <v>45.45</v>
      </c>
      <c r="J18" s="51" t="n">
        <v>6.38</v>
      </c>
      <c r="K18" s="51" t="n">
        <v>6</v>
      </c>
      <c r="L18" s="51" t="n">
        <v>5</v>
      </c>
      <c r="M18" s="51" t="n">
        <v>1</v>
      </c>
      <c r="N18" s="51" t="n">
        <v>1</v>
      </c>
      <c r="O18" s="51" t="n">
        <v>4</v>
      </c>
      <c r="P18" s="51" t="n">
        <v>115.233460818891</v>
      </c>
      <c r="Q18" s="51" t="n">
        <v>3.72149353752073</v>
      </c>
      <c r="R18" s="51" t="n">
        <v>1500</v>
      </c>
      <c r="S18" s="51" t="n">
        <v>1</v>
      </c>
      <c r="T18" s="51" t="n">
        <v>7</v>
      </c>
      <c r="U18" s="51" t="n">
        <v>120</v>
      </c>
      <c r="V18" s="51" t="n">
        <v>0</v>
      </c>
      <c r="W18" s="51" t="n">
        <v>800</v>
      </c>
      <c r="X18" s="51" t="n">
        <v>0.74</v>
      </c>
    </row>
    <row r="19">
      <c r="A19" s="51" t="inlineStr">
        <is>
          <t>Argan shell</t>
        </is>
      </c>
      <c r="B19" s="51" t="n">
        <v>31.07</v>
      </c>
      <c r="C19" s="51" t="n">
        <v>27.76</v>
      </c>
      <c r="D19" s="51" t="n">
        <v>37.53</v>
      </c>
      <c r="E19" s="51" t="n">
        <v>61</v>
      </c>
      <c r="F19" s="51" t="n">
        <v>28</v>
      </c>
      <c r="G19" s="51" t="n">
        <v>1.5</v>
      </c>
      <c r="H19" s="51" t="n">
        <v>51.33</v>
      </c>
      <c r="I19" s="51" t="n">
        <v>42.345</v>
      </c>
      <c r="J19" s="51" t="n">
        <v>6.32</v>
      </c>
      <c r="K19" s="51" t="n">
        <v>5</v>
      </c>
      <c r="L19" s="51" t="n">
        <v>5</v>
      </c>
      <c r="M19" s="51" t="n">
        <v>0</v>
      </c>
      <c r="N19" s="51" t="n">
        <v>1</v>
      </c>
      <c r="O19" s="51" t="n">
        <v>4</v>
      </c>
      <c r="P19" s="51" t="n">
        <v>60</v>
      </c>
      <c r="Q19" s="51" t="n">
        <v>5</v>
      </c>
      <c r="R19" s="51" t="n">
        <v>800</v>
      </c>
      <c r="S19" s="51" t="n">
        <v>0</v>
      </c>
      <c r="T19" s="51" t="n">
        <v>5</v>
      </c>
      <c r="U19" s="51" t="n">
        <v>0</v>
      </c>
      <c r="V19" s="51" t="n">
        <v>0</v>
      </c>
      <c r="W19" s="51" t="n">
        <v>0</v>
      </c>
      <c r="X19" s="51" t="n">
        <v>0.37593984962406</v>
      </c>
    </row>
    <row r="20">
      <c r="A20" s="51" t="inlineStr">
        <is>
          <t>Argan shell</t>
        </is>
      </c>
      <c r="B20" s="51" t="n">
        <v>31.07</v>
      </c>
      <c r="C20" s="51" t="n">
        <v>27.76</v>
      </c>
      <c r="D20" s="51" t="n">
        <v>37.53</v>
      </c>
      <c r="E20" s="51" t="n">
        <v>61</v>
      </c>
      <c r="F20" s="51" t="n">
        <v>28</v>
      </c>
      <c r="G20" s="51" t="n">
        <v>1.5</v>
      </c>
      <c r="H20" s="51" t="n">
        <v>51.33</v>
      </c>
      <c r="I20" s="51" t="n">
        <v>42.345</v>
      </c>
      <c r="J20" s="51" t="n">
        <v>6.32</v>
      </c>
      <c r="K20" s="51" t="n">
        <v>5</v>
      </c>
      <c r="L20" s="51" t="n">
        <v>5</v>
      </c>
      <c r="M20" s="51" t="n">
        <v>0</v>
      </c>
      <c r="N20" s="51" t="n">
        <v>1</v>
      </c>
      <c r="O20" s="51" t="n">
        <v>4</v>
      </c>
      <c r="P20" s="51" t="n">
        <v>60</v>
      </c>
      <c r="Q20" s="51" t="n">
        <v>5</v>
      </c>
      <c r="R20" s="51" t="n">
        <v>1000</v>
      </c>
      <c r="S20" s="51" t="n">
        <v>0</v>
      </c>
      <c r="T20" s="51" t="n">
        <v>5</v>
      </c>
      <c r="U20" s="51" t="n">
        <v>0</v>
      </c>
      <c r="V20" s="51" t="n">
        <v>0</v>
      </c>
      <c r="W20" s="51" t="n">
        <v>0</v>
      </c>
      <c r="X20" s="51" t="n">
        <v>0.404858299595142</v>
      </c>
    </row>
    <row r="21">
      <c r="A21" s="51" t="inlineStr">
        <is>
          <t>Argan shell</t>
        </is>
      </c>
      <c r="B21" s="51" t="n">
        <v>31.07</v>
      </c>
      <c r="C21" s="51" t="n">
        <v>27.76</v>
      </c>
      <c r="D21" s="51" t="n">
        <v>37.53</v>
      </c>
      <c r="E21" s="51" t="n">
        <v>61</v>
      </c>
      <c r="F21" s="51" t="n">
        <v>28</v>
      </c>
      <c r="G21" s="51" t="n">
        <v>1.5</v>
      </c>
      <c r="H21" s="51" t="n">
        <v>51.33</v>
      </c>
      <c r="I21" s="51" t="n">
        <v>42.345</v>
      </c>
      <c r="J21" s="51" t="n">
        <v>6.32</v>
      </c>
      <c r="K21" s="51" t="n">
        <v>5</v>
      </c>
      <c r="L21" s="51" t="n">
        <v>5</v>
      </c>
      <c r="M21" s="51" t="n">
        <v>0</v>
      </c>
      <c r="N21" s="51" t="n">
        <v>1</v>
      </c>
      <c r="O21" s="51" t="n">
        <v>4</v>
      </c>
      <c r="P21" s="51" t="n">
        <v>60</v>
      </c>
      <c r="Q21" s="51" t="n">
        <v>5</v>
      </c>
      <c r="R21" s="51" t="n">
        <v>1200</v>
      </c>
      <c r="S21" s="51" t="n">
        <v>0</v>
      </c>
      <c r="T21" s="51" t="n">
        <v>5</v>
      </c>
      <c r="U21" s="51" t="n">
        <v>0</v>
      </c>
      <c r="V21" s="51" t="n">
        <v>0</v>
      </c>
      <c r="W21" s="51" t="n">
        <v>0</v>
      </c>
      <c r="X21" s="51" t="n">
        <v>0.448430493273543</v>
      </c>
    </row>
    <row r="22">
      <c r="A22" s="51" t="inlineStr">
        <is>
          <t>Argan shell</t>
        </is>
      </c>
      <c r="B22" s="51" t="n">
        <v>31.07</v>
      </c>
      <c r="C22" s="51" t="n">
        <v>27.76</v>
      </c>
      <c r="D22" s="51" t="n">
        <v>37.53</v>
      </c>
      <c r="E22" s="51" t="n">
        <v>61</v>
      </c>
      <c r="F22" s="51" t="n">
        <v>28</v>
      </c>
      <c r="G22" s="51" t="n">
        <v>1.5</v>
      </c>
      <c r="H22" s="51" t="n">
        <v>51.33</v>
      </c>
      <c r="I22" s="51" t="n">
        <v>42.345</v>
      </c>
      <c r="J22" s="51" t="n">
        <v>6.32</v>
      </c>
      <c r="K22" s="51" t="n">
        <v>5</v>
      </c>
      <c r="L22" s="51" t="n">
        <v>5</v>
      </c>
      <c r="M22" s="51" t="n">
        <v>0</v>
      </c>
      <c r="N22" s="51" t="n">
        <v>1</v>
      </c>
      <c r="O22" s="51" t="n">
        <v>4</v>
      </c>
      <c r="P22" s="51" t="n">
        <v>60</v>
      </c>
      <c r="Q22" s="51" t="n">
        <v>5</v>
      </c>
      <c r="R22" s="51" t="n">
        <v>1300</v>
      </c>
      <c r="S22" s="51" t="n">
        <v>0</v>
      </c>
      <c r="T22" s="51" t="n">
        <v>5</v>
      </c>
      <c r="U22" s="51" t="n">
        <v>0</v>
      </c>
      <c r="V22" s="51" t="n">
        <v>0</v>
      </c>
      <c r="W22" s="51" t="n">
        <v>0</v>
      </c>
      <c r="X22" s="51" t="n">
        <v>0.485436893203884</v>
      </c>
    </row>
    <row r="23">
      <c r="A23" s="51" t="inlineStr">
        <is>
          <t>Argan shell</t>
        </is>
      </c>
      <c r="B23" s="51" t="n">
        <v>31.07</v>
      </c>
      <c r="C23" s="51" t="n">
        <v>27.76</v>
      </c>
      <c r="D23" s="51" t="n">
        <v>37.53</v>
      </c>
      <c r="E23" s="51" t="n">
        <v>61</v>
      </c>
      <c r="F23" s="51" t="n">
        <v>28</v>
      </c>
      <c r="G23" s="51" t="n">
        <v>1.5</v>
      </c>
      <c r="H23" s="51" t="n">
        <v>51.33</v>
      </c>
      <c r="I23" s="51" t="n">
        <v>42.345</v>
      </c>
      <c r="J23" s="51" t="n">
        <v>6.32</v>
      </c>
      <c r="K23" s="51" t="n">
        <v>1</v>
      </c>
      <c r="L23" s="51" t="n">
        <v>5</v>
      </c>
      <c r="M23" s="51" t="n">
        <v>0</v>
      </c>
      <c r="N23" s="51" t="n">
        <v>1</v>
      </c>
      <c r="O23" s="51" t="n">
        <v>4</v>
      </c>
      <c r="P23" s="51" t="n">
        <v>60</v>
      </c>
      <c r="Q23" s="51" t="n">
        <v>5</v>
      </c>
      <c r="R23" s="51" t="n">
        <v>800</v>
      </c>
      <c r="S23" s="51" t="n">
        <v>0</v>
      </c>
      <c r="T23" s="51" t="n">
        <v>5</v>
      </c>
      <c r="U23" s="51" t="n">
        <v>0</v>
      </c>
      <c r="V23" s="51" t="n">
        <v>0</v>
      </c>
      <c r="W23" s="51" t="n">
        <v>0</v>
      </c>
      <c r="X23" s="51" t="n">
        <v>0.5649717514124289</v>
      </c>
    </row>
    <row r="24">
      <c r="A24" s="51" t="inlineStr">
        <is>
          <t>Argan shell</t>
        </is>
      </c>
      <c r="B24" s="51" t="n">
        <v>31.07</v>
      </c>
      <c r="C24" s="51" t="n">
        <v>27.76</v>
      </c>
      <c r="D24" s="51" t="n">
        <v>37.53</v>
      </c>
      <c r="E24" s="51" t="n">
        <v>61</v>
      </c>
      <c r="F24" s="51" t="n">
        <v>28</v>
      </c>
      <c r="G24" s="51" t="n">
        <v>1.5</v>
      </c>
      <c r="H24" s="51" t="n">
        <v>51.33</v>
      </c>
      <c r="I24" s="51" t="n">
        <v>42.345</v>
      </c>
      <c r="J24" s="51" t="n">
        <v>6.32</v>
      </c>
      <c r="K24" s="51" t="n">
        <v>1</v>
      </c>
      <c r="L24" s="51" t="n">
        <v>5</v>
      </c>
      <c r="M24" s="51" t="n">
        <v>0</v>
      </c>
      <c r="N24" s="51" t="n">
        <v>1</v>
      </c>
      <c r="O24" s="51" t="n">
        <v>4</v>
      </c>
      <c r="P24" s="51" t="n">
        <v>60</v>
      </c>
      <c r="Q24" s="51" t="n">
        <v>5</v>
      </c>
      <c r="R24" s="51" t="n">
        <v>1000</v>
      </c>
      <c r="S24" s="51" t="n">
        <v>0</v>
      </c>
      <c r="T24" s="51" t="n">
        <v>5</v>
      </c>
      <c r="U24" s="51" t="n">
        <v>0</v>
      </c>
      <c r="V24" s="51" t="n">
        <v>0</v>
      </c>
      <c r="W24" s="51" t="n">
        <v>0</v>
      </c>
      <c r="X24" s="51" t="n">
        <v>0.561797752808989</v>
      </c>
    </row>
    <row r="25">
      <c r="A25" s="51" t="inlineStr">
        <is>
          <t>Argan shell</t>
        </is>
      </c>
      <c r="B25" s="51" t="n">
        <v>31.07</v>
      </c>
      <c r="C25" s="51" t="n">
        <v>27.76</v>
      </c>
      <c r="D25" s="51" t="n">
        <v>37.53</v>
      </c>
      <c r="E25" s="51" t="n">
        <v>61</v>
      </c>
      <c r="F25" s="51" t="n">
        <v>28</v>
      </c>
      <c r="G25" s="51" t="n">
        <v>1.5</v>
      </c>
      <c r="H25" s="51" t="n">
        <v>51.33</v>
      </c>
      <c r="I25" s="51" t="n">
        <v>42.345</v>
      </c>
      <c r="J25" s="51" t="n">
        <v>6.32</v>
      </c>
      <c r="K25" s="51" t="n">
        <v>1</v>
      </c>
      <c r="L25" s="51" t="n">
        <v>5</v>
      </c>
      <c r="M25" s="51" t="n">
        <v>0</v>
      </c>
      <c r="N25" s="51" t="n">
        <v>1</v>
      </c>
      <c r="O25" s="51" t="n">
        <v>4</v>
      </c>
      <c r="P25" s="51" t="n">
        <v>60</v>
      </c>
      <c r="Q25" s="51" t="n">
        <v>5</v>
      </c>
      <c r="R25" s="51" t="n">
        <v>1200</v>
      </c>
      <c r="S25" s="51" t="n">
        <v>0</v>
      </c>
      <c r="T25" s="51" t="n">
        <v>5</v>
      </c>
      <c r="U25" s="51" t="n">
        <v>0</v>
      </c>
      <c r="V25" s="51" t="n">
        <v>0</v>
      </c>
      <c r="W25" s="51" t="n">
        <v>0</v>
      </c>
      <c r="X25" s="51" t="n">
        <v>0.5649717514124289</v>
      </c>
    </row>
    <row r="26">
      <c r="A26" s="51" t="inlineStr">
        <is>
          <t>Argan shell</t>
        </is>
      </c>
      <c r="B26" s="51" t="n">
        <v>31.07</v>
      </c>
      <c r="C26" s="51" t="n">
        <v>27.76</v>
      </c>
      <c r="D26" s="51" t="n">
        <v>37.53</v>
      </c>
      <c r="E26" s="51" t="n">
        <v>61</v>
      </c>
      <c r="F26" s="51" t="n">
        <v>28</v>
      </c>
      <c r="G26" s="51" t="n">
        <v>1.5</v>
      </c>
      <c r="H26" s="51" t="n">
        <v>51.33</v>
      </c>
      <c r="I26" s="51" t="n">
        <v>42.345</v>
      </c>
      <c r="J26" s="51" t="n">
        <v>6.32</v>
      </c>
      <c r="K26" s="51" t="n">
        <v>1</v>
      </c>
      <c r="L26" s="51" t="n">
        <v>5</v>
      </c>
      <c r="M26" s="51" t="n">
        <v>0</v>
      </c>
      <c r="N26" s="51" t="n">
        <v>1</v>
      </c>
      <c r="O26" s="51" t="n">
        <v>4</v>
      </c>
      <c r="P26" s="51" t="n">
        <v>60</v>
      </c>
      <c r="Q26" s="51" t="n">
        <v>5</v>
      </c>
      <c r="R26" s="51" t="n">
        <v>1300</v>
      </c>
      <c r="S26" s="51" t="n">
        <v>0</v>
      </c>
      <c r="T26" s="51" t="n">
        <v>5</v>
      </c>
      <c r="U26" s="51" t="n">
        <v>0</v>
      </c>
      <c r="V26" s="51" t="n">
        <v>0</v>
      </c>
      <c r="W26" s="51" t="n">
        <v>0</v>
      </c>
      <c r="X26" s="51" t="n">
        <v>0.568181818181818</v>
      </c>
    </row>
    <row r="27">
      <c r="A27" s="51" t="inlineStr">
        <is>
          <t>Bagasse</t>
        </is>
      </c>
      <c r="B27" s="51" t="n">
        <v>36.5</v>
      </c>
      <c r="C27" s="51" t="n">
        <v>26</v>
      </c>
      <c r="D27" s="51" t="n">
        <v>18.5</v>
      </c>
      <c r="E27" s="51" t="n">
        <v>83.5</v>
      </c>
      <c r="F27" s="51" t="n">
        <v>4.2</v>
      </c>
      <c r="G27" s="51" t="n">
        <v>12.5</v>
      </c>
      <c r="H27" s="51" t="n">
        <v>43.1</v>
      </c>
      <c r="I27" s="51" t="n">
        <v>51.4</v>
      </c>
      <c r="J27" s="51" t="n">
        <v>5.51</v>
      </c>
      <c r="K27" s="51" t="n">
        <v>4</v>
      </c>
      <c r="L27" s="51" t="n">
        <v>5</v>
      </c>
      <c r="M27" s="51" t="n">
        <v>0</v>
      </c>
      <c r="N27" s="51" t="n">
        <v>1</v>
      </c>
      <c r="O27" s="51" t="n">
        <v>4</v>
      </c>
      <c r="P27" s="51" t="n">
        <v>60</v>
      </c>
      <c r="Q27" s="51" t="n">
        <v>5</v>
      </c>
      <c r="R27" s="51" t="n">
        <v>1400</v>
      </c>
      <c r="S27" s="51" t="n">
        <v>0</v>
      </c>
      <c r="T27" s="51" t="n">
        <v>5</v>
      </c>
      <c r="U27" s="51" t="n">
        <v>0</v>
      </c>
      <c r="V27" s="51" t="n">
        <v>0</v>
      </c>
      <c r="W27" s="51" t="n">
        <v>0</v>
      </c>
      <c r="X27" s="51" t="n">
        <v>0.512820512820513</v>
      </c>
    </row>
    <row r="28">
      <c r="A28" s="51" t="inlineStr">
        <is>
          <t>Bagasse</t>
        </is>
      </c>
      <c r="B28" s="51" t="n">
        <v>36.5</v>
      </c>
      <c r="C28" s="51" t="n">
        <v>26</v>
      </c>
      <c r="D28" s="51" t="n">
        <v>18.5</v>
      </c>
      <c r="E28" s="51" t="n">
        <v>83.5</v>
      </c>
      <c r="F28" s="51" t="n">
        <v>4.2</v>
      </c>
      <c r="G28" s="51" t="n">
        <v>12.5</v>
      </c>
      <c r="H28" s="51" t="n">
        <v>43.1</v>
      </c>
      <c r="I28" s="51" t="n">
        <v>51.4</v>
      </c>
      <c r="J28" s="51" t="n">
        <v>5.51</v>
      </c>
      <c r="K28" s="51" t="n">
        <v>4</v>
      </c>
      <c r="L28" s="51" t="n">
        <v>5</v>
      </c>
      <c r="M28" s="51" t="n">
        <v>0</v>
      </c>
      <c r="N28" s="51" t="n">
        <v>1</v>
      </c>
      <c r="O28" s="51" t="n">
        <v>4</v>
      </c>
      <c r="P28" s="51" t="n">
        <v>120</v>
      </c>
      <c r="Q28" s="51" t="n">
        <v>5</v>
      </c>
      <c r="R28" s="51" t="n">
        <v>900</v>
      </c>
      <c r="S28" s="51" t="n">
        <v>0</v>
      </c>
      <c r="T28" s="51" t="n">
        <v>5</v>
      </c>
      <c r="U28" s="51" t="n">
        <v>0</v>
      </c>
      <c r="V28" s="51" t="n">
        <v>0</v>
      </c>
      <c r="W28" s="51" t="n">
        <v>0</v>
      </c>
      <c r="X28" s="51" t="n">
        <v>0.581395348837209</v>
      </c>
    </row>
    <row r="29">
      <c r="A29" s="51" t="inlineStr">
        <is>
          <t>Bagasse</t>
        </is>
      </c>
      <c r="B29" s="51" t="n">
        <v>36.5</v>
      </c>
      <c r="C29" s="51" t="n">
        <v>26</v>
      </c>
      <c r="D29" s="51" t="n">
        <v>18.5</v>
      </c>
      <c r="E29" s="51" t="n">
        <v>83.5</v>
      </c>
      <c r="F29" s="51" t="n">
        <v>4.2</v>
      </c>
      <c r="G29" s="51" t="n">
        <v>12.5</v>
      </c>
      <c r="H29" s="51" t="n">
        <v>43.1</v>
      </c>
      <c r="I29" s="51" t="n">
        <v>51.4</v>
      </c>
      <c r="J29" s="51" t="n">
        <v>5.51</v>
      </c>
      <c r="K29" s="51" t="n">
        <v>4</v>
      </c>
      <c r="L29" s="51" t="n">
        <v>5</v>
      </c>
      <c r="M29" s="51" t="n">
        <v>0</v>
      </c>
      <c r="N29" s="51" t="n">
        <v>1</v>
      </c>
      <c r="O29" s="51" t="n">
        <v>4</v>
      </c>
      <c r="P29" s="51" t="n">
        <v>120</v>
      </c>
      <c r="Q29" s="51" t="n">
        <v>5</v>
      </c>
      <c r="R29" s="51" t="n">
        <v>1000</v>
      </c>
      <c r="S29" s="51" t="n">
        <v>0</v>
      </c>
      <c r="T29" s="51" t="n">
        <v>5</v>
      </c>
      <c r="U29" s="51" t="n">
        <v>0</v>
      </c>
      <c r="V29" s="51" t="n">
        <v>0</v>
      </c>
      <c r="W29" s="51" t="n">
        <v>0</v>
      </c>
      <c r="X29" s="51" t="n">
        <v>0.72463768115942</v>
      </c>
    </row>
    <row r="30">
      <c r="A30" s="51" t="inlineStr">
        <is>
          <t>Bagasse</t>
        </is>
      </c>
      <c r="B30" s="51" t="n">
        <v>36.5</v>
      </c>
      <c r="C30" s="51" t="n">
        <v>26</v>
      </c>
      <c r="D30" s="51" t="n">
        <v>18.5</v>
      </c>
      <c r="E30" s="51" t="n">
        <v>83.5</v>
      </c>
      <c r="F30" s="51" t="n">
        <v>4.2</v>
      </c>
      <c r="G30" s="51" t="n">
        <v>12.5</v>
      </c>
      <c r="H30" s="51" t="n">
        <v>43.1</v>
      </c>
      <c r="I30" s="51" t="n">
        <v>51.4</v>
      </c>
      <c r="J30" s="51" t="n">
        <v>5.51</v>
      </c>
      <c r="K30" s="51" t="n">
        <v>4</v>
      </c>
      <c r="L30" s="51" t="n">
        <v>5</v>
      </c>
      <c r="M30" s="51" t="n">
        <v>0</v>
      </c>
      <c r="N30" s="51" t="n">
        <v>1</v>
      </c>
      <c r="O30" s="51" t="n">
        <v>4</v>
      </c>
      <c r="P30" s="51" t="n">
        <v>120</v>
      </c>
      <c r="Q30" s="51" t="n">
        <v>5</v>
      </c>
      <c r="R30" s="51" t="n">
        <v>1100</v>
      </c>
      <c r="S30" s="51" t="n">
        <v>0</v>
      </c>
      <c r="T30" s="51" t="n">
        <v>5</v>
      </c>
      <c r="U30" s="51" t="n">
        <v>0</v>
      </c>
      <c r="V30" s="51" t="n">
        <v>0</v>
      </c>
      <c r="W30" s="51" t="n">
        <v>0</v>
      </c>
      <c r="X30" s="51" t="n">
        <v>0.72992700729927</v>
      </c>
    </row>
    <row r="31">
      <c r="A31" s="51" t="inlineStr">
        <is>
          <t>Bamboo joints</t>
        </is>
      </c>
      <c r="B31" s="51" t="n">
        <v>40.3</v>
      </c>
      <c r="C31" s="51" t="n">
        <v>26.2</v>
      </c>
      <c r="D31" s="51" t="n">
        <v>29.2</v>
      </c>
      <c r="E31" s="51" t="n">
        <v>89.94</v>
      </c>
      <c r="F31" s="51" t="n">
        <v>0.51</v>
      </c>
      <c r="G31" s="51" t="n">
        <v>14.55</v>
      </c>
      <c r="H31" s="51" t="n">
        <v>48.75</v>
      </c>
      <c r="I31" s="51" t="n">
        <v>45.02</v>
      </c>
      <c r="J31" s="51" t="n">
        <v>5.98</v>
      </c>
      <c r="K31" s="51" t="n">
        <v>1</v>
      </c>
      <c r="L31" s="51" t="n">
        <v>5</v>
      </c>
      <c r="M31" s="51" t="n">
        <v>0</v>
      </c>
      <c r="N31" s="51" t="n">
        <v>1</v>
      </c>
      <c r="O31" s="51" t="n">
        <v>4</v>
      </c>
      <c r="P31" s="51" t="n">
        <v>120</v>
      </c>
      <c r="Q31" s="51" t="n">
        <v>5</v>
      </c>
      <c r="R31" s="51" t="n">
        <v>1400</v>
      </c>
      <c r="S31" s="51" t="n">
        <v>0</v>
      </c>
      <c r="T31" s="51" t="n">
        <v>5</v>
      </c>
      <c r="U31" s="51" t="n">
        <v>0</v>
      </c>
      <c r="V31" s="51" t="n">
        <v>0</v>
      </c>
      <c r="W31" s="51" t="n">
        <v>0</v>
      </c>
      <c r="X31" s="51" t="n">
        <v>0.598802395209581</v>
      </c>
    </row>
    <row r="32">
      <c r="A32" s="51" t="inlineStr">
        <is>
          <t>Bamboo leaves</t>
        </is>
      </c>
      <c r="B32" s="51" t="n">
        <v>49.1</v>
      </c>
      <c r="C32" s="51" t="n">
        <v>24.8</v>
      </c>
      <c r="D32" s="51" t="n">
        <v>26.1</v>
      </c>
      <c r="E32" s="51" t="n">
        <v>68.8</v>
      </c>
      <c r="F32" s="51" t="n">
        <v>0.57</v>
      </c>
      <c r="G32" s="51" t="n">
        <v>24.23</v>
      </c>
      <c r="H32" s="51" t="n">
        <v>48.24</v>
      </c>
      <c r="I32" s="51" t="n">
        <v>6.94</v>
      </c>
      <c r="J32" s="51" t="n">
        <v>44.56</v>
      </c>
      <c r="K32" s="51" t="n">
        <v>6</v>
      </c>
      <c r="L32" s="51" t="n">
        <v>7</v>
      </c>
      <c r="M32" s="51" t="n">
        <v>0</v>
      </c>
      <c r="N32" s="51" t="n">
        <v>1</v>
      </c>
      <c r="O32" s="51" t="n">
        <v>5</v>
      </c>
      <c r="P32" s="51" t="n">
        <v>154.762160847392</v>
      </c>
      <c r="Q32" s="51" t="n">
        <v>3.78857305996005</v>
      </c>
      <c r="R32" s="51" t="n">
        <v>600</v>
      </c>
      <c r="S32" s="51" t="n">
        <v>0</v>
      </c>
      <c r="T32" s="51" t="n">
        <v>5</v>
      </c>
      <c r="U32" s="51" t="n">
        <v>0</v>
      </c>
      <c r="V32" s="51" t="n">
        <v>0</v>
      </c>
      <c r="W32" s="51" t="n">
        <v>0</v>
      </c>
      <c r="X32" s="51" t="n">
        <v>0.827</v>
      </c>
    </row>
    <row r="33">
      <c r="A33" s="51" t="inlineStr">
        <is>
          <t>Bamboo leaves</t>
        </is>
      </c>
      <c r="B33" s="51" t="n">
        <v>49.1</v>
      </c>
      <c r="C33" s="51" t="n">
        <v>24.8</v>
      </c>
      <c r="D33" s="51" t="n">
        <v>26.1</v>
      </c>
      <c r="E33" s="51" t="n">
        <v>68.8</v>
      </c>
      <c r="F33" s="51" t="n">
        <v>0.57</v>
      </c>
      <c r="G33" s="51" t="n">
        <v>24.23</v>
      </c>
      <c r="H33" s="51" t="n">
        <v>48.24</v>
      </c>
      <c r="I33" s="51" t="n">
        <v>6.94</v>
      </c>
      <c r="J33" s="51" t="n">
        <v>44.56</v>
      </c>
      <c r="K33" s="51" t="n">
        <v>6</v>
      </c>
      <c r="L33" s="51" t="n">
        <v>7</v>
      </c>
      <c r="M33" s="51" t="n">
        <v>0</v>
      </c>
      <c r="N33" s="51" t="n">
        <v>1</v>
      </c>
      <c r="O33" s="51" t="n">
        <v>5</v>
      </c>
      <c r="P33" s="51" t="n">
        <v>83.6581829105336</v>
      </c>
      <c r="Q33" s="51" t="n">
        <v>4.18532351613348</v>
      </c>
      <c r="R33" s="51" t="n">
        <v>700</v>
      </c>
      <c r="S33" s="51" t="n">
        <v>0</v>
      </c>
      <c r="T33" s="51" t="n">
        <v>5</v>
      </c>
      <c r="U33" s="51" t="n">
        <v>0</v>
      </c>
      <c r="V33" s="51" t="n">
        <v>0</v>
      </c>
      <c r="W33" s="51" t="n">
        <v>0</v>
      </c>
      <c r="X33" s="51" t="n">
        <v>0.83</v>
      </c>
    </row>
    <row r="34">
      <c r="A34" s="51" t="inlineStr">
        <is>
          <t>Bamboo leaves</t>
        </is>
      </c>
      <c r="B34" s="51" t="n">
        <v>49.1</v>
      </c>
      <c r="C34" s="51" t="n">
        <v>24.8</v>
      </c>
      <c r="D34" s="51" t="n">
        <v>26.1</v>
      </c>
      <c r="E34" s="51" t="n">
        <v>68.8</v>
      </c>
      <c r="F34" s="51" t="n">
        <v>0.57</v>
      </c>
      <c r="G34" s="51" t="n">
        <v>24.23</v>
      </c>
      <c r="H34" s="51" t="n">
        <v>48.24</v>
      </c>
      <c r="I34" s="51" t="n">
        <v>6.94</v>
      </c>
      <c r="J34" s="51" t="n">
        <v>44.56</v>
      </c>
      <c r="K34" s="51" t="n">
        <v>6</v>
      </c>
      <c r="L34" s="51" t="n">
        <v>7</v>
      </c>
      <c r="M34" s="51" t="n">
        <v>0</v>
      </c>
      <c r="N34" s="51" t="n">
        <v>1</v>
      </c>
      <c r="O34" s="51" t="n">
        <v>5</v>
      </c>
      <c r="P34" s="51" t="n">
        <v>123.532895633131</v>
      </c>
      <c r="Q34" s="51" t="n">
        <v>3.85507022587388</v>
      </c>
      <c r="R34" s="51" t="n">
        <v>800</v>
      </c>
      <c r="S34" s="51" t="n">
        <v>0</v>
      </c>
      <c r="T34" s="51" t="n">
        <v>5</v>
      </c>
      <c r="U34" s="51" t="n">
        <v>0</v>
      </c>
      <c r="V34" s="51" t="n">
        <v>0</v>
      </c>
      <c r="W34" s="51" t="n">
        <v>0</v>
      </c>
      <c r="X34" s="51" t="n">
        <v>0.835</v>
      </c>
    </row>
    <row r="35">
      <c r="A35" s="51" t="inlineStr">
        <is>
          <t>Bamboo powder</t>
        </is>
      </c>
      <c r="B35" s="51" t="n">
        <v>52.588285374521</v>
      </c>
      <c r="C35" s="51" t="n">
        <v>17.7960632822424</v>
      </c>
      <c r="D35" s="51" t="n">
        <v>18.8230555230696</v>
      </c>
      <c r="E35" s="51" t="n">
        <v>89.94</v>
      </c>
      <c r="F35" s="51" t="n">
        <v>0.51</v>
      </c>
      <c r="G35" s="51" t="n">
        <v>14.55</v>
      </c>
      <c r="H35" s="51" t="n">
        <v>48.75</v>
      </c>
      <c r="I35" s="51" t="n">
        <v>45.02</v>
      </c>
      <c r="J35" s="51" t="n">
        <v>5.98</v>
      </c>
      <c r="K35" s="51" t="n">
        <v>1</v>
      </c>
      <c r="L35" s="51" t="n">
        <v>5</v>
      </c>
      <c r="M35" s="51" t="n">
        <v>1</v>
      </c>
      <c r="N35" s="51" t="n">
        <v>1</v>
      </c>
      <c r="O35" s="51" t="n">
        <v>4</v>
      </c>
      <c r="P35" s="51" t="n">
        <v>300</v>
      </c>
      <c r="Q35" s="51" t="n">
        <v>4</v>
      </c>
      <c r="R35" s="51" t="n">
        <v>400</v>
      </c>
      <c r="S35" s="51" t="n">
        <v>1</v>
      </c>
      <c r="T35" s="51" t="n">
        <v>5</v>
      </c>
      <c r="U35" s="51" t="n">
        <v>120</v>
      </c>
      <c r="V35" s="51" t="n">
        <v>5</v>
      </c>
      <c r="W35" s="51" t="n">
        <v>1000</v>
      </c>
      <c r="X35" s="51" t="n">
        <v>0.390625</v>
      </c>
    </row>
    <row r="36">
      <c r="A36" s="51" t="inlineStr">
        <is>
          <t>Bamboo powder</t>
        </is>
      </c>
      <c r="B36" s="51" t="n">
        <v>52.588285374521</v>
      </c>
      <c r="C36" s="51" t="n">
        <v>17.7960632822424</v>
      </c>
      <c r="D36" s="51" t="n">
        <v>18.8230555230696</v>
      </c>
      <c r="E36" s="51" t="n">
        <v>89.94</v>
      </c>
      <c r="F36" s="51" t="n">
        <v>0.51</v>
      </c>
      <c r="G36" s="51" t="n">
        <v>14.55</v>
      </c>
      <c r="H36" s="51" t="n">
        <v>48.75</v>
      </c>
      <c r="I36" s="51" t="n">
        <v>45.02</v>
      </c>
      <c r="J36" s="51" t="n">
        <v>5.98</v>
      </c>
      <c r="K36" s="51" t="n">
        <v>1</v>
      </c>
      <c r="L36" s="51" t="n">
        <v>5</v>
      </c>
      <c r="M36" s="51" t="n">
        <v>1</v>
      </c>
      <c r="N36" s="51" t="n">
        <v>1</v>
      </c>
      <c r="O36" s="51" t="n">
        <v>4</v>
      </c>
      <c r="P36" s="51" t="n">
        <v>300</v>
      </c>
      <c r="Q36" s="51" t="n">
        <v>4</v>
      </c>
      <c r="R36" s="51" t="n">
        <v>400</v>
      </c>
      <c r="S36" s="51" t="n">
        <v>1</v>
      </c>
      <c r="T36" s="51" t="n">
        <v>5</v>
      </c>
      <c r="U36" s="51" t="n">
        <v>120</v>
      </c>
      <c r="V36" s="51" t="n">
        <v>5</v>
      </c>
      <c r="W36" s="51" t="n">
        <v>1200</v>
      </c>
      <c r="X36" s="51" t="n">
        <v>0.497512437810945</v>
      </c>
    </row>
    <row r="37">
      <c r="A37" s="51" t="inlineStr">
        <is>
          <t>Bamboo powder</t>
        </is>
      </c>
      <c r="B37" s="51" t="n">
        <v>52.588285374521</v>
      </c>
      <c r="C37" s="51" t="n">
        <v>17.7960632822424</v>
      </c>
      <c r="D37" s="51" t="n">
        <v>18.8230555230696</v>
      </c>
      <c r="E37" s="51" t="n">
        <v>89.94</v>
      </c>
      <c r="F37" s="51" t="n">
        <v>0.51</v>
      </c>
      <c r="G37" s="51" t="n">
        <v>14.55</v>
      </c>
      <c r="H37" s="51" t="n">
        <v>48.75</v>
      </c>
      <c r="I37" s="51" t="n">
        <v>45.02</v>
      </c>
      <c r="J37" s="51" t="n">
        <v>5.98</v>
      </c>
      <c r="K37" s="51" t="n">
        <v>1</v>
      </c>
      <c r="L37" s="51" t="n">
        <v>5</v>
      </c>
      <c r="M37" s="51" t="n">
        <v>1</v>
      </c>
      <c r="N37" s="51" t="n">
        <v>1</v>
      </c>
      <c r="O37" s="51" t="n">
        <v>4</v>
      </c>
      <c r="P37" s="51" t="n">
        <v>300</v>
      </c>
      <c r="Q37" s="51" t="n">
        <v>4</v>
      </c>
      <c r="R37" s="51" t="n">
        <v>400</v>
      </c>
      <c r="S37" s="51" t="n">
        <v>1</v>
      </c>
      <c r="T37" s="51" t="n">
        <v>5</v>
      </c>
      <c r="U37" s="51" t="n">
        <v>120</v>
      </c>
      <c r="V37" s="51" t="n">
        <v>5</v>
      </c>
      <c r="W37" s="51" t="n">
        <v>1400</v>
      </c>
      <c r="X37" s="51" t="n">
        <v>0.588235294117647</v>
      </c>
    </row>
    <row r="38">
      <c r="A38" s="51" t="inlineStr">
        <is>
          <t>Bamboo powder</t>
        </is>
      </c>
      <c r="B38" s="51" t="n">
        <v>52.588285374521</v>
      </c>
      <c r="C38" s="51" t="n">
        <v>17.7960632822424</v>
      </c>
      <c r="D38" s="51" t="n">
        <v>18.8230555230696</v>
      </c>
      <c r="E38" s="51" t="n">
        <v>89.94</v>
      </c>
      <c r="F38" s="51" t="n">
        <v>0.51</v>
      </c>
      <c r="G38" s="51" t="n">
        <v>14.55</v>
      </c>
      <c r="H38" s="51" t="n">
        <v>48.75</v>
      </c>
      <c r="I38" s="51" t="n">
        <v>45.02</v>
      </c>
      <c r="J38" s="51" t="n">
        <v>5.98</v>
      </c>
      <c r="K38" s="51" t="n">
        <v>1</v>
      </c>
      <c r="L38" s="51" t="n">
        <v>5</v>
      </c>
      <c r="M38" s="51" t="n">
        <v>1</v>
      </c>
      <c r="N38" s="51" t="n">
        <v>1</v>
      </c>
      <c r="O38" s="51" t="n">
        <v>4</v>
      </c>
      <c r="P38" s="51" t="n">
        <v>300</v>
      </c>
      <c r="Q38" s="51" t="n">
        <v>4</v>
      </c>
      <c r="R38" s="51" t="n">
        <v>400</v>
      </c>
      <c r="S38" s="51" t="n">
        <v>1</v>
      </c>
      <c r="T38" s="51" t="n">
        <v>5</v>
      </c>
      <c r="U38" s="51" t="n">
        <v>120</v>
      </c>
      <c r="V38" s="51" t="n">
        <v>5</v>
      </c>
      <c r="W38" s="51" t="n">
        <v>1600</v>
      </c>
      <c r="X38" s="51" t="n">
        <v>0.662251655629139</v>
      </c>
    </row>
    <row r="39">
      <c r="A39" s="51" t="inlineStr">
        <is>
          <t>Bamboo powder</t>
        </is>
      </c>
      <c r="B39" s="51" t="n">
        <v>52.588285374521</v>
      </c>
      <c r="C39" s="51" t="n">
        <v>17.7960632822424</v>
      </c>
      <c r="D39" s="51" t="n">
        <v>18.8230555230696</v>
      </c>
      <c r="E39" s="51" t="n">
        <v>89.94</v>
      </c>
      <c r="F39" s="51" t="n">
        <v>0.51</v>
      </c>
      <c r="G39" s="51" t="n">
        <v>14.55</v>
      </c>
      <c r="H39" s="51" t="n">
        <v>48.75</v>
      </c>
      <c r="I39" s="51" t="n">
        <v>45.02</v>
      </c>
      <c r="J39" s="51" t="n">
        <v>5.98</v>
      </c>
      <c r="K39" s="51" t="n">
        <v>4</v>
      </c>
      <c r="L39" s="51" t="n">
        <v>5</v>
      </c>
      <c r="M39" s="51" t="n">
        <v>1</v>
      </c>
      <c r="N39" s="51" t="n">
        <v>1</v>
      </c>
      <c r="O39" s="51" t="n">
        <v>4</v>
      </c>
      <c r="P39" s="51" t="n">
        <v>240</v>
      </c>
      <c r="Q39" s="51" t="n">
        <v>2.5</v>
      </c>
      <c r="R39" s="51" t="n">
        <v>360</v>
      </c>
      <c r="S39" s="51" t="n">
        <v>1</v>
      </c>
      <c r="T39" s="51" t="n">
        <v>5</v>
      </c>
      <c r="U39" s="51" t="n">
        <v>120</v>
      </c>
      <c r="V39" s="51" t="n">
        <v>5</v>
      </c>
      <c r="W39" s="51" t="n">
        <v>1300</v>
      </c>
      <c r="X39" s="51" t="n">
        <v>0.847457627118644</v>
      </c>
    </row>
    <row r="40">
      <c r="A40" s="51" t="inlineStr">
        <is>
          <t>Banana peel</t>
        </is>
      </c>
      <c r="B40" s="51" t="n">
        <v>8.9</v>
      </c>
      <c r="C40" s="51" t="n">
        <v>40.38</v>
      </c>
      <c r="D40" s="51" t="n">
        <v>7.9</v>
      </c>
      <c r="E40" s="51" t="n">
        <v>87.02</v>
      </c>
      <c r="F40" s="51" t="n">
        <v>8.279999999999999</v>
      </c>
      <c r="G40" s="51" t="n">
        <v>1.7</v>
      </c>
      <c r="H40" s="51" t="n">
        <v>34.65</v>
      </c>
      <c r="I40" s="51" t="n">
        <v>44.94</v>
      </c>
      <c r="J40" s="51" t="n">
        <v>5.19</v>
      </c>
      <c r="K40" s="51" t="n">
        <v>6</v>
      </c>
      <c r="L40" s="51" t="n">
        <v>4</v>
      </c>
      <c r="M40" s="51" t="n">
        <v>1</v>
      </c>
      <c r="N40" s="51" t="n">
        <v>1</v>
      </c>
      <c r="O40" s="51" t="n">
        <v>4</v>
      </c>
      <c r="P40" s="51" t="n">
        <v>300</v>
      </c>
      <c r="Q40" s="51" t="n">
        <v>5</v>
      </c>
      <c r="R40" s="51" t="n">
        <v>1100</v>
      </c>
      <c r="S40" s="51" t="n">
        <v>1</v>
      </c>
      <c r="T40" s="51" t="n">
        <v>6</v>
      </c>
      <c r="U40" s="51" t="n">
        <v>5</v>
      </c>
      <c r="V40" s="51" t="n">
        <v>2.5</v>
      </c>
      <c r="W40" s="51" t="n">
        <v>300</v>
      </c>
      <c r="X40" s="51" t="n">
        <v>0.98</v>
      </c>
    </row>
    <row r="41">
      <c r="A41" s="51" t="inlineStr">
        <is>
          <t>Banana peel</t>
        </is>
      </c>
      <c r="B41" s="51" t="n">
        <v>9.9</v>
      </c>
      <c r="C41" s="51" t="n">
        <v>41.38</v>
      </c>
      <c r="D41" s="51" t="n">
        <v>8.9</v>
      </c>
      <c r="E41" s="51" t="n">
        <v>88.02</v>
      </c>
      <c r="F41" s="51" t="n">
        <v>9.279999999999999</v>
      </c>
      <c r="G41" s="51" t="n">
        <v>2.7</v>
      </c>
      <c r="H41" s="51" t="n">
        <v>35.65</v>
      </c>
      <c r="I41" s="51" t="n">
        <v>45.94</v>
      </c>
      <c r="J41" s="51" t="n">
        <v>6.19</v>
      </c>
      <c r="K41" s="51" t="n">
        <v>6</v>
      </c>
      <c r="L41" s="51" t="n">
        <v>2</v>
      </c>
      <c r="M41" s="51" t="n">
        <v>0</v>
      </c>
      <c r="N41" s="51" t="n">
        <v>1</v>
      </c>
      <c r="O41" s="51" t="n">
        <v>4</v>
      </c>
      <c r="P41" s="51" t="n">
        <v>300</v>
      </c>
      <c r="Q41" s="51" t="n">
        <v>5</v>
      </c>
      <c r="R41" s="51" t="n">
        <v>800</v>
      </c>
      <c r="S41" s="51" t="n">
        <v>0</v>
      </c>
      <c r="T41" s="51" t="n">
        <v>5</v>
      </c>
      <c r="U41" s="51" t="n">
        <v>0</v>
      </c>
      <c r="V41" s="51" t="n">
        <v>0</v>
      </c>
      <c r="W41" s="51" t="n">
        <v>0</v>
      </c>
      <c r="X41" s="51" t="n">
        <v>0.78</v>
      </c>
    </row>
    <row r="42">
      <c r="A42" s="51" t="inlineStr">
        <is>
          <t>Banana peel</t>
        </is>
      </c>
      <c r="B42" s="51" t="n">
        <v>9.9</v>
      </c>
      <c r="C42" s="51" t="n">
        <v>41.38</v>
      </c>
      <c r="D42" s="51" t="n">
        <v>8.9</v>
      </c>
      <c r="E42" s="51" t="n">
        <v>88.02</v>
      </c>
      <c r="F42" s="51" t="n">
        <v>9.279999999999999</v>
      </c>
      <c r="G42" s="51" t="n">
        <v>2.7</v>
      </c>
      <c r="H42" s="51" t="n">
        <v>35.65</v>
      </c>
      <c r="I42" s="51" t="n">
        <v>45.94</v>
      </c>
      <c r="J42" s="51" t="n">
        <v>6.19</v>
      </c>
      <c r="K42" s="51" t="n">
        <v>6</v>
      </c>
      <c r="L42" s="51" t="n">
        <v>2</v>
      </c>
      <c r="M42" s="51" t="n">
        <v>0</v>
      </c>
      <c r="N42" s="51" t="n">
        <v>1</v>
      </c>
      <c r="O42" s="51" t="n">
        <v>4</v>
      </c>
      <c r="P42" s="51" t="n">
        <v>300</v>
      </c>
      <c r="Q42" s="51" t="n">
        <v>5</v>
      </c>
      <c r="R42" s="51" t="n">
        <v>800</v>
      </c>
      <c r="S42" s="51" t="n">
        <v>0</v>
      </c>
      <c r="T42" s="51" t="n">
        <v>5</v>
      </c>
      <c r="U42" s="51" t="n">
        <v>0</v>
      </c>
      <c r="V42" s="51" t="n">
        <v>0</v>
      </c>
      <c r="W42" s="51" t="n">
        <v>0</v>
      </c>
      <c r="X42" s="51" t="n">
        <v>0.78</v>
      </c>
    </row>
    <row r="43">
      <c r="A43" s="51" t="inlineStr">
        <is>
          <t>Banana peel</t>
        </is>
      </c>
      <c r="B43" s="51" t="n">
        <v>9.9</v>
      </c>
      <c r="C43" s="51" t="n">
        <v>41.38</v>
      </c>
      <c r="D43" s="51" t="n">
        <v>8.9</v>
      </c>
      <c r="E43" s="51" t="n">
        <v>88.02</v>
      </c>
      <c r="F43" s="51" t="n">
        <v>9.279999999999999</v>
      </c>
      <c r="G43" s="51" t="n">
        <v>2.7</v>
      </c>
      <c r="H43" s="51" t="n">
        <v>35.65</v>
      </c>
      <c r="I43" s="51" t="n">
        <v>45.94</v>
      </c>
      <c r="J43" s="51" t="n">
        <v>6.19</v>
      </c>
      <c r="K43" s="51" t="n">
        <v>6</v>
      </c>
      <c r="L43" s="51" t="n">
        <v>2</v>
      </c>
      <c r="M43" s="51" t="n">
        <v>0</v>
      </c>
      <c r="N43" s="51" t="n">
        <v>1</v>
      </c>
      <c r="O43" s="51" t="n">
        <v>4</v>
      </c>
      <c r="P43" s="51" t="n">
        <v>300</v>
      </c>
      <c r="Q43" s="51" t="n">
        <v>5</v>
      </c>
      <c r="R43" s="51" t="n">
        <v>1100</v>
      </c>
      <c r="S43" s="51" t="n">
        <v>0</v>
      </c>
      <c r="T43" s="51" t="n">
        <v>5</v>
      </c>
      <c r="U43" s="51" t="n">
        <v>0</v>
      </c>
      <c r="V43" s="51" t="n">
        <v>0</v>
      </c>
      <c r="W43" s="51" t="n">
        <v>0</v>
      </c>
      <c r="X43" s="51" t="n">
        <v>0.91</v>
      </c>
    </row>
    <row r="44">
      <c r="A44" s="51" t="inlineStr">
        <is>
          <t>Banana peel</t>
        </is>
      </c>
      <c r="B44" s="51" t="n">
        <v>9.9</v>
      </c>
      <c r="C44" s="51" t="n">
        <v>41.38</v>
      </c>
      <c r="D44" s="51" t="n">
        <v>8.9</v>
      </c>
      <c r="E44" s="51" t="n">
        <v>88.02</v>
      </c>
      <c r="F44" s="51" t="n">
        <v>9.279999999999999</v>
      </c>
      <c r="G44" s="51" t="n">
        <v>2.7</v>
      </c>
      <c r="H44" s="51" t="n">
        <v>35.65</v>
      </c>
      <c r="I44" s="51" t="n">
        <v>45.94</v>
      </c>
      <c r="J44" s="51" t="n">
        <v>6.19</v>
      </c>
      <c r="K44" s="51" t="n">
        <v>6</v>
      </c>
      <c r="L44" s="51" t="n">
        <v>2</v>
      </c>
      <c r="M44" s="51" t="n">
        <v>0</v>
      </c>
      <c r="N44" s="51" t="n">
        <v>1</v>
      </c>
      <c r="O44" s="51" t="n">
        <v>4</v>
      </c>
      <c r="P44" s="51" t="n">
        <v>300</v>
      </c>
      <c r="Q44" s="51" t="n">
        <v>5</v>
      </c>
      <c r="R44" s="51" t="n">
        <v>1100</v>
      </c>
      <c r="S44" s="51" t="n">
        <v>0</v>
      </c>
      <c r="T44" s="51" t="n">
        <v>5</v>
      </c>
      <c r="U44" s="51" t="n">
        <v>0</v>
      </c>
      <c r="V44" s="51" t="n">
        <v>0</v>
      </c>
      <c r="W44" s="51" t="n">
        <v>0</v>
      </c>
      <c r="X44" s="51" t="n">
        <v>0.91</v>
      </c>
    </row>
    <row r="45">
      <c r="A45" s="51" t="inlineStr">
        <is>
          <t>Banana peel</t>
        </is>
      </c>
      <c r="B45" s="51" t="n">
        <v>9.9</v>
      </c>
      <c r="C45" s="51" t="n">
        <v>41.38</v>
      </c>
      <c r="D45" s="51" t="n">
        <v>8.9</v>
      </c>
      <c r="E45" s="51" t="n">
        <v>88.02</v>
      </c>
      <c r="F45" s="51" t="n">
        <v>9.279999999999999</v>
      </c>
      <c r="G45" s="51" t="n">
        <v>2.7</v>
      </c>
      <c r="H45" s="51" t="n">
        <v>35.65</v>
      </c>
      <c r="I45" s="51" t="n">
        <v>45.94</v>
      </c>
      <c r="J45" s="51" t="n">
        <v>6.19</v>
      </c>
      <c r="K45" s="51" t="n">
        <v>6</v>
      </c>
      <c r="L45" s="51" t="n">
        <v>2</v>
      </c>
      <c r="M45" s="51" t="n">
        <v>0</v>
      </c>
      <c r="N45" s="51" t="n">
        <v>1</v>
      </c>
      <c r="O45" s="51" t="n">
        <v>4</v>
      </c>
      <c r="P45" s="51" t="n">
        <v>300</v>
      </c>
      <c r="Q45" s="51" t="n">
        <v>5</v>
      </c>
      <c r="R45" s="51" t="n">
        <v>1400</v>
      </c>
      <c r="S45" s="51" t="n">
        <v>0</v>
      </c>
      <c r="T45" s="51" t="n">
        <v>5</v>
      </c>
      <c r="U45" s="51" t="n">
        <v>0</v>
      </c>
      <c r="V45" s="51" t="n">
        <v>0</v>
      </c>
      <c r="W45" s="51" t="n">
        <v>0</v>
      </c>
      <c r="X45" s="51" t="n">
        <v>0.93</v>
      </c>
    </row>
    <row r="46">
      <c r="A46" s="51" t="inlineStr">
        <is>
          <t>Banana peel</t>
        </is>
      </c>
      <c r="B46" s="51" t="n">
        <v>9.9</v>
      </c>
      <c r="C46" s="51" t="n">
        <v>41.38</v>
      </c>
      <c r="D46" s="51" t="n">
        <v>8.9</v>
      </c>
      <c r="E46" s="51" t="n">
        <v>88.02</v>
      </c>
      <c r="F46" s="51" t="n">
        <v>9.279999999999999</v>
      </c>
      <c r="G46" s="51" t="n">
        <v>2.7</v>
      </c>
      <c r="H46" s="51" t="n">
        <v>35.65</v>
      </c>
      <c r="I46" s="51" t="n">
        <v>45.94</v>
      </c>
      <c r="J46" s="51" t="n">
        <v>6.19</v>
      </c>
      <c r="K46" s="51" t="n">
        <v>6</v>
      </c>
      <c r="L46" s="51" t="n">
        <v>2</v>
      </c>
      <c r="M46" s="51" t="n">
        <v>0</v>
      </c>
      <c r="N46" s="51" t="n">
        <v>1</v>
      </c>
      <c r="O46" s="51" t="n">
        <v>4</v>
      </c>
      <c r="P46" s="51" t="n">
        <v>300</v>
      </c>
      <c r="Q46" s="51" t="n">
        <v>5</v>
      </c>
      <c r="R46" s="51" t="n">
        <v>1400</v>
      </c>
      <c r="S46" s="51" t="n">
        <v>0</v>
      </c>
      <c r="T46" s="51" t="n">
        <v>5</v>
      </c>
      <c r="U46" s="51" t="n">
        <v>0</v>
      </c>
      <c r="V46" s="51" t="n">
        <v>0</v>
      </c>
      <c r="W46" s="51" t="n">
        <v>0</v>
      </c>
      <c r="X46" s="51" t="n">
        <v>0.93</v>
      </c>
    </row>
    <row r="47">
      <c r="A47" s="51" t="inlineStr">
        <is>
          <t>Banana peel</t>
        </is>
      </c>
      <c r="B47" s="51" t="n">
        <v>9.9</v>
      </c>
      <c r="C47" s="51" t="n">
        <v>41.38</v>
      </c>
      <c r="D47" s="51" t="n">
        <v>8.9</v>
      </c>
      <c r="E47" s="51" t="n">
        <v>88.02</v>
      </c>
      <c r="F47" s="51" t="n">
        <v>9.279999999999999</v>
      </c>
      <c r="G47" s="51" t="n">
        <v>2.7</v>
      </c>
      <c r="H47" s="51" t="n">
        <v>35.65</v>
      </c>
      <c r="I47" s="51" t="n">
        <v>45.94</v>
      </c>
      <c r="J47" s="51" t="n">
        <v>6.19</v>
      </c>
      <c r="K47" s="51" t="n">
        <v>6</v>
      </c>
      <c r="L47" s="51" t="n">
        <v>2</v>
      </c>
      <c r="M47" s="51" t="n">
        <v>1</v>
      </c>
      <c r="N47" s="51" t="n">
        <v>1</v>
      </c>
      <c r="O47" s="51" t="n">
        <v>4</v>
      </c>
      <c r="P47" s="51" t="n">
        <v>300</v>
      </c>
      <c r="Q47" s="51" t="n">
        <v>5</v>
      </c>
      <c r="R47" s="51" t="n">
        <v>800</v>
      </c>
      <c r="S47" s="51" t="n">
        <v>1</v>
      </c>
      <c r="T47" s="51" t="n">
        <v>6</v>
      </c>
      <c r="U47" s="51" t="n">
        <v>3</v>
      </c>
      <c r="V47" s="51" t="n">
        <v>5</v>
      </c>
      <c r="W47" s="51" t="n">
        <v>300</v>
      </c>
      <c r="X47" s="51" t="n">
        <v>0.79</v>
      </c>
    </row>
    <row r="48">
      <c r="A48" s="51" t="inlineStr">
        <is>
          <t>Banana peel</t>
        </is>
      </c>
      <c r="B48" s="51" t="n">
        <v>9.9</v>
      </c>
      <c r="C48" s="51" t="n">
        <v>41.38</v>
      </c>
      <c r="D48" s="51" t="n">
        <v>8.9</v>
      </c>
      <c r="E48" s="51" t="n">
        <v>88.02</v>
      </c>
      <c r="F48" s="51" t="n">
        <v>9.279999999999999</v>
      </c>
      <c r="G48" s="51" t="n">
        <v>2.7</v>
      </c>
      <c r="H48" s="51" t="n">
        <v>35.65</v>
      </c>
      <c r="I48" s="51" t="n">
        <v>45.94</v>
      </c>
      <c r="J48" s="51" t="n">
        <v>6.19</v>
      </c>
      <c r="K48" s="51" t="n">
        <v>6</v>
      </c>
      <c r="L48" s="51" t="n">
        <v>2</v>
      </c>
      <c r="M48" s="51" t="n">
        <v>1</v>
      </c>
      <c r="N48" s="51" t="n">
        <v>1</v>
      </c>
      <c r="O48" s="51" t="n">
        <v>4</v>
      </c>
      <c r="P48" s="51" t="n">
        <v>300</v>
      </c>
      <c r="Q48" s="51" t="n">
        <v>5</v>
      </c>
      <c r="R48" s="51" t="n">
        <v>800</v>
      </c>
      <c r="S48" s="51" t="n">
        <v>1</v>
      </c>
      <c r="T48" s="51" t="n">
        <v>6</v>
      </c>
      <c r="U48" s="51" t="n">
        <v>3</v>
      </c>
      <c r="V48" s="51" t="n">
        <v>5</v>
      </c>
      <c r="W48" s="51" t="n">
        <v>300</v>
      </c>
      <c r="X48" s="51" t="n">
        <v>0.79</v>
      </c>
    </row>
    <row r="49">
      <c r="A49" s="51" t="inlineStr">
        <is>
          <t>Banana peel</t>
        </is>
      </c>
      <c r="B49" s="51" t="n">
        <v>9.9</v>
      </c>
      <c r="C49" s="51" t="n">
        <v>41.38</v>
      </c>
      <c r="D49" s="51" t="n">
        <v>8.9</v>
      </c>
      <c r="E49" s="51" t="n">
        <v>88.02</v>
      </c>
      <c r="F49" s="51" t="n">
        <v>9.279999999999999</v>
      </c>
      <c r="G49" s="51" t="n">
        <v>2.7</v>
      </c>
      <c r="H49" s="51" t="n">
        <v>35.65</v>
      </c>
      <c r="I49" s="51" t="n">
        <v>45.94</v>
      </c>
      <c r="J49" s="51" t="n">
        <v>6.19</v>
      </c>
      <c r="K49" s="51" t="n">
        <v>6</v>
      </c>
      <c r="L49" s="51" t="n">
        <v>2</v>
      </c>
      <c r="M49" s="51" t="n">
        <v>1</v>
      </c>
      <c r="N49" s="51" t="n">
        <v>1</v>
      </c>
      <c r="O49" s="51" t="n">
        <v>4</v>
      </c>
      <c r="P49" s="51" t="n">
        <v>300</v>
      </c>
      <c r="Q49" s="51" t="n">
        <v>5</v>
      </c>
      <c r="R49" s="51" t="n">
        <v>1100</v>
      </c>
      <c r="S49" s="51" t="n">
        <v>1</v>
      </c>
      <c r="T49" s="51" t="n">
        <v>6</v>
      </c>
      <c r="U49" s="51" t="n">
        <v>3</v>
      </c>
      <c r="V49" s="51" t="n">
        <v>5</v>
      </c>
      <c r="W49" s="51" t="n">
        <v>300</v>
      </c>
      <c r="X49" s="51" t="n">
        <v>0.92</v>
      </c>
    </row>
    <row r="50">
      <c r="A50" s="51" t="inlineStr">
        <is>
          <t>Banana peel</t>
        </is>
      </c>
      <c r="B50" s="51" t="n">
        <v>9.9</v>
      </c>
      <c r="C50" s="51" t="n">
        <v>41.38</v>
      </c>
      <c r="D50" s="51" t="n">
        <v>8.9</v>
      </c>
      <c r="E50" s="51" t="n">
        <v>88.02</v>
      </c>
      <c r="F50" s="51" t="n">
        <v>9.279999999999999</v>
      </c>
      <c r="G50" s="51" t="n">
        <v>2.7</v>
      </c>
      <c r="H50" s="51" t="n">
        <v>35.65</v>
      </c>
      <c r="I50" s="51" t="n">
        <v>45.94</v>
      </c>
      <c r="J50" s="51" t="n">
        <v>6.19</v>
      </c>
      <c r="K50" s="51" t="n">
        <v>6</v>
      </c>
      <c r="L50" s="51" t="n">
        <v>2</v>
      </c>
      <c r="M50" s="51" t="n">
        <v>1</v>
      </c>
      <c r="N50" s="51" t="n">
        <v>1</v>
      </c>
      <c r="O50" s="51" t="n">
        <v>4</v>
      </c>
      <c r="P50" s="51" t="n">
        <v>300</v>
      </c>
      <c r="Q50" s="51" t="n">
        <v>5</v>
      </c>
      <c r="R50" s="51" t="n">
        <v>1100</v>
      </c>
      <c r="S50" s="51" t="n">
        <v>1</v>
      </c>
      <c r="T50" s="51" t="n">
        <v>6</v>
      </c>
      <c r="U50" s="51" t="n">
        <v>3</v>
      </c>
      <c r="V50" s="51" t="n">
        <v>5</v>
      </c>
      <c r="W50" s="51" t="n">
        <v>300</v>
      </c>
      <c r="X50" s="51" t="n">
        <v>0.92</v>
      </c>
    </row>
    <row r="51">
      <c r="A51" s="51" t="inlineStr">
        <is>
          <t>Banana peel</t>
        </is>
      </c>
      <c r="B51" s="51" t="n">
        <v>9.9</v>
      </c>
      <c r="C51" s="51" t="n">
        <v>41.38</v>
      </c>
      <c r="D51" s="51" t="n">
        <v>8.9</v>
      </c>
      <c r="E51" s="51" t="n">
        <v>88.02</v>
      </c>
      <c r="F51" s="51" t="n">
        <v>9.279999999999999</v>
      </c>
      <c r="G51" s="51" t="n">
        <v>2.7</v>
      </c>
      <c r="H51" s="51" t="n">
        <v>35.65</v>
      </c>
      <c r="I51" s="51" t="n">
        <v>45.94</v>
      </c>
      <c r="J51" s="51" t="n">
        <v>6.19</v>
      </c>
      <c r="K51" s="51" t="n">
        <v>6</v>
      </c>
      <c r="L51" s="51" t="n">
        <v>2</v>
      </c>
      <c r="M51" s="51" t="n">
        <v>1</v>
      </c>
      <c r="N51" s="51" t="n">
        <v>1</v>
      </c>
      <c r="O51" s="51" t="n">
        <v>4</v>
      </c>
      <c r="P51" s="51" t="n">
        <v>300</v>
      </c>
      <c r="Q51" s="51" t="n">
        <v>5</v>
      </c>
      <c r="R51" s="51" t="n">
        <v>1400</v>
      </c>
      <c r="S51" s="51" t="n">
        <v>1</v>
      </c>
      <c r="T51" s="51" t="n">
        <v>6</v>
      </c>
      <c r="U51" s="51" t="n">
        <v>3</v>
      </c>
      <c r="V51" s="51" t="n">
        <v>5</v>
      </c>
      <c r="W51" s="51" t="n">
        <v>300</v>
      </c>
      <c r="X51" s="51" t="n">
        <v>0.9399999999999999</v>
      </c>
    </row>
    <row r="52">
      <c r="A52" s="51" t="inlineStr">
        <is>
          <t>Banana peel</t>
        </is>
      </c>
      <c r="B52" s="51" t="n">
        <v>9.9</v>
      </c>
      <c r="C52" s="51" t="n">
        <v>41.38</v>
      </c>
      <c r="D52" s="51" t="n">
        <v>8.9</v>
      </c>
      <c r="E52" s="51" t="n">
        <v>88.02</v>
      </c>
      <c r="F52" s="51" t="n">
        <v>9.279999999999999</v>
      </c>
      <c r="G52" s="51" t="n">
        <v>2.7</v>
      </c>
      <c r="H52" s="51" t="n">
        <v>35.65</v>
      </c>
      <c r="I52" s="51" t="n">
        <v>45.94</v>
      </c>
      <c r="J52" s="51" t="n">
        <v>6.19</v>
      </c>
      <c r="K52" s="51" t="n">
        <v>6</v>
      </c>
      <c r="L52" s="51" t="n">
        <v>2</v>
      </c>
      <c r="M52" s="51" t="n">
        <v>1</v>
      </c>
      <c r="N52" s="51" t="n">
        <v>1</v>
      </c>
      <c r="O52" s="51" t="n">
        <v>4</v>
      </c>
      <c r="P52" s="51" t="n">
        <v>300</v>
      </c>
      <c r="Q52" s="51" t="n">
        <v>5</v>
      </c>
      <c r="R52" s="51" t="n">
        <v>1400</v>
      </c>
      <c r="S52" s="51" t="n">
        <v>1</v>
      </c>
      <c r="T52" s="51" t="n">
        <v>6</v>
      </c>
      <c r="U52" s="51" t="n">
        <v>3</v>
      </c>
      <c r="V52" s="51" t="n">
        <v>5</v>
      </c>
      <c r="W52" s="51" t="n">
        <v>300</v>
      </c>
      <c r="X52" s="51" t="n">
        <v>0.9399999999999999</v>
      </c>
    </row>
    <row r="53">
      <c r="A53" s="51" t="inlineStr">
        <is>
          <t>Basswood</t>
        </is>
      </c>
      <c r="B53" s="51" t="n">
        <v>34.4944041940098</v>
      </c>
      <c r="C53" s="51" t="n">
        <v>35.0525326870687</v>
      </c>
      <c r="D53" s="51" t="n">
        <v>8.842877211671199</v>
      </c>
      <c r="E53" s="51" t="n">
        <v>88.7</v>
      </c>
      <c r="F53" s="51" t="n">
        <v>11.81</v>
      </c>
      <c r="G53" s="51" t="n">
        <v>0.53</v>
      </c>
      <c r="H53" s="51" t="n">
        <v>51.2936424178279</v>
      </c>
      <c r="I53" s="51" t="n">
        <v>41.1608208411289</v>
      </c>
      <c r="J53" s="51" t="n">
        <v>5.8274955990678</v>
      </c>
      <c r="K53" s="51" t="n">
        <v>6</v>
      </c>
      <c r="L53" s="51" t="n">
        <v>1</v>
      </c>
      <c r="M53" s="51" t="n">
        <v>0</v>
      </c>
      <c r="N53" s="51" t="n">
        <v>1</v>
      </c>
      <c r="O53" s="51" t="n">
        <v>2</v>
      </c>
      <c r="P53" s="51" t="n">
        <v>131.878371938153</v>
      </c>
      <c r="Q53" s="51" t="n">
        <v>2.78242096734295</v>
      </c>
      <c r="R53" s="51" t="n">
        <v>500</v>
      </c>
      <c r="S53" s="51" t="n">
        <v>0</v>
      </c>
      <c r="T53" s="51" t="n">
        <v>5</v>
      </c>
      <c r="U53" s="51" t="n">
        <v>0</v>
      </c>
      <c r="V53" s="51" t="n">
        <v>0</v>
      </c>
      <c r="W53" s="51" t="n">
        <v>0</v>
      </c>
      <c r="X53" s="51" t="n">
        <v>0.66</v>
      </c>
    </row>
    <row r="54">
      <c r="A54" s="51" t="inlineStr">
        <is>
          <t>Beech wood</t>
        </is>
      </c>
      <c r="B54" s="51" t="n">
        <v>41.7</v>
      </c>
      <c r="C54" s="51" t="n">
        <v>37.1</v>
      </c>
      <c r="D54" s="51" t="n">
        <v>18.9</v>
      </c>
      <c r="E54" s="51" t="n">
        <v>77.90000000000001</v>
      </c>
      <c r="F54" s="51" t="n">
        <v>0.5</v>
      </c>
      <c r="G54" s="51" t="n">
        <v>21.4</v>
      </c>
      <c r="H54" s="51" t="n">
        <v>47.8</v>
      </c>
      <c r="I54" s="51" t="n">
        <v>45.1</v>
      </c>
      <c r="J54" s="51" t="n">
        <v>6.3</v>
      </c>
      <c r="K54" s="51" t="n">
        <v>4</v>
      </c>
      <c r="L54" s="51" t="n">
        <v>5</v>
      </c>
      <c r="M54" s="51" t="n">
        <v>0</v>
      </c>
      <c r="N54" s="51" t="n">
        <v>1</v>
      </c>
      <c r="O54" s="51" t="n">
        <v>4</v>
      </c>
      <c r="P54" s="51" t="n">
        <v>60</v>
      </c>
      <c r="Q54" s="51" t="n">
        <v>3.3</v>
      </c>
      <c r="R54" s="51" t="n">
        <v>1000</v>
      </c>
      <c r="S54" s="51" t="n">
        <v>0</v>
      </c>
      <c r="T54" s="51" t="n">
        <v>5</v>
      </c>
      <c r="U54" s="51" t="n">
        <v>0</v>
      </c>
      <c r="V54" s="51" t="n">
        <v>0</v>
      </c>
      <c r="W54" s="51" t="n">
        <v>0</v>
      </c>
      <c r="X54" s="51" t="n">
        <v>0.293255131964809</v>
      </c>
    </row>
    <row r="55">
      <c r="A55" s="51" t="inlineStr">
        <is>
          <t>Beech wood</t>
        </is>
      </c>
      <c r="B55" s="51" t="n">
        <v>41.7</v>
      </c>
      <c r="C55" s="51" t="n">
        <v>37.1</v>
      </c>
      <c r="D55" s="51" t="n">
        <v>18.9</v>
      </c>
      <c r="E55" s="51" t="n">
        <v>77.90000000000001</v>
      </c>
      <c r="F55" s="51" t="n">
        <v>0.5</v>
      </c>
      <c r="G55" s="51" t="n">
        <v>21.4</v>
      </c>
      <c r="H55" s="51" t="n">
        <v>47.8</v>
      </c>
      <c r="I55" s="51" t="n">
        <v>45.1</v>
      </c>
      <c r="J55" s="51" t="n">
        <v>6.3</v>
      </c>
      <c r="K55" s="51" t="n">
        <v>4</v>
      </c>
      <c r="L55" s="51" t="n">
        <v>5</v>
      </c>
      <c r="M55" s="51" t="n">
        <v>0</v>
      </c>
      <c r="N55" s="51" t="n">
        <v>1</v>
      </c>
      <c r="O55" s="51" t="n">
        <v>4</v>
      </c>
      <c r="P55" s="51" t="n">
        <v>60</v>
      </c>
      <c r="Q55" s="51" t="n">
        <v>3.3</v>
      </c>
      <c r="R55" s="51" t="n">
        <v>1200</v>
      </c>
      <c r="S55" s="51" t="n">
        <v>0</v>
      </c>
      <c r="T55" s="51" t="n">
        <v>5</v>
      </c>
      <c r="U55" s="51" t="n">
        <v>0</v>
      </c>
      <c r="V55" s="51" t="n">
        <v>0</v>
      </c>
      <c r="W55" s="51" t="n">
        <v>0</v>
      </c>
      <c r="X55" s="51" t="n">
        <v>0.4149377593361</v>
      </c>
    </row>
    <row r="56">
      <c r="A56" s="51" t="inlineStr">
        <is>
          <t>Beech wood</t>
        </is>
      </c>
      <c r="B56" s="51" t="n">
        <v>41.7</v>
      </c>
      <c r="C56" s="51" t="n">
        <v>37.1</v>
      </c>
      <c r="D56" s="51" t="n">
        <v>18.9</v>
      </c>
      <c r="E56" s="51" t="n">
        <v>77.90000000000001</v>
      </c>
      <c r="F56" s="51" t="n">
        <v>0.5</v>
      </c>
      <c r="G56" s="51" t="n">
        <v>21.4</v>
      </c>
      <c r="H56" s="51" t="n">
        <v>47.8</v>
      </c>
      <c r="I56" s="51" t="n">
        <v>45.1</v>
      </c>
      <c r="J56" s="51" t="n">
        <v>6.3</v>
      </c>
      <c r="K56" s="51" t="n">
        <v>4</v>
      </c>
      <c r="L56" s="51" t="n">
        <v>5</v>
      </c>
      <c r="M56" s="51" t="n">
        <v>0</v>
      </c>
      <c r="N56" s="51" t="n">
        <v>1</v>
      </c>
      <c r="O56" s="51" t="n">
        <v>4</v>
      </c>
      <c r="P56" s="51" t="n">
        <v>60</v>
      </c>
      <c r="Q56" s="51" t="n">
        <v>3.3</v>
      </c>
      <c r="R56" s="51" t="n">
        <v>1400</v>
      </c>
      <c r="S56" s="51" t="n">
        <v>0</v>
      </c>
      <c r="T56" s="51" t="n">
        <v>5</v>
      </c>
      <c r="U56" s="51" t="n">
        <v>0</v>
      </c>
      <c r="V56" s="51" t="n">
        <v>0</v>
      </c>
      <c r="W56" s="51" t="n">
        <v>0</v>
      </c>
      <c r="X56" s="51" t="n">
        <v>0.497512437810945</v>
      </c>
    </row>
    <row r="57">
      <c r="A57" s="51" t="inlineStr">
        <is>
          <t>Buckwheat hulls</t>
        </is>
      </c>
      <c r="B57" s="51" t="n">
        <v>20.4</v>
      </c>
      <c r="C57" s="51" t="n">
        <v>18.5</v>
      </c>
      <c r="D57" s="51" t="n">
        <v>27</v>
      </c>
      <c r="E57" s="51" t="n">
        <v>66.90000000000001</v>
      </c>
      <c r="F57" s="51" t="n">
        <v>2.6</v>
      </c>
      <c r="G57" s="51" t="n">
        <v>18.1</v>
      </c>
      <c r="H57" s="51" t="n">
        <v>47.5</v>
      </c>
      <c r="I57" s="51" t="n">
        <v>44.1</v>
      </c>
      <c r="J57" s="51" t="n">
        <v>5.8</v>
      </c>
      <c r="K57" s="51" t="n">
        <v>3</v>
      </c>
      <c r="L57" s="51" t="n">
        <v>5</v>
      </c>
      <c r="M57" s="51" t="n">
        <v>0</v>
      </c>
      <c r="N57" s="51" t="n">
        <v>1</v>
      </c>
      <c r="O57" s="51" t="n">
        <v>4</v>
      </c>
      <c r="P57" s="51" t="n">
        <v>120</v>
      </c>
      <c r="Q57" s="51" t="n">
        <v>3</v>
      </c>
      <c r="R57" s="51" t="n">
        <v>700</v>
      </c>
      <c r="S57" s="51" t="n">
        <v>0</v>
      </c>
      <c r="T57" s="51" t="n">
        <v>5</v>
      </c>
      <c r="U57" s="51" t="n">
        <v>0</v>
      </c>
      <c r="V57" s="51" t="n">
        <v>0</v>
      </c>
      <c r="W57" s="51" t="n">
        <v>0</v>
      </c>
      <c r="X57" s="51" t="n">
        <v>0.5600000000000001</v>
      </c>
    </row>
    <row r="58">
      <c r="A58" s="51" t="inlineStr">
        <is>
          <t>Buckwheat hulls</t>
        </is>
      </c>
      <c r="B58" s="51" t="n">
        <v>20.4</v>
      </c>
      <c r="C58" s="51" t="n">
        <v>18.5</v>
      </c>
      <c r="D58" s="51" t="n">
        <v>27</v>
      </c>
      <c r="E58" s="51" t="n">
        <v>66.90000000000001</v>
      </c>
      <c r="F58" s="51" t="n">
        <v>2.6</v>
      </c>
      <c r="G58" s="51" t="n">
        <v>18.1</v>
      </c>
      <c r="H58" s="51" t="n">
        <v>47.5</v>
      </c>
      <c r="I58" s="51" t="n">
        <v>44.1</v>
      </c>
      <c r="J58" s="51" t="n">
        <v>5.8</v>
      </c>
      <c r="K58" s="51" t="n">
        <v>3</v>
      </c>
      <c r="L58" s="51" t="n">
        <v>5</v>
      </c>
      <c r="M58" s="51" t="n">
        <v>0</v>
      </c>
      <c r="N58" s="51" t="n">
        <v>1</v>
      </c>
      <c r="O58" s="51" t="n">
        <v>4</v>
      </c>
      <c r="P58" s="51" t="n">
        <v>120</v>
      </c>
      <c r="Q58" s="51" t="n">
        <v>3</v>
      </c>
      <c r="R58" s="51" t="n">
        <v>900</v>
      </c>
      <c r="S58" s="51" t="n">
        <v>0</v>
      </c>
      <c r="T58" s="51" t="n">
        <v>5</v>
      </c>
      <c r="U58" s="51" t="n">
        <v>0</v>
      </c>
      <c r="V58" s="51" t="n">
        <v>0</v>
      </c>
      <c r="W58" s="51" t="n">
        <v>0</v>
      </c>
      <c r="X58" s="51" t="n">
        <v>0.5600000000000001</v>
      </c>
    </row>
    <row r="59">
      <c r="A59" s="51" t="inlineStr">
        <is>
          <t>Buckwheat hulls</t>
        </is>
      </c>
      <c r="B59" s="51" t="n">
        <v>20.4</v>
      </c>
      <c r="C59" s="51" t="n">
        <v>18.5</v>
      </c>
      <c r="D59" s="51" t="n">
        <v>27</v>
      </c>
      <c r="E59" s="51" t="n">
        <v>66.90000000000001</v>
      </c>
      <c r="F59" s="51" t="n">
        <v>2.6</v>
      </c>
      <c r="G59" s="51" t="n">
        <v>18.1</v>
      </c>
      <c r="H59" s="51" t="n">
        <v>47.5</v>
      </c>
      <c r="I59" s="51" t="n">
        <v>44.1</v>
      </c>
      <c r="J59" s="51" t="n">
        <v>5.8</v>
      </c>
      <c r="K59" s="51" t="n">
        <v>3</v>
      </c>
      <c r="L59" s="51" t="n">
        <v>5</v>
      </c>
      <c r="M59" s="51" t="n">
        <v>0</v>
      </c>
      <c r="N59" s="51" t="n">
        <v>1</v>
      </c>
      <c r="O59" s="51" t="n">
        <v>4</v>
      </c>
      <c r="P59" s="51" t="n">
        <v>120</v>
      </c>
      <c r="Q59" s="51" t="n">
        <v>3</v>
      </c>
      <c r="R59" s="51" t="n">
        <v>1100</v>
      </c>
      <c r="S59" s="51" t="n">
        <v>0</v>
      </c>
      <c r="T59" s="51" t="n">
        <v>5</v>
      </c>
      <c r="U59" s="51" t="n">
        <v>0</v>
      </c>
      <c r="V59" s="51" t="n">
        <v>0</v>
      </c>
      <c r="W59" s="51" t="n">
        <v>0</v>
      </c>
      <c r="X59" s="51" t="n">
        <v>0.61</v>
      </c>
    </row>
    <row r="60">
      <c r="A60" s="51" t="inlineStr">
        <is>
          <t>Buckwheat hulls</t>
        </is>
      </c>
      <c r="B60" s="51" t="n">
        <v>20.4</v>
      </c>
      <c r="C60" s="51" t="n">
        <v>18.5</v>
      </c>
      <c r="D60" s="51" t="n">
        <v>27</v>
      </c>
      <c r="E60" s="51" t="n">
        <v>66.90000000000001</v>
      </c>
      <c r="F60" s="51" t="n">
        <v>2.6</v>
      </c>
      <c r="G60" s="51" t="n">
        <v>18.1</v>
      </c>
      <c r="H60" s="51" t="n">
        <v>47.5</v>
      </c>
      <c r="I60" s="51" t="n">
        <v>44.1</v>
      </c>
      <c r="J60" s="51" t="n">
        <v>5.8</v>
      </c>
      <c r="K60" s="51" t="n">
        <v>3</v>
      </c>
      <c r="L60" s="51" t="n">
        <v>5</v>
      </c>
      <c r="M60" s="51" t="n">
        <v>0</v>
      </c>
      <c r="N60" s="51" t="n">
        <v>1</v>
      </c>
      <c r="O60" s="51" t="n">
        <v>4</v>
      </c>
      <c r="P60" s="51" t="n">
        <v>120</v>
      </c>
      <c r="Q60" s="51" t="n">
        <v>3</v>
      </c>
      <c r="R60" s="51" t="n">
        <v>1300</v>
      </c>
      <c r="S60" s="51" t="n">
        <v>0</v>
      </c>
      <c r="T60" s="51" t="n">
        <v>5</v>
      </c>
      <c r="U60" s="51" t="n">
        <v>0</v>
      </c>
      <c r="V60" s="51" t="n">
        <v>0</v>
      </c>
      <c r="W60" s="51" t="n">
        <v>0</v>
      </c>
      <c r="X60" s="51" t="n">
        <v>0.63</v>
      </c>
    </row>
    <row r="61">
      <c r="A61" s="51" t="inlineStr">
        <is>
          <t>Cedarwood bark</t>
        </is>
      </c>
      <c r="B61" s="51" t="n">
        <v>43.6145551728204</v>
      </c>
      <c r="C61" s="51" t="n">
        <v>33.6995583465329</v>
      </c>
      <c r="D61" s="51" t="n">
        <v>13.3610322755561</v>
      </c>
      <c r="E61" s="51" t="n">
        <v>69.78239425311681</v>
      </c>
      <c r="F61" s="51" t="n">
        <v>4.5727416202086</v>
      </c>
      <c r="G61" s="51" t="n">
        <v>23.9632619582685</v>
      </c>
      <c r="H61" s="51" t="n">
        <v>48.69</v>
      </c>
      <c r="I61" s="51" t="n">
        <v>44.72</v>
      </c>
      <c r="J61" s="51" t="n">
        <v>6.13</v>
      </c>
      <c r="K61" s="51" t="n">
        <v>6</v>
      </c>
      <c r="L61" s="51" t="n">
        <v>1</v>
      </c>
      <c r="M61" s="51" t="n">
        <v>0</v>
      </c>
      <c r="N61" s="51" t="n">
        <v>1</v>
      </c>
      <c r="O61" s="51" t="n">
        <v>4</v>
      </c>
      <c r="P61" s="51" t="n">
        <v>120</v>
      </c>
      <c r="Q61" s="51" t="n">
        <v>3</v>
      </c>
      <c r="R61" s="51" t="n">
        <v>600</v>
      </c>
      <c r="S61" s="51" t="n">
        <v>0</v>
      </c>
      <c r="T61" s="51" t="n">
        <v>5</v>
      </c>
      <c r="U61" s="51" t="n">
        <v>0</v>
      </c>
      <c r="V61" s="51" t="n">
        <v>0</v>
      </c>
      <c r="W61" s="51" t="n">
        <v>0</v>
      </c>
      <c r="X61" s="51" t="n">
        <v>0.34</v>
      </c>
    </row>
    <row r="62">
      <c r="A62" s="51" t="inlineStr">
        <is>
          <t>Cedarwood bark</t>
        </is>
      </c>
      <c r="B62" s="51" t="n">
        <v>43.6145551728204</v>
      </c>
      <c r="C62" s="51" t="n">
        <v>33.6995583465329</v>
      </c>
      <c r="D62" s="51" t="n">
        <v>13.3610322755561</v>
      </c>
      <c r="E62" s="51" t="n">
        <v>69.78239425311681</v>
      </c>
      <c r="F62" s="51" t="n">
        <v>4.5727416202086</v>
      </c>
      <c r="G62" s="51" t="n">
        <v>23.9632619582685</v>
      </c>
      <c r="H62" s="51" t="n">
        <v>48.69</v>
      </c>
      <c r="I62" s="51" t="n">
        <v>44.72</v>
      </c>
      <c r="J62" s="51" t="n">
        <v>6.13</v>
      </c>
      <c r="K62" s="51" t="n">
        <v>6</v>
      </c>
      <c r="L62" s="51" t="n">
        <v>1</v>
      </c>
      <c r="M62" s="51" t="n">
        <v>0</v>
      </c>
      <c r="N62" s="51" t="n">
        <v>1</v>
      </c>
      <c r="O62" s="51" t="n">
        <v>4</v>
      </c>
      <c r="P62" s="51" t="n">
        <v>120</v>
      </c>
      <c r="Q62" s="51" t="n">
        <v>3</v>
      </c>
      <c r="R62" s="51" t="n">
        <v>800</v>
      </c>
      <c r="S62" s="51" t="n">
        <v>0</v>
      </c>
      <c r="T62" s="51" t="n">
        <v>5</v>
      </c>
      <c r="U62" s="51" t="n">
        <v>0</v>
      </c>
      <c r="V62" s="51" t="n">
        <v>0</v>
      </c>
      <c r="W62" s="51" t="n">
        <v>0</v>
      </c>
      <c r="X62" s="51" t="n">
        <v>0.38</v>
      </c>
    </row>
    <row r="63">
      <c r="A63" s="51" t="inlineStr">
        <is>
          <t>Cedarwood bark</t>
        </is>
      </c>
      <c r="B63" s="51" t="n">
        <v>43.6145551728204</v>
      </c>
      <c r="C63" s="51" t="n">
        <v>33.6995583465329</v>
      </c>
      <c r="D63" s="51" t="n">
        <v>13.3610322755561</v>
      </c>
      <c r="E63" s="51" t="n">
        <v>69.78239425311681</v>
      </c>
      <c r="F63" s="51" t="n">
        <v>4.5727416202086</v>
      </c>
      <c r="G63" s="51" t="n">
        <v>23.9632619582685</v>
      </c>
      <c r="H63" s="51" t="n">
        <v>48.69</v>
      </c>
      <c r="I63" s="51" t="n">
        <v>44.72</v>
      </c>
      <c r="J63" s="51" t="n">
        <v>6.13</v>
      </c>
      <c r="K63" s="51" t="n">
        <v>6</v>
      </c>
      <c r="L63" s="51" t="n">
        <v>1</v>
      </c>
      <c r="M63" s="51" t="n">
        <v>0</v>
      </c>
      <c r="N63" s="51" t="n">
        <v>1</v>
      </c>
      <c r="O63" s="51" t="n">
        <v>4</v>
      </c>
      <c r="P63" s="51" t="n">
        <v>120</v>
      </c>
      <c r="Q63" s="51" t="n">
        <v>3</v>
      </c>
      <c r="R63" s="51" t="n">
        <v>1000</v>
      </c>
      <c r="S63" s="51" t="n">
        <v>0</v>
      </c>
      <c r="T63" s="51" t="n">
        <v>5</v>
      </c>
      <c r="U63" s="51" t="n">
        <v>0</v>
      </c>
      <c r="V63" s="51" t="n">
        <v>0</v>
      </c>
      <c r="W63" s="51" t="n">
        <v>0</v>
      </c>
      <c r="X63" s="51" t="n">
        <v>0.45</v>
      </c>
    </row>
    <row r="64">
      <c r="A64" s="51" t="inlineStr">
        <is>
          <t>Cellulose</t>
        </is>
      </c>
      <c r="B64" s="51" t="n">
        <v>100</v>
      </c>
      <c r="C64" s="51" t="n">
        <v>0</v>
      </c>
      <c r="D64" s="51" t="n">
        <v>0</v>
      </c>
      <c r="E64" s="51" t="n">
        <v>69.67887361178821</v>
      </c>
      <c r="F64" s="51" t="n">
        <v>11.1154831649635</v>
      </c>
      <c r="G64" s="51" t="n">
        <v>21.6494943291595</v>
      </c>
      <c r="H64" s="51" t="n">
        <v>47.6838622176796</v>
      </c>
      <c r="I64" s="51" t="n">
        <v>42.9268367741664</v>
      </c>
      <c r="J64" s="51" t="n">
        <v>6.15110801567795</v>
      </c>
      <c r="K64" s="51" t="n">
        <v>1</v>
      </c>
      <c r="L64" s="51" t="n">
        <v>5</v>
      </c>
      <c r="M64" s="51" t="n">
        <v>0</v>
      </c>
      <c r="N64" s="51" t="n">
        <v>1</v>
      </c>
      <c r="O64" s="51" t="n">
        <v>4</v>
      </c>
      <c r="P64" s="51" t="n">
        <v>120</v>
      </c>
      <c r="Q64" s="51" t="n">
        <v>5</v>
      </c>
      <c r="R64" s="51" t="n">
        <v>1000</v>
      </c>
      <c r="S64" s="51" t="n">
        <v>0</v>
      </c>
      <c r="T64" s="51" t="n">
        <v>5</v>
      </c>
      <c r="U64" s="51" t="n">
        <v>0</v>
      </c>
      <c r="V64" s="51" t="n">
        <v>0</v>
      </c>
      <c r="W64" s="51" t="n">
        <v>0</v>
      </c>
      <c r="X64" s="51" t="n">
        <v>0.492610837438424</v>
      </c>
    </row>
    <row r="65">
      <c r="A65" s="51" t="inlineStr">
        <is>
          <t>Cellulose</t>
        </is>
      </c>
      <c r="B65" s="51" t="n">
        <v>100</v>
      </c>
      <c r="C65" s="51" t="n">
        <v>0</v>
      </c>
      <c r="D65" s="51" t="n">
        <v>0</v>
      </c>
      <c r="E65" s="51" t="n">
        <v>69.67887361178821</v>
      </c>
      <c r="F65" s="51" t="n">
        <v>11.1154831649635</v>
      </c>
      <c r="G65" s="51" t="n">
        <v>21.6494943291595</v>
      </c>
      <c r="H65" s="51" t="n">
        <v>47.6838622176796</v>
      </c>
      <c r="I65" s="51" t="n">
        <v>42.9268367741664</v>
      </c>
      <c r="J65" s="51" t="n">
        <v>6.15110801567795</v>
      </c>
      <c r="K65" s="51" t="n">
        <v>1</v>
      </c>
      <c r="L65" s="51" t="n">
        <v>5</v>
      </c>
      <c r="M65" s="51" t="n">
        <v>0</v>
      </c>
      <c r="N65" s="51" t="n">
        <v>1</v>
      </c>
      <c r="O65" s="51" t="n">
        <v>4</v>
      </c>
      <c r="P65" s="51" t="n">
        <v>120</v>
      </c>
      <c r="Q65" s="51" t="n">
        <v>5</v>
      </c>
      <c r="R65" s="51" t="n">
        <v>1200</v>
      </c>
      <c r="S65" s="51" t="n">
        <v>0</v>
      </c>
      <c r="T65" s="51" t="n">
        <v>5</v>
      </c>
      <c r="U65" s="51" t="n">
        <v>0</v>
      </c>
      <c r="V65" s="51" t="n">
        <v>0</v>
      </c>
      <c r="W65" s="51" t="n">
        <v>0</v>
      </c>
      <c r="X65" s="51" t="n">
        <v>0.531914893617021</v>
      </c>
    </row>
    <row r="66">
      <c r="A66" s="51" t="inlineStr">
        <is>
          <t>Cellulose</t>
        </is>
      </c>
      <c r="B66" s="51" t="n">
        <v>100</v>
      </c>
      <c r="C66" s="51" t="n">
        <v>0</v>
      </c>
      <c r="D66" s="51" t="n">
        <v>0</v>
      </c>
      <c r="E66" s="51" t="n">
        <v>69.67887361178821</v>
      </c>
      <c r="F66" s="51" t="n">
        <v>11.1154831649635</v>
      </c>
      <c r="G66" s="51" t="n">
        <v>21.6494943291595</v>
      </c>
      <c r="H66" s="51" t="n">
        <v>47.6838622176796</v>
      </c>
      <c r="I66" s="51" t="n">
        <v>42.9268367741664</v>
      </c>
      <c r="J66" s="51" t="n">
        <v>6.15110801567795</v>
      </c>
      <c r="K66" s="51" t="n">
        <v>1</v>
      </c>
      <c r="L66" s="51" t="n">
        <v>5</v>
      </c>
      <c r="M66" s="51" t="n">
        <v>0</v>
      </c>
      <c r="N66" s="51" t="n">
        <v>1</v>
      </c>
      <c r="O66" s="51" t="n">
        <v>4</v>
      </c>
      <c r="P66" s="51" t="n">
        <v>120</v>
      </c>
      <c r="Q66" s="51" t="n">
        <v>5</v>
      </c>
      <c r="R66" s="51" t="n">
        <v>1400</v>
      </c>
      <c r="S66" s="51" t="n">
        <v>0</v>
      </c>
      <c r="T66" s="51" t="n">
        <v>5</v>
      </c>
      <c r="U66" s="51" t="n">
        <v>0</v>
      </c>
      <c r="V66" s="51" t="n">
        <v>0</v>
      </c>
      <c r="W66" s="51" t="n">
        <v>0</v>
      </c>
      <c r="X66" s="51" t="n">
        <v>0.53475935828877</v>
      </c>
    </row>
    <row r="67">
      <c r="A67" s="51" t="inlineStr">
        <is>
          <t>Cellulose</t>
        </is>
      </c>
      <c r="B67" s="51" t="n">
        <v>100</v>
      </c>
      <c r="C67" s="51" t="n">
        <v>0</v>
      </c>
      <c r="D67" s="51" t="n">
        <v>0</v>
      </c>
      <c r="E67" s="51" t="n">
        <v>69.67887361178821</v>
      </c>
      <c r="F67" s="51" t="n">
        <v>11.1154831649635</v>
      </c>
      <c r="G67" s="51" t="n">
        <v>21.6494943291595</v>
      </c>
      <c r="H67" s="51" t="n">
        <v>47.6838622176796</v>
      </c>
      <c r="I67" s="51" t="n">
        <v>42.9268367741664</v>
      </c>
      <c r="J67" s="51" t="n">
        <v>6.15110801567795</v>
      </c>
      <c r="K67" s="51" t="n">
        <v>1</v>
      </c>
      <c r="L67" s="51" t="n">
        <v>5</v>
      </c>
      <c r="M67" s="51" t="n">
        <v>0</v>
      </c>
      <c r="N67" s="51" t="n">
        <v>1</v>
      </c>
      <c r="O67" s="51" t="n">
        <v>4</v>
      </c>
      <c r="P67" s="51" t="n">
        <v>120</v>
      </c>
      <c r="Q67" s="51" t="n">
        <v>5</v>
      </c>
      <c r="R67" s="51" t="n">
        <v>1600</v>
      </c>
      <c r="S67" s="51" t="n">
        <v>0</v>
      </c>
      <c r="T67" s="51" t="n">
        <v>5</v>
      </c>
      <c r="U67" s="51" t="n">
        <v>0</v>
      </c>
      <c r="V67" s="51" t="n">
        <v>0</v>
      </c>
      <c r="W67" s="51" t="n">
        <v>0</v>
      </c>
      <c r="X67" s="51" t="n">
        <v>0.571428571428571</v>
      </c>
    </row>
    <row r="68">
      <c r="A68" s="51" t="inlineStr">
        <is>
          <t>Cellulose</t>
        </is>
      </c>
      <c r="B68" s="51" t="n">
        <v>100</v>
      </c>
      <c r="C68" s="51" t="n">
        <v>0</v>
      </c>
      <c r="D68" s="51" t="n">
        <v>0</v>
      </c>
      <c r="E68" s="51" t="n">
        <v>69.67887361178821</v>
      </c>
      <c r="F68" s="51" t="n">
        <v>11.1154831649635</v>
      </c>
      <c r="G68" s="51" t="n">
        <v>21.6494943291595</v>
      </c>
      <c r="H68" s="51" t="n">
        <v>47.6838622176796</v>
      </c>
      <c r="I68" s="51" t="n">
        <v>42.9268367741664</v>
      </c>
      <c r="J68" s="51" t="n">
        <v>6.15110801567795</v>
      </c>
      <c r="K68" s="51" t="n">
        <v>1</v>
      </c>
      <c r="L68" s="51" t="n">
        <v>5</v>
      </c>
      <c r="M68" s="51" t="n">
        <v>0</v>
      </c>
      <c r="N68" s="51" t="n">
        <v>1</v>
      </c>
      <c r="O68" s="51" t="n">
        <v>4</v>
      </c>
      <c r="P68" s="51" t="n">
        <v>120</v>
      </c>
      <c r="Q68" s="51" t="n">
        <v>5</v>
      </c>
      <c r="R68" s="51" t="n">
        <v>1800</v>
      </c>
      <c r="S68" s="51" t="n">
        <v>0</v>
      </c>
      <c r="T68" s="51" t="n">
        <v>5</v>
      </c>
      <c r="U68" s="51" t="n">
        <v>0</v>
      </c>
      <c r="V68" s="51" t="n">
        <v>0</v>
      </c>
      <c r="W68" s="51" t="n">
        <v>0</v>
      </c>
      <c r="X68" s="51" t="n">
        <v>0.684931506849315</v>
      </c>
    </row>
    <row r="69">
      <c r="A69" s="51" t="inlineStr">
        <is>
          <t>Cellulose</t>
        </is>
      </c>
      <c r="B69" s="51" t="n">
        <v>100</v>
      </c>
      <c r="C69" s="51" t="n">
        <v>0</v>
      </c>
      <c r="D69" s="51" t="n">
        <v>0</v>
      </c>
      <c r="E69" s="51" t="n">
        <v>69.67887361178821</v>
      </c>
      <c r="F69" s="51" t="n">
        <v>11.1154831649635</v>
      </c>
      <c r="G69" s="51" t="n">
        <v>21.6494943291595</v>
      </c>
      <c r="H69" s="51" t="n">
        <v>47.6838622176796</v>
      </c>
      <c r="I69" s="51" t="n">
        <v>42.9268367741664</v>
      </c>
      <c r="J69" s="51" t="n">
        <v>6.15110801567795</v>
      </c>
      <c r="K69" s="51" t="n">
        <v>1</v>
      </c>
      <c r="L69" s="51" t="n">
        <v>5</v>
      </c>
      <c r="M69" s="51" t="n">
        <v>1</v>
      </c>
      <c r="N69" s="51" t="n">
        <v>1</v>
      </c>
      <c r="O69" s="51" t="n">
        <v>4</v>
      </c>
      <c r="P69" s="51" t="n">
        <v>60</v>
      </c>
      <c r="Q69" s="51" t="n">
        <v>10</v>
      </c>
      <c r="R69" s="51" t="n">
        <v>800</v>
      </c>
      <c r="S69" s="51" t="n">
        <v>1</v>
      </c>
      <c r="T69" s="51" t="n">
        <v>5</v>
      </c>
      <c r="U69" s="51" t="n">
        <v>480</v>
      </c>
      <c r="V69" s="51" t="n">
        <v>10</v>
      </c>
      <c r="W69" s="51" t="n">
        <v>1300</v>
      </c>
      <c r="X69" s="51" t="n">
        <v>0.72</v>
      </c>
    </row>
    <row r="70">
      <c r="A70" s="51" t="inlineStr">
        <is>
          <t>Chrysanthemum</t>
        </is>
      </c>
      <c r="B70" s="51" t="n">
        <v>21.55</v>
      </c>
      <c r="C70" s="51" t="n">
        <v>28.8047840909091</v>
      </c>
      <c r="D70" s="51" t="n">
        <v>23.03</v>
      </c>
      <c r="E70" s="51" t="n">
        <v>69.45999999999999</v>
      </c>
      <c r="F70" s="51" t="n">
        <v>11.82</v>
      </c>
      <c r="G70" s="51" t="n">
        <v>18.69</v>
      </c>
      <c r="H70" s="51" t="n">
        <v>47.5102741880838</v>
      </c>
      <c r="I70" s="51" t="n">
        <v>40.1987410269694</v>
      </c>
      <c r="J70" s="51" t="n">
        <v>6.24645822039441</v>
      </c>
      <c r="K70" s="51" t="n">
        <v>6</v>
      </c>
      <c r="L70" s="51" t="n">
        <v>7</v>
      </c>
      <c r="M70" s="51" t="n">
        <v>0</v>
      </c>
      <c r="N70" s="51" t="n">
        <v>1</v>
      </c>
      <c r="O70" s="51" t="n">
        <v>6</v>
      </c>
      <c r="P70" s="51" t="n">
        <v>60</v>
      </c>
      <c r="Q70" s="51" t="n">
        <v>5</v>
      </c>
      <c r="R70" s="51" t="n">
        <v>700</v>
      </c>
      <c r="S70" s="51" t="n">
        <v>0</v>
      </c>
      <c r="T70" s="51" t="n">
        <v>5</v>
      </c>
      <c r="U70" s="51" t="n">
        <v>0</v>
      </c>
      <c r="V70" s="51" t="n">
        <v>0</v>
      </c>
      <c r="W70" s="51" t="n">
        <v>0</v>
      </c>
      <c r="X70" s="51" t="n">
        <v>1.24</v>
      </c>
    </row>
    <row r="71">
      <c r="A71" s="51" t="inlineStr">
        <is>
          <t>Coconut endocarp</t>
        </is>
      </c>
      <c r="B71" s="51" t="n">
        <v>33.6613953233538</v>
      </c>
      <c r="C71" s="51" t="n">
        <v>20.9825955589292</v>
      </c>
      <c r="D71" s="51" t="n">
        <v>34.9116770903997</v>
      </c>
      <c r="E71" s="51" t="n">
        <v>72.656882719756</v>
      </c>
      <c r="F71" s="51" t="n">
        <v>2.44715830164062</v>
      </c>
      <c r="G71" s="51" t="n">
        <v>19.9810529839057</v>
      </c>
      <c r="H71" s="51" t="n">
        <v>51.1</v>
      </c>
      <c r="I71" s="51" t="n">
        <v>42.6</v>
      </c>
      <c r="J71" s="51" t="n">
        <v>5.53</v>
      </c>
      <c r="K71" s="51" t="n">
        <v>6</v>
      </c>
      <c r="L71" s="51" t="n">
        <v>5</v>
      </c>
      <c r="M71" s="51" t="n">
        <v>0</v>
      </c>
      <c r="N71" s="51" t="n">
        <v>1</v>
      </c>
      <c r="O71" s="51" t="n">
        <v>4</v>
      </c>
      <c r="P71" s="51" t="n">
        <v>126.016165214555</v>
      </c>
      <c r="Q71" s="51" t="n">
        <v>3.81480202261117</v>
      </c>
      <c r="R71" s="51" t="n">
        <v>900</v>
      </c>
      <c r="S71" s="51" t="n">
        <v>0</v>
      </c>
      <c r="T71" s="51" t="n">
        <v>5</v>
      </c>
      <c r="U71" s="51" t="n">
        <v>0</v>
      </c>
      <c r="V71" s="51" t="n">
        <v>0</v>
      </c>
      <c r="W71" s="51" t="n">
        <v>0</v>
      </c>
      <c r="X71" s="51" t="n">
        <v>1.14</v>
      </c>
    </row>
    <row r="72">
      <c r="A72" s="51" t="inlineStr">
        <is>
          <t>Coconut endocarp</t>
        </is>
      </c>
      <c r="B72" s="51" t="n">
        <v>33.6613953233538</v>
      </c>
      <c r="C72" s="51" t="n">
        <v>20.9825955589292</v>
      </c>
      <c r="D72" s="51" t="n">
        <v>34.9116770903997</v>
      </c>
      <c r="E72" s="51" t="n">
        <v>72.656882719756</v>
      </c>
      <c r="F72" s="51" t="n">
        <v>2.44715830164062</v>
      </c>
      <c r="G72" s="51" t="n">
        <v>19.9810529839057</v>
      </c>
      <c r="H72" s="51" t="n">
        <v>51.1</v>
      </c>
      <c r="I72" s="51" t="n">
        <v>42.6</v>
      </c>
      <c r="J72" s="51" t="n">
        <v>5.53</v>
      </c>
      <c r="K72" s="51" t="n">
        <v>6</v>
      </c>
      <c r="L72" s="51" t="n">
        <v>5</v>
      </c>
      <c r="M72" s="51" t="n">
        <v>0</v>
      </c>
      <c r="N72" s="51" t="n">
        <v>1</v>
      </c>
      <c r="O72" s="51" t="n">
        <v>4</v>
      </c>
      <c r="P72" s="51" t="n">
        <v>170.043485492918</v>
      </c>
      <c r="Q72" s="51" t="n">
        <v>4.2406872240162</v>
      </c>
      <c r="R72" s="51" t="n">
        <v>1000</v>
      </c>
      <c r="S72" s="51" t="n">
        <v>0</v>
      </c>
      <c r="T72" s="51" t="n">
        <v>5</v>
      </c>
      <c r="U72" s="51" t="n">
        <v>0</v>
      </c>
      <c r="V72" s="51" t="n">
        <v>0</v>
      </c>
      <c r="W72" s="51" t="n">
        <v>0</v>
      </c>
      <c r="X72" s="51" t="n">
        <v>1.19</v>
      </c>
    </row>
    <row r="73">
      <c r="A73" s="51" t="inlineStr">
        <is>
          <t>Coconut endocarp</t>
        </is>
      </c>
      <c r="B73" s="51" t="n">
        <v>33.6613953233538</v>
      </c>
      <c r="C73" s="51" t="n">
        <v>20.9825955589292</v>
      </c>
      <c r="D73" s="51" t="n">
        <v>34.9116770903997</v>
      </c>
      <c r="E73" s="51" t="n">
        <v>72.656882719756</v>
      </c>
      <c r="F73" s="51" t="n">
        <v>2.44715830164062</v>
      </c>
      <c r="G73" s="51" t="n">
        <v>19.9810529839057</v>
      </c>
      <c r="H73" s="51" t="n">
        <v>51.1</v>
      </c>
      <c r="I73" s="51" t="n">
        <v>42.6</v>
      </c>
      <c r="J73" s="51" t="n">
        <v>5.53</v>
      </c>
      <c r="K73" s="51" t="n">
        <v>6</v>
      </c>
      <c r="L73" s="51" t="n">
        <v>5</v>
      </c>
      <c r="M73" s="51" t="n">
        <v>0</v>
      </c>
      <c r="N73" s="51" t="n">
        <v>1</v>
      </c>
      <c r="O73" s="51" t="n">
        <v>4</v>
      </c>
      <c r="P73" s="51" t="n">
        <v>188.222153587472</v>
      </c>
      <c r="Q73" s="51" t="n">
        <v>5.1814588723049</v>
      </c>
      <c r="R73" s="51" t="n">
        <v>1100</v>
      </c>
      <c r="S73" s="51" t="n">
        <v>0</v>
      </c>
      <c r="T73" s="51" t="n">
        <v>5</v>
      </c>
      <c r="U73" s="51" t="n">
        <v>0</v>
      </c>
      <c r="V73" s="51" t="n">
        <v>0</v>
      </c>
      <c r="W73" s="51" t="n">
        <v>0</v>
      </c>
      <c r="X73" s="51" t="n">
        <v>1.15</v>
      </c>
    </row>
    <row r="74">
      <c r="A74" s="51" t="inlineStr">
        <is>
          <t>Coconut endocarp</t>
        </is>
      </c>
      <c r="B74" s="51" t="n">
        <v>33.6613953233538</v>
      </c>
      <c r="C74" s="51" t="n">
        <v>20.9825955589292</v>
      </c>
      <c r="D74" s="51" t="n">
        <v>34.9116770903997</v>
      </c>
      <c r="E74" s="51" t="n">
        <v>72.656882719756</v>
      </c>
      <c r="F74" s="51" t="n">
        <v>2.44715830164062</v>
      </c>
      <c r="G74" s="51" t="n">
        <v>19.9810529839057</v>
      </c>
      <c r="H74" s="51" t="n">
        <v>51.1</v>
      </c>
      <c r="I74" s="51" t="n">
        <v>42.6</v>
      </c>
      <c r="J74" s="51" t="n">
        <v>5.53</v>
      </c>
      <c r="K74" s="51" t="n">
        <v>6</v>
      </c>
      <c r="L74" s="51" t="n">
        <v>5</v>
      </c>
      <c r="M74" s="51" t="n">
        <v>0</v>
      </c>
      <c r="N74" s="51" t="n">
        <v>1</v>
      </c>
      <c r="O74" s="51" t="n">
        <v>4</v>
      </c>
      <c r="P74" s="51" t="n">
        <v>125.99268889936</v>
      </c>
      <c r="Q74" s="51" t="n">
        <v>4.15772419961563</v>
      </c>
      <c r="R74" s="51" t="n">
        <v>1200</v>
      </c>
      <c r="S74" s="51" t="n">
        <v>0</v>
      </c>
      <c r="T74" s="51" t="n">
        <v>5</v>
      </c>
      <c r="U74" s="51" t="n">
        <v>0</v>
      </c>
      <c r="V74" s="51" t="n">
        <v>0</v>
      </c>
      <c r="W74" s="51" t="n">
        <v>0</v>
      </c>
      <c r="X74" s="51" t="n">
        <v>1.31</v>
      </c>
    </row>
    <row r="75">
      <c r="A75" s="51" t="inlineStr">
        <is>
          <t>Coconut endocarp</t>
        </is>
      </c>
      <c r="B75" s="51" t="n">
        <v>33.6613953233538</v>
      </c>
      <c r="C75" s="51" t="n">
        <v>20.9825955589292</v>
      </c>
      <c r="D75" s="51" t="n">
        <v>34.9116770903997</v>
      </c>
      <c r="E75" s="51" t="n">
        <v>72.656882719756</v>
      </c>
      <c r="F75" s="51" t="n">
        <v>2.44715830164062</v>
      </c>
      <c r="G75" s="51" t="n">
        <v>19.9810529839057</v>
      </c>
      <c r="H75" s="51" t="n">
        <v>51.1</v>
      </c>
      <c r="I75" s="51" t="n">
        <v>42.6</v>
      </c>
      <c r="J75" s="51" t="n">
        <v>5.53</v>
      </c>
      <c r="K75" s="51" t="n">
        <v>6</v>
      </c>
      <c r="L75" s="51" t="n">
        <v>5</v>
      </c>
      <c r="M75" s="51" t="n">
        <v>0</v>
      </c>
      <c r="N75" s="51" t="n">
        <v>1</v>
      </c>
      <c r="O75" s="51" t="n">
        <v>4</v>
      </c>
      <c r="P75" s="51" t="n">
        <v>188.225162857563</v>
      </c>
      <c r="Q75" s="51" t="n">
        <v>5.18147084365816</v>
      </c>
      <c r="R75" s="51" t="n">
        <v>1100</v>
      </c>
      <c r="S75" s="51" t="n">
        <v>0</v>
      </c>
      <c r="T75" s="51" t="n">
        <v>5</v>
      </c>
      <c r="U75" s="51" t="n">
        <v>0</v>
      </c>
      <c r="V75" s="51" t="n">
        <v>0</v>
      </c>
      <c r="W75" s="51" t="n">
        <v>0</v>
      </c>
      <c r="X75" s="51" t="n">
        <v>1.18</v>
      </c>
    </row>
    <row r="76">
      <c r="A76" s="51" t="inlineStr">
        <is>
          <t>Coconut shells</t>
        </is>
      </c>
      <c r="B76" s="51" t="n">
        <v>17.89</v>
      </c>
      <c r="C76" s="51" t="n">
        <v>56.29</v>
      </c>
      <c r="D76" s="51" t="n">
        <v>25.82</v>
      </c>
      <c r="E76" s="51" t="n">
        <v>83.98220245</v>
      </c>
      <c r="F76" s="51" t="n">
        <v>3.56</v>
      </c>
      <c r="G76" s="51" t="n">
        <v>12.46</v>
      </c>
      <c r="H76" s="51" t="n">
        <v>64.23</v>
      </c>
      <c r="I76" s="51" t="n">
        <v>27.61</v>
      </c>
      <c r="J76" s="51" t="n">
        <v>6.89</v>
      </c>
      <c r="K76" s="51" t="n">
        <v>4</v>
      </c>
      <c r="L76" s="51" t="n">
        <v>3</v>
      </c>
      <c r="M76" s="51" t="n">
        <v>0</v>
      </c>
      <c r="N76" s="51" t="n">
        <v>1</v>
      </c>
      <c r="O76" s="51" t="n">
        <v>4</v>
      </c>
      <c r="P76" s="51" t="n">
        <v>104</v>
      </c>
      <c r="Q76" s="51" t="n">
        <v>5</v>
      </c>
      <c r="R76" s="51" t="n">
        <v>1300</v>
      </c>
      <c r="S76" s="51" t="n">
        <v>0</v>
      </c>
      <c r="T76" s="51" t="n">
        <v>5</v>
      </c>
      <c r="U76" s="51" t="n">
        <v>0</v>
      </c>
      <c r="V76" s="51" t="n">
        <v>0</v>
      </c>
      <c r="W76" s="51" t="n">
        <v>0</v>
      </c>
      <c r="X76" s="51" t="n">
        <v>0.5494505494505491</v>
      </c>
    </row>
    <row r="77">
      <c r="A77" s="51" t="inlineStr">
        <is>
          <t>Coconut shells</t>
        </is>
      </c>
      <c r="B77" s="51" t="n">
        <v>17.89</v>
      </c>
      <c r="C77" s="51" t="n">
        <v>56.29</v>
      </c>
      <c r="D77" s="51" t="n">
        <v>25.82</v>
      </c>
      <c r="E77" s="51" t="n">
        <v>83.98220245</v>
      </c>
      <c r="F77" s="51" t="n">
        <v>3.56</v>
      </c>
      <c r="G77" s="51" t="n">
        <v>12.46</v>
      </c>
      <c r="H77" s="51" t="n">
        <v>64.23</v>
      </c>
      <c r="I77" s="51" t="n">
        <v>27.61</v>
      </c>
      <c r="J77" s="51" t="n">
        <v>6.89</v>
      </c>
      <c r="K77" s="51" t="n">
        <v>1</v>
      </c>
      <c r="L77" s="51" t="n">
        <v>5</v>
      </c>
      <c r="M77" s="51" t="n">
        <v>0</v>
      </c>
      <c r="N77" s="51" t="n">
        <v>1</v>
      </c>
      <c r="O77" s="51" t="n">
        <v>4</v>
      </c>
      <c r="P77" s="51" t="n">
        <v>120</v>
      </c>
      <c r="Q77" s="51" t="n">
        <v>5</v>
      </c>
      <c r="R77" s="51" t="n">
        <v>1400</v>
      </c>
      <c r="S77" s="51" t="n">
        <v>0</v>
      </c>
      <c r="T77" s="51" t="n">
        <v>5</v>
      </c>
      <c r="U77" s="51" t="n">
        <v>0</v>
      </c>
      <c r="V77" s="51" t="n">
        <v>0</v>
      </c>
      <c r="W77" s="51" t="n">
        <v>0</v>
      </c>
      <c r="X77" s="51" t="n">
        <v>0.606060606060606</v>
      </c>
    </row>
    <row r="78">
      <c r="A78" s="51" t="inlineStr">
        <is>
          <t>Coconut shells</t>
        </is>
      </c>
      <c r="B78" s="51" t="n">
        <v>17.89</v>
      </c>
      <c r="C78" s="51" t="n">
        <v>56.29</v>
      </c>
      <c r="D78" s="51" t="n">
        <v>25.82</v>
      </c>
      <c r="E78" s="51" t="n">
        <v>83.98220245</v>
      </c>
      <c r="F78" s="51" t="n">
        <v>3.56</v>
      </c>
      <c r="G78" s="51" t="n">
        <v>12.46</v>
      </c>
      <c r="H78" s="51" t="n">
        <v>64.23</v>
      </c>
      <c r="I78" s="51" t="n">
        <v>27.61</v>
      </c>
      <c r="J78" s="51" t="n">
        <v>6.89</v>
      </c>
      <c r="K78" s="51" t="n">
        <v>4</v>
      </c>
      <c r="L78" s="51" t="n">
        <v>5</v>
      </c>
      <c r="M78" s="51" t="n">
        <v>1</v>
      </c>
      <c r="N78" s="51" t="n">
        <v>1</v>
      </c>
      <c r="O78" s="51" t="n">
        <v>4</v>
      </c>
      <c r="P78" s="51" t="n">
        <v>120</v>
      </c>
      <c r="Q78" s="51" t="n">
        <v>5</v>
      </c>
      <c r="R78" s="51" t="n">
        <v>1300</v>
      </c>
      <c r="S78" s="51" t="n">
        <v>1</v>
      </c>
      <c r="T78" s="51" t="n">
        <v>4</v>
      </c>
      <c r="U78" s="51" t="n">
        <v>120</v>
      </c>
      <c r="V78" s="51" t="n">
        <v>5</v>
      </c>
      <c r="W78" s="51" t="n">
        <v>300</v>
      </c>
      <c r="X78" s="51" t="n">
        <v>0.78740157480315</v>
      </c>
    </row>
    <row r="79">
      <c r="A79" s="51" t="inlineStr">
        <is>
          <t>Coconut shells</t>
        </is>
      </c>
      <c r="B79" s="51" t="n">
        <v>17.89</v>
      </c>
      <c r="C79" s="51" t="n">
        <v>56.29</v>
      </c>
      <c r="D79" s="51" t="n">
        <v>25.82</v>
      </c>
      <c r="E79" s="51" t="n">
        <v>83.98220245</v>
      </c>
      <c r="F79" s="51" t="n">
        <v>3.56</v>
      </c>
      <c r="G79" s="51" t="n">
        <v>12.46</v>
      </c>
      <c r="H79" s="51" t="n">
        <v>64.23</v>
      </c>
      <c r="I79" s="51" t="n">
        <v>27.61</v>
      </c>
      <c r="J79" s="51" t="n">
        <v>6.89</v>
      </c>
      <c r="K79" s="51" t="n">
        <v>4</v>
      </c>
      <c r="L79" s="51" t="n">
        <v>5</v>
      </c>
      <c r="M79" s="51" t="n">
        <v>1</v>
      </c>
      <c r="N79" s="51" t="n">
        <v>1</v>
      </c>
      <c r="O79" s="51" t="n">
        <v>4</v>
      </c>
      <c r="P79" s="51" t="n">
        <v>120</v>
      </c>
      <c r="Q79" s="51" t="n">
        <v>5</v>
      </c>
      <c r="R79" s="51" t="n">
        <v>1300</v>
      </c>
      <c r="S79" s="51" t="n">
        <v>1</v>
      </c>
      <c r="T79" s="51" t="n">
        <v>4</v>
      </c>
      <c r="U79" s="51" t="n">
        <v>120</v>
      </c>
      <c r="V79" s="51" t="n">
        <v>5</v>
      </c>
      <c r="W79" s="51" t="n">
        <v>300</v>
      </c>
      <c r="X79" s="51" t="n">
        <v>0.892857142857143</v>
      </c>
    </row>
    <row r="80">
      <c r="A80" s="51" t="inlineStr">
        <is>
          <t>Coconut shells</t>
        </is>
      </c>
      <c r="B80" s="51" t="n">
        <v>17.89</v>
      </c>
      <c r="C80" s="51" t="n">
        <v>56.29</v>
      </c>
      <c r="D80" s="51" t="n">
        <v>25.82</v>
      </c>
      <c r="E80" s="51" t="n">
        <v>83.98220245</v>
      </c>
      <c r="F80" s="51" t="n">
        <v>3.56</v>
      </c>
      <c r="G80" s="51" t="n">
        <v>12.46</v>
      </c>
      <c r="H80" s="51" t="n">
        <v>64.23</v>
      </c>
      <c r="I80" s="51" t="n">
        <v>27.61</v>
      </c>
      <c r="J80" s="51" t="n">
        <v>6.89</v>
      </c>
      <c r="K80" s="51" t="n">
        <v>4</v>
      </c>
      <c r="L80" s="51" t="n">
        <v>1</v>
      </c>
      <c r="M80" s="51" t="n">
        <v>0</v>
      </c>
      <c r="N80" s="51" t="n">
        <v>1</v>
      </c>
      <c r="O80" s="51" t="n">
        <v>4</v>
      </c>
      <c r="P80" s="51" t="n">
        <v>60</v>
      </c>
      <c r="Q80" s="51" t="n">
        <v>5</v>
      </c>
      <c r="R80" s="51" t="n">
        <v>1300</v>
      </c>
      <c r="S80" s="51" t="n">
        <v>0</v>
      </c>
      <c r="T80" s="51" t="n">
        <v>5</v>
      </c>
      <c r="U80" s="51" t="n">
        <v>0</v>
      </c>
      <c r="V80" s="51" t="n">
        <v>0</v>
      </c>
      <c r="W80" s="51" t="n">
        <v>0</v>
      </c>
      <c r="X80" s="51" t="n">
        <v>0.5376344086021509</v>
      </c>
    </row>
    <row r="81">
      <c r="A81" s="51" t="inlineStr">
        <is>
          <t>Coffee ground</t>
        </is>
      </c>
      <c r="B81" s="51" t="n">
        <v>12.4</v>
      </c>
      <c r="C81" s="51" t="n">
        <v>39.1</v>
      </c>
      <c r="D81" s="51" t="n">
        <v>23.9</v>
      </c>
      <c r="E81" s="51" t="n">
        <v>83.3</v>
      </c>
      <c r="F81" s="51" t="n">
        <v>15.3</v>
      </c>
      <c r="G81" s="51" t="n">
        <v>1.5</v>
      </c>
      <c r="H81" s="51" t="n">
        <v>54.2</v>
      </c>
      <c r="I81" s="51" t="n">
        <v>33.1</v>
      </c>
      <c r="J81" s="51" t="n">
        <v>7</v>
      </c>
      <c r="K81" s="51" t="n">
        <v>4</v>
      </c>
      <c r="L81" s="51" t="n">
        <v>5</v>
      </c>
      <c r="M81" s="51" t="n">
        <v>0</v>
      </c>
      <c r="N81" s="51" t="n">
        <v>1</v>
      </c>
      <c r="O81" s="51" t="n">
        <v>0</v>
      </c>
      <c r="P81" s="51" t="n">
        <v>480</v>
      </c>
      <c r="Q81" s="51" t="n">
        <v>10</v>
      </c>
      <c r="R81" s="51" t="n">
        <v>970</v>
      </c>
      <c r="S81" s="51" t="n">
        <v>0</v>
      </c>
      <c r="T81" s="51" t="n">
        <v>5</v>
      </c>
      <c r="U81" s="51" t="n">
        <v>0</v>
      </c>
      <c r="V81" s="51" t="n">
        <v>0</v>
      </c>
      <c r="W81" s="51" t="n">
        <v>0</v>
      </c>
      <c r="X81" s="51" t="n">
        <v>0.965</v>
      </c>
    </row>
    <row r="82">
      <c r="A82" s="51" t="inlineStr">
        <is>
          <t>Coffee ground</t>
        </is>
      </c>
      <c r="B82" s="51" t="n">
        <v>12.4</v>
      </c>
      <c r="C82" s="51" t="n">
        <v>39.1</v>
      </c>
      <c r="D82" s="51" t="n">
        <v>23.9</v>
      </c>
      <c r="E82" s="51" t="n">
        <v>83.3</v>
      </c>
      <c r="F82" s="51" t="n">
        <v>15.3</v>
      </c>
      <c r="G82" s="51" t="n">
        <v>1.5</v>
      </c>
      <c r="H82" s="51" t="n">
        <v>54.2</v>
      </c>
      <c r="I82" s="51" t="n">
        <v>33.1</v>
      </c>
      <c r="J82" s="51" t="n">
        <v>7</v>
      </c>
      <c r="K82" s="51" t="n">
        <v>4</v>
      </c>
      <c r="L82" s="51" t="n">
        <v>1</v>
      </c>
      <c r="M82" s="51" t="n">
        <v>1</v>
      </c>
      <c r="N82" s="51" t="n">
        <v>1</v>
      </c>
      <c r="O82" s="51" t="n">
        <v>4</v>
      </c>
      <c r="P82" s="51" t="n">
        <v>120</v>
      </c>
      <c r="Q82" s="51" t="n">
        <v>3</v>
      </c>
      <c r="R82" s="51" t="n">
        <v>400</v>
      </c>
      <c r="S82" s="51" t="n">
        <v>1</v>
      </c>
      <c r="T82" s="51" t="n">
        <v>5</v>
      </c>
      <c r="U82" s="51" t="n">
        <v>120</v>
      </c>
      <c r="V82" s="51" t="n">
        <v>5</v>
      </c>
      <c r="W82" s="51" t="n">
        <v>1000</v>
      </c>
      <c r="X82" s="51" t="n">
        <v>0.91</v>
      </c>
    </row>
    <row r="83">
      <c r="A83" s="51" t="inlineStr">
        <is>
          <t>Coir</t>
        </is>
      </c>
      <c r="B83" s="51" t="n">
        <v>34.3359770079627</v>
      </c>
      <c r="C83" s="51" t="n">
        <v>13.4133843597305</v>
      </c>
      <c r="D83" s="51" t="n">
        <v>25.0938963518179</v>
      </c>
      <c r="E83" s="51" t="n">
        <v>69.2</v>
      </c>
      <c r="F83" s="51" t="n">
        <v>15.1</v>
      </c>
      <c r="G83" s="51" t="n">
        <v>21.6</v>
      </c>
      <c r="H83" s="51" t="n">
        <v>40.8</v>
      </c>
      <c r="I83" s="51" t="n">
        <v>40.3</v>
      </c>
      <c r="J83" s="51" t="n">
        <v>3.5</v>
      </c>
      <c r="K83" s="51" t="n">
        <v>5</v>
      </c>
      <c r="L83" s="51" t="n">
        <v>2</v>
      </c>
      <c r="M83" s="51" t="n">
        <v>0</v>
      </c>
      <c r="N83" s="51" t="n">
        <v>1</v>
      </c>
      <c r="O83" s="51" t="n">
        <v>4</v>
      </c>
      <c r="P83" s="51" t="n">
        <v>120</v>
      </c>
      <c r="Q83" s="51" t="n">
        <v>4.43310063832215</v>
      </c>
      <c r="R83" s="51" t="n">
        <v>800</v>
      </c>
      <c r="S83" s="51" t="n">
        <v>0</v>
      </c>
      <c r="T83" s="51" t="n">
        <v>5</v>
      </c>
      <c r="U83" s="51" t="n">
        <v>0</v>
      </c>
      <c r="V83" s="51" t="n">
        <v>0</v>
      </c>
      <c r="W83" s="51" t="n">
        <v>0</v>
      </c>
      <c r="X83" s="51" t="n">
        <v>0.72</v>
      </c>
    </row>
    <row r="84">
      <c r="A84" s="51" t="inlineStr">
        <is>
          <t>Coir</t>
        </is>
      </c>
      <c r="B84" s="51" t="n">
        <v>34.3359770079627</v>
      </c>
      <c r="C84" s="51" t="n">
        <v>13.4133843597305</v>
      </c>
      <c r="D84" s="51" t="n">
        <v>25.0938963518179</v>
      </c>
      <c r="E84" s="51" t="n">
        <v>69.2</v>
      </c>
      <c r="F84" s="51" t="n">
        <v>15.1</v>
      </c>
      <c r="G84" s="51" t="n">
        <v>21.6</v>
      </c>
      <c r="H84" s="51" t="n">
        <v>40.8</v>
      </c>
      <c r="I84" s="51" t="n">
        <v>40.3</v>
      </c>
      <c r="J84" s="51" t="n">
        <v>3.5</v>
      </c>
      <c r="K84" s="51" t="n">
        <v>5</v>
      </c>
      <c r="L84" s="51" t="n">
        <v>2</v>
      </c>
      <c r="M84" s="51" t="n">
        <v>0</v>
      </c>
      <c r="N84" s="51" t="n">
        <v>1</v>
      </c>
      <c r="O84" s="51" t="n">
        <v>4</v>
      </c>
      <c r="P84" s="51" t="n">
        <v>120</v>
      </c>
      <c r="Q84" s="51" t="n">
        <v>4.68025109497266</v>
      </c>
      <c r="R84" s="51" t="n">
        <v>1000</v>
      </c>
      <c r="S84" s="51" t="n">
        <v>0</v>
      </c>
      <c r="T84" s="51" t="n">
        <v>5</v>
      </c>
      <c r="U84" s="51" t="n">
        <v>0</v>
      </c>
      <c r="V84" s="51" t="n">
        <v>0</v>
      </c>
      <c r="W84" s="51" t="n">
        <v>0</v>
      </c>
      <c r="X84" s="51" t="n">
        <v>0.83</v>
      </c>
    </row>
    <row r="85">
      <c r="A85" s="51" t="inlineStr">
        <is>
          <t>Coir</t>
        </is>
      </c>
      <c r="B85" s="51" t="n">
        <v>34.3359770079627</v>
      </c>
      <c r="C85" s="51" t="n">
        <v>13.4133843597305</v>
      </c>
      <c r="D85" s="51" t="n">
        <v>25.0938963518179</v>
      </c>
      <c r="E85" s="51" t="n">
        <v>69.2</v>
      </c>
      <c r="F85" s="51" t="n">
        <v>15.1</v>
      </c>
      <c r="G85" s="51" t="n">
        <v>21.6</v>
      </c>
      <c r="H85" s="51" t="n">
        <v>40.8</v>
      </c>
      <c r="I85" s="51" t="n">
        <v>40.3</v>
      </c>
      <c r="J85" s="51" t="n">
        <v>3.5</v>
      </c>
      <c r="K85" s="51" t="n">
        <v>5</v>
      </c>
      <c r="L85" s="51" t="n">
        <v>2</v>
      </c>
      <c r="M85" s="51" t="n">
        <v>0</v>
      </c>
      <c r="N85" s="51" t="n">
        <v>1</v>
      </c>
      <c r="O85" s="51" t="n">
        <v>4</v>
      </c>
      <c r="P85" s="51" t="n">
        <v>120</v>
      </c>
      <c r="Q85" s="51" t="n">
        <v>4.46746141976815</v>
      </c>
      <c r="R85" s="51" t="n">
        <v>1200</v>
      </c>
      <c r="S85" s="51" t="n">
        <v>0</v>
      </c>
      <c r="T85" s="51" t="n">
        <v>5</v>
      </c>
      <c r="U85" s="51" t="n">
        <v>0</v>
      </c>
      <c r="V85" s="51" t="n">
        <v>0</v>
      </c>
      <c r="W85" s="51" t="n">
        <v>0</v>
      </c>
      <c r="X85" s="51" t="n">
        <v>0.84</v>
      </c>
    </row>
    <row r="86">
      <c r="A86" s="51" t="inlineStr">
        <is>
          <t>Corn cob</t>
        </is>
      </c>
      <c r="B86" s="51" t="n">
        <v>45.88</v>
      </c>
      <c r="C86" s="51" t="n">
        <v>39.4</v>
      </c>
      <c r="D86" s="51" t="n">
        <v>11.32</v>
      </c>
      <c r="E86" s="51" t="n">
        <v>87.76000000000001</v>
      </c>
      <c r="F86" s="51" t="n">
        <v>1.05</v>
      </c>
      <c r="G86" s="51" t="n">
        <v>11.19</v>
      </c>
      <c r="H86" s="51" t="n">
        <v>43.81</v>
      </c>
      <c r="I86" s="51" t="n">
        <v>48.19</v>
      </c>
      <c r="J86" s="51" t="n">
        <v>6.54</v>
      </c>
      <c r="K86" s="51" t="n">
        <v>4</v>
      </c>
      <c r="L86" s="51" t="n">
        <v>5</v>
      </c>
      <c r="M86" s="51" t="n">
        <v>0</v>
      </c>
      <c r="N86" s="51" t="n">
        <v>1</v>
      </c>
      <c r="O86" s="51" t="n">
        <v>4</v>
      </c>
      <c r="P86" s="51" t="n">
        <v>60</v>
      </c>
      <c r="Q86" s="51" t="n">
        <v>5</v>
      </c>
      <c r="R86" s="51" t="n">
        <v>1400</v>
      </c>
      <c r="S86" s="51" t="n">
        <v>0</v>
      </c>
      <c r="T86" s="51" t="n">
        <v>5</v>
      </c>
      <c r="U86" s="51" t="n">
        <v>0</v>
      </c>
      <c r="V86" s="51" t="n">
        <v>0</v>
      </c>
      <c r="W86" s="51" t="n">
        <v>0</v>
      </c>
      <c r="X86" s="51" t="n">
        <v>0.444444444444444</v>
      </c>
    </row>
    <row r="87">
      <c r="A87" s="51" t="inlineStr">
        <is>
          <t>Corn cob</t>
        </is>
      </c>
      <c r="B87" s="51" t="n">
        <v>45.88</v>
      </c>
      <c r="C87" s="51" t="n">
        <v>39.4</v>
      </c>
      <c r="D87" s="51" t="n">
        <v>11.32</v>
      </c>
      <c r="E87" s="51" t="n">
        <v>87.76000000000001</v>
      </c>
      <c r="F87" s="51" t="n">
        <v>1.05</v>
      </c>
      <c r="G87" s="51" t="n">
        <v>11.19</v>
      </c>
      <c r="H87" s="51" t="n">
        <v>43.81</v>
      </c>
      <c r="I87" s="51" t="n">
        <v>48.19</v>
      </c>
      <c r="J87" s="51" t="n">
        <v>6.54</v>
      </c>
      <c r="K87" s="51" t="n">
        <v>4</v>
      </c>
      <c r="L87" s="51" t="n">
        <v>5</v>
      </c>
      <c r="M87" s="51" t="n">
        <v>1</v>
      </c>
      <c r="N87" s="51" t="n">
        <v>1</v>
      </c>
      <c r="O87" s="51" t="n">
        <v>4</v>
      </c>
      <c r="P87" s="51" t="n">
        <v>120</v>
      </c>
      <c r="Q87" s="51" t="n">
        <v>5</v>
      </c>
      <c r="R87" s="51" t="n">
        <v>500</v>
      </c>
      <c r="S87" s="51" t="n">
        <v>1</v>
      </c>
      <c r="T87" s="51" t="n">
        <v>0</v>
      </c>
      <c r="U87" s="51" t="n">
        <v>120</v>
      </c>
      <c r="V87" s="51" t="n">
        <v>0</v>
      </c>
      <c r="W87" s="51" t="n">
        <v>1150</v>
      </c>
      <c r="X87" s="51" t="n">
        <v>0.61652281134402</v>
      </c>
    </row>
    <row r="88">
      <c r="A88" s="51" t="inlineStr">
        <is>
          <t>Corn cob</t>
        </is>
      </c>
      <c r="B88" s="51" t="n">
        <v>45.88</v>
      </c>
      <c r="C88" s="51" t="n">
        <v>39.4</v>
      </c>
      <c r="D88" s="51" t="n">
        <v>11.32</v>
      </c>
      <c r="E88" s="51" t="n">
        <v>87.76000000000001</v>
      </c>
      <c r="F88" s="51" t="n">
        <v>1.05</v>
      </c>
      <c r="G88" s="51" t="n">
        <v>11.19</v>
      </c>
      <c r="H88" s="51" t="n">
        <v>43.81</v>
      </c>
      <c r="I88" s="51" t="n">
        <v>48.19</v>
      </c>
      <c r="J88" s="51" t="n">
        <v>6.54</v>
      </c>
      <c r="K88" s="51" t="n">
        <v>4</v>
      </c>
      <c r="L88" s="51" t="n">
        <v>5</v>
      </c>
      <c r="M88" s="51" t="n">
        <v>1</v>
      </c>
      <c r="N88" s="51" t="n">
        <v>1</v>
      </c>
      <c r="O88" s="51" t="n">
        <v>4</v>
      </c>
      <c r="P88" s="51" t="n">
        <v>120</v>
      </c>
      <c r="Q88" s="51" t="n">
        <v>5</v>
      </c>
      <c r="R88" s="51" t="n">
        <v>500</v>
      </c>
      <c r="S88" s="51" t="n">
        <v>1</v>
      </c>
      <c r="T88" s="51" t="n">
        <v>0</v>
      </c>
      <c r="U88" s="51" t="n">
        <v>120</v>
      </c>
      <c r="V88" s="51" t="n">
        <v>0</v>
      </c>
      <c r="W88" s="51" t="n">
        <v>1300</v>
      </c>
      <c r="X88" s="51" t="n">
        <v>0.634920634920635</v>
      </c>
    </row>
    <row r="89">
      <c r="A89" s="51" t="inlineStr">
        <is>
          <t>Corn cob</t>
        </is>
      </c>
      <c r="B89" s="51" t="n">
        <v>45.88</v>
      </c>
      <c r="C89" s="51" t="n">
        <v>39.4</v>
      </c>
      <c r="D89" s="51" t="n">
        <v>11.32</v>
      </c>
      <c r="E89" s="51" t="n">
        <v>87.76000000000001</v>
      </c>
      <c r="F89" s="51" t="n">
        <v>1.05</v>
      </c>
      <c r="G89" s="51" t="n">
        <v>11.19</v>
      </c>
      <c r="H89" s="51" t="n">
        <v>43.81</v>
      </c>
      <c r="I89" s="51" t="n">
        <v>48.19</v>
      </c>
      <c r="J89" s="51" t="n">
        <v>6.54</v>
      </c>
      <c r="K89" s="51" t="n">
        <v>4</v>
      </c>
      <c r="L89" s="51" t="n">
        <v>5</v>
      </c>
      <c r="M89" s="51" t="n">
        <v>1</v>
      </c>
      <c r="N89" s="51" t="n">
        <v>1</v>
      </c>
      <c r="O89" s="51" t="n">
        <v>4</v>
      </c>
      <c r="P89" s="51" t="n">
        <v>120</v>
      </c>
      <c r="Q89" s="51" t="n">
        <v>5</v>
      </c>
      <c r="R89" s="51" t="n">
        <v>500</v>
      </c>
      <c r="S89" s="51" t="n">
        <v>1</v>
      </c>
      <c r="T89" s="51" t="n">
        <v>0</v>
      </c>
      <c r="U89" s="51" t="n">
        <v>120</v>
      </c>
      <c r="V89" s="51" t="n">
        <v>0</v>
      </c>
      <c r="W89" s="51" t="n">
        <v>1450</v>
      </c>
      <c r="X89" s="51" t="n">
        <v>0.66711140760507</v>
      </c>
    </row>
    <row r="90">
      <c r="A90" s="51" t="inlineStr">
        <is>
          <t>Corn cobs</t>
        </is>
      </c>
      <c r="B90" s="51" t="n">
        <v>45.88</v>
      </c>
      <c r="C90" s="51" t="n">
        <v>39.4</v>
      </c>
      <c r="D90" s="51" t="n">
        <v>11.32</v>
      </c>
      <c r="E90" s="51" t="n">
        <v>87.76000000000001</v>
      </c>
      <c r="F90" s="51" t="n">
        <v>1.05</v>
      </c>
      <c r="G90" s="51" t="n">
        <v>11.19</v>
      </c>
      <c r="H90" s="51" t="n">
        <v>43.81</v>
      </c>
      <c r="I90" s="51" t="n">
        <v>48.19</v>
      </c>
      <c r="J90" s="51" t="n">
        <v>6.54</v>
      </c>
      <c r="K90" s="51" t="n">
        <v>1</v>
      </c>
      <c r="L90" s="51" t="n">
        <v>5</v>
      </c>
      <c r="M90" s="51" t="n">
        <v>1</v>
      </c>
      <c r="N90" s="51" t="n">
        <v>1</v>
      </c>
      <c r="O90" s="51" t="n">
        <v>4</v>
      </c>
      <c r="P90" s="51" t="n">
        <v>120</v>
      </c>
      <c r="Q90" s="51" t="n">
        <v>5</v>
      </c>
      <c r="R90" s="51" t="n">
        <v>500</v>
      </c>
      <c r="S90" s="51" t="n">
        <v>1</v>
      </c>
      <c r="T90" s="51" t="n">
        <v>5</v>
      </c>
      <c r="U90" s="51" t="n">
        <v>120</v>
      </c>
      <c r="V90" s="51" t="n">
        <v>1.37368363852307</v>
      </c>
      <c r="W90" s="51" t="n">
        <v>1150</v>
      </c>
      <c r="X90" s="51" t="n">
        <v>0.61652281134402</v>
      </c>
    </row>
    <row r="91">
      <c r="A91" s="51" t="inlineStr">
        <is>
          <t>Corn cobs</t>
        </is>
      </c>
      <c r="B91" s="51" t="n">
        <v>45.88</v>
      </c>
      <c r="C91" s="51" t="n">
        <v>39.4</v>
      </c>
      <c r="D91" s="51" t="n">
        <v>11.32</v>
      </c>
      <c r="E91" s="51" t="n">
        <v>87.76000000000001</v>
      </c>
      <c r="F91" s="51" t="n">
        <v>1.05</v>
      </c>
      <c r="G91" s="51" t="n">
        <v>11.19</v>
      </c>
      <c r="H91" s="51" t="n">
        <v>43.81</v>
      </c>
      <c r="I91" s="51" t="n">
        <v>48.19</v>
      </c>
      <c r="J91" s="51" t="n">
        <v>6.54</v>
      </c>
      <c r="K91" s="51" t="n">
        <v>1</v>
      </c>
      <c r="L91" s="51" t="n">
        <v>5</v>
      </c>
      <c r="M91" s="51" t="n">
        <v>1</v>
      </c>
      <c r="N91" s="51" t="n">
        <v>1</v>
      </c>
      <c r="O91" s="51" t="n">
        <v>4</v>
      </c>
      <c r="P91" s="51" t="n">
        <v>120</v>
      </c>
      <c r="Q91" s="51" t="n">
        <v>5</v>
      </c>
      <c r="R91" s="51" t="n">
        <v>500</v>
      </c>
      <c r="S91" s="51" t="n">
        <v>1</v>
      </c>
      <c r="T91" s="51" t="n">
        <v>5</v>
      </c>
      <c r="U91" s="51" t="n">
        <v>120</v>
      </c>
      <c r="V91" s="51" t="n">
        <v>4.28605851411632</v>
      </c>
      <c r="W91" s="51" t="n">
        <v>1300</v>
      </c>
      <c r="X91" s="51" t="n">
        <v>0.634920634920635</v>
      </c>
    </row>
    <row r="92">
      <c r="A92" s="51" t="inlineStr">
        <is>
          <t>Corn cobs</t>
        </is>
      </c>
      <c r="B92" s="51" t="n">
        <v>45.88</v>
      </c>
      <c r="C92" s="51" t="n">
        <v>39.4</v>
      </c>
      <c r="D92" s="51" t="n">
        <v>11.32</v>
      </c>
      <c r="E92" s="51" t="n">
        <v>87.76000000000001</v>
      </c>
      <c r="F92" s="51" t="n">
        <v>1.05</v>
      </c>
      <c r="G92" s="51" t="n">
        <v>11.19</v>
      </c>
      <c r="H92" s="51" t="n">
        <v>43.81</v>
      </c>
      <c r="I92" s="51" t="n">
        <v>48.19</v>
      </c>
      <c r="J92" s="51" t="n">
        <v>6.54</v>
      </c>
      <c r="K92" s="51" t="n">
        <v>1</v>
      </c>
      <c r="L92" s="51" t="n">
        <v>5</v>
      </c>
      <c r="M92" s="51" t="n">
        <v>1</v>
      </c>
      <c r="N92" s="51" t="n">
        <v>1</v>
      </c>
      <c r="O92" s="51" t="n">
        <v>4</v>
      </c>
      <c r="P92" s="51" t="n">
        <v>120</v>
      </c>
      <c r="Q92" s="51" t="n">
        <v>5</v>
      </c>
      <c r="R92" s="51" t="n">
        <v>500</v>
      </c>
      <c r="S92" s="51" t="n">
        <v>1</v>
      </c>
      <c r="T92" s="51" t="n">
        <v>5</v>
      </c>
      <c r="U92" s="51" t="n">
        <v>120</v>
      </c>
      <c r="V92" s="51" t="n">
        <v>1.3736846277798</v>
      </c>
      <c r="W92" s="51" t="n">
        <v>1450</v>
      </c>
      <c r="X92" s="51" t="n">
        <v>0.66711140760507</v>
      </c>
    </row>
    <row r="93">
      <c r="A93" s="51" t="inlineStr">
        <is>
          <t>Corn silk</t>
        </is>
      </c>
      <c r="B93" s="51" t="n">
        <v>42.36</v>
      </c>
      <c r="C93" s="51" t="n">
        <v>10.26</v>
      </c>
      <c r="D93" s="51" t="n">
        <v>27.19</v>
      </c>
      <c r="E93" s="51" t="n">
        <v>72.2</v>
      </c>
      <c r="F93" s="51" t="n">
        <v>5.4</v>
      </c>
      <c r="G93" s="51" t="n">
        <v>22.4</v>
      </c>
      <c r="H93" s="51" t="n">
        <v>45.86</v>
      </c>
      <c r="I93" s="51" t="n">
        <v>46.43</v>
      </c>
      <c r="J93" s="51" t="n">
        <v>5.94096686177664</v>
      </c>
      <c r="K93" s="51" t="n">
        <v>4</v>
      </c>
      <c r="L93" s="51" t="n">
        <v>3</v>
      </c>
      <c r="M93" s="51" t="n">
        <v>0</v>
      </c>
      <c r="N93" s="51" t="n">
        <v>1</v>
      </c>
      <c r="O93" s="51" t="n">
        <v>4</v>
      </c>
      <c r="P93" s="51" t="n">
        <v>60</v>
      </c>
      <c r="Q93" s="51" t="n">
        <v>5</v>
      </c>
      <c r="R93" s="51" t="n">
        <v>1300</v>
      </c>
      <c r="S93" s="51" t="n">
        <v>0</v>
      </c>
      <c r="T93" s="51" t="n">
        <v>5</v>
      </c>
      <c r="U93" s="51" t="n">
        <v>0</v>
      </c>
      <c r="V93" s="51" t="n">
        <v>0</v>
      </c>
      <c r="W93" s="51" t="n">
        <v>0</v>
      </c>
      <c r="X93" s="51" t="n">
        <v>0.561797752808989</v>
      </c>
    </row>
    <row r="94">
      <c r="A94" s="51" t="inlineStr">
        <is>
          <t>Corn silk</t>
        </is>
      </c>
      <c r="B94" s="51" t="n">
        <v>42.36</v>
      </c>
      <c r="C94" s="51" t="n">
        <v>10.26</v>
      </c>
      <c r="D94" s="51" t="n">
        <v>27.19</v>
      </c>
      <c r="E94" s="51" t="n">
        <v>72.2</v>
      </c>
      <c r="F94" s="51" t="n">
        <v>5.4</v>
      </c>
      <c r="G94" s="51" t="n">
        <v>22.4</v>
      </c>
      <c r="H94" s="51" t="n">
        <v>45.86</v>
      </c>
      <c r="I94" s="51" t="n">
        <v>46.43</v>
      </c>
      <c r="J94" s="51" t="n">
        <v>5.9354142654843</v>
      </c>
      <c r="K94" s="51" t="n">
        <v>4</v>
      </c>
      <c r="L94" s="51" t="n">
        <v>1</v>
      </c>
      <c r="M94" s="51" t="n">
        <v>0</v>
      </c>
      <c r="N94" s="51" t="n">
        <v>1</v>
      </c>
      <c r="O94" s="51" t="n">
        <v>4</v>
      </c>
      <c r="P94" s="51" t="n">
        <v>60</v>
      </c>
      <c r="Q94" s="51" t="n">
        <v>5</v>
      </c>
      <c r="R94" s="51" t="n">
        <v>1300</v>
      </c>
      <c r="S94" s="51" t="n">
        <v>0</v>
      </c>
      <c r="T94" s="51" t="n">
        <v>5</v>
      </c>
      <c r="U94" s="51" t="n">
        <v>0</v>
      </c>
      <c r="V94" s="51" t="n">
        <v>0</v>
      </c>
      <c r="W94" s="51" t="n">
        <v>0</v>
      </c>
      <c r="X94" s="51" t="n">
        <v>0.568181818181818</v>
      </c>
    </row>
    <row r="95">
      <c r="A95" s="51" t="inlineStr">
        <is>
          <t>Corn Stalks</t>
        </is>
      </c>
      <c r="B95" s="51" t="n">
        <v>31.31</v>
      </c>
      <c r="C95" s="51" t="n">
        <v>40.13</v>
      </c>
      <c r="D95" s="51" t="n">
        <v>4.74</v>
      </c>
      <c r="E95" s="51" t="n">
        <v>77.48</v>
      </c>
      <c r="F95" s="51" t="n">
        <v>7.92</v>
      </c>
      <c r="G95" s="51" t="n">
        <v>6.14</v>
      </c>
      <c r="H95" s="51" t="n">
        <v>44.17</v>
      </c>
      <c r="I95" s="51" t="n">
        <v>49.07</v>
      </c>
      <c r="J95" s="51" t="n">
        <v>5.65</v>
      </c>
      <c r="K95" s="51" t="n">
        <v>4</v>
      </c>
      <c r="L95" s="51" t="n">
        <v>5</v>
      </c>
      <c r="M95" s="51" t="n">
        <v>0</v>
      </c>
      <c r="N95" s="51" t="n">
        <v>1</v>
      </c>
      <c r="O95" s="51" t="n">
        <v>4</v>
      </c>
      <c r="P95" s="51" t="n">
        <v>120</v>
      </c>
      <c r="Q95" s="51" t="n">
        <v>4.16046635891836</v>
      </c>
      <c r="R95" s="51" t="n">
        <v>1200</v>
      </c>
      <c r="S95" s="51" t="n">
        <v>0</v>
      </c>
      <c r="T95" s="51" t="n">
        <v>5</v>
      </c>
      <c r="U95" s="51" t="n">
        <v>0</v>
      </c>
      <c r="V95" s="51" t="n">
        <v>0</v>
      </c>
      <c r="W95" s="51" t="n">
        <v>0</v>
      </c>
      <c r="X95" s="51" t="n">
        <v>0.591016548463357</v>
      </c>
    </row>
    <row r="96">
      <c r="A96" s="51" t="inlineStr">
        <is>
          <t>Corn Stalks</t>
        </is>
      </c>
      <c r="B96" s="51" t="n">
        <v>31.31</v>
      </c>
      <c r="C96" s="51" t="n">
        <v>40.13</v>
      </c>
      <c r="D96" s="51" t="n">
        <v>4.74</v>
      </c>
      <c r="E96" s="51" t="n">
        <v>77.48</v>
      </c>
      <c r="F96" s="51" t="n">
        <v>7.92</v>
      </c>
      <c r="G96" s="51" t="n">
        <v>6.14</v>
      </c>
      <c r="H96" s="51" t="n">
        <v>44.17</v>
      </c>
      <c r="I96" s="51" t="n">
        <v>49.07</v>
      </c>
      <c r="J96" s="51" t="n">
        <v>5.65</v>
      </c>
      <c r="K96" s="51" t="n">
        <v>4</v>
      </c>
      <c r="L96" s="51" t="n">
        <v>5</v>
      </c>
      <c r="M96" s="51" t="n">
        <v>0</v>
      </c>
      <c r="N96" s="51" t="n">
        <v>1</v>
      </c>
      <c r="O96" s="51" t="n">
        <v>4</v>
      </c>
      <c r="P96" s="51" t="n">
        <v>120</v>
      </c>
      <c r="Q96" s="51" t="n">
        <v>4.16046637077141</v>
      </c>
      <c r="R96" s="51" t="n">
        <v>1200</v>
      </c>
      <c r="S96" s="51" t="n">
        <v>0</v>
      </c>
      <c r="T96" s="51" t="n">
        <v>5</v>
      </c>
      <c r="U96" s="51" t="n">
        <v>0</v>
      </c>
      <c r="V96" s="51" t="n">
        <v>0</v>
      </c>
      <c r="W96" s="51" t="n">
        <v>0</v>
      </c>
      <c r="X96" s="51" t="n">
        <v>0.639386189258312</v>
      </c>
    </row>
    <row r="97">
      <c r="A97" s="51" t="inlineStr">
        <is>
          <t>Corn straw pith</t>
        </is>
      </c>
      <c r="B97" s="51" t="n">
        <v>57.6</v>
      </c>
      <c r="C97" s="51" t="n">
        <v>21.3</v>
      </c>
      <c r="D97" s="51" t="n">
        <v>6.1</v>
      </c>
      <c r="E97" s="51" t="n">
        <v>80.56999999999999</v>
      </c>
      <c r="F97" s="51" t="n">
        <v>5.49</v>
      </c>
      <c r="G97" s="51" t="n">
        <v>13.89</v>
      </c>
      <c r="H97" s="51" t="n">
        <v>44.69</v>
      </c>
      <c r="I97" s="51" t="n">
        <v>49.1</v>
      </c>
      <c r="J97" s="51" t="n">
        <v>5.93</v>
      </c>
      <c r="K97" s="51" t="n">
        <v>4</v>
      </c>
      <c r="L97" s="51" t="n">
        <v>5</v>
      </c>
      <c r="M97" s="51" t="n">
        <v>0</v>
      </c>
      <c r="N97" s="51" t="n">
        <v>1</v>
      </c>
      <c r="O97" s="51" t="n">
        <v>4</v>
      </c>
      <c r="P97" s="51" t="n">
        <v>120</v>
      </c>
      <c r="Q97" s="51" t="n">
        <v>3.66189471690381</v>
      </c>
      <c r="R97" s="51" t="n">
        <v>1200</v>
      </c>
      <c r="S97" s="51" t="n">
        <v>0</v>
      </c>
      <c r="T97" s="51" t="n">
        <v>5</v>
      </c>
      <c r="U97" s="51" t="n">
        <v>0</v>
      </c>
      <c r="V97" s="51" t="n">
        <v>0</v>
      </c>
      <c r="W97" s="51" t="n">
        <v>0</v>
      </c>
      <c r="X97" s="51" t="n">
        <v>0.87</v>
      </c>
    </row>
    <row r="98">
      <c r="A98" s="51" t="inlineStr">
        <is>
          <t>Corn straw pith</t>
        </is>
      </c>
      <c r="B98" s="51" t="n">
        <v>57.6</v>
      </c>
      <c r="C98" s="51" t="n">
        <v>21.3</v>
      </c>
      <c r="D98" s="51" t="n">
        <v>6.1</v>
      </c>
      <c r="E98" s="51" t="n">
        <v>80.56999999999999</v>
      </c>
      <c r="F98" s="51" t="n">
        <v>5.49</v>
      </c>
      <c r="G98" s="51" t="n">
        <v>13.89</v>
      </c>
      <c r="H98" s="51" t="n">
        <v>44.69</v>
      </c>
      <c r="I98" s="51" t="n">
        <v>49.1</v>
      </c>
      <c r="J98" s="51" t="n">
        <v>5.93</v>
      </c>
      <c r="K98" s="51" t="n">
        <v>4</v>
      </c>
      <c r="L98" s="51" t="n">
        <v>5</v>
      </c>
      <c r="M98" s="51" t="n">
        <v>0</v>
      </c>
      <c r="N98" s="51" t="n">
        <v>1</v>
      </c>
      <c r="O98" s="51" t="n">
        <v>4</v>
      </c>
      <c r="P98" s="51" t="n">
        <v>120</v>
      </c>
      <c r="Q98" s="51" t="n">
        <v>4.99933722308736</v>
      </c>
      <c r="R98" s="51" t="n">
        <v>1400</v>
      </c>
      <c r="S98" s="51" t="n">
        <v>0</v>
      </c>
      <c r="T98" s="51" t="n">
        <v>5</v>
      </c>
      <c r="U98" s="51" t="n">
        <v>0</v>
      </c>
      <c r="V98" s="51" t="n">
        <v>0</v>
      </c>
      <c r="W98" s="51" t="n">
        <v>0</v>
      </c>
      <c r="X98" s="51" t="n">
        <v>0.9399999999999999</v>
      </c>
    </row>
    <row r="99">
      <c r="A99" s="51" t="inlineStr">
        <is>
          <t>Corn straw pith</t>
        </is>
      </c>
      <c r="B99" s="51" t="n">
        <v>57.6</v>
      </c>
      <c r="C99" s="51" t="n">
        <v>21.3</v>
      </c>
      <c r="D99" s="51" t="n">
        <v>6.1</v>
      </c>
      <c r="E99" s="51" t="n">
        <v>80.56999999999999</v>
      </c>
      <c r="F99" s="51" t="n">
        <v>5.49</v>
      </c>
      <c r="G99" s="51" t="n">
        <v>13.89</v>
      </c>
      <c r="H99" s="51" t="n">
        <v>44.69</v>
      </c>
      <c r="I99" s="51" t="n">
        <v>49.1</v>
      </c>
      <c r="J99" s="51" t="n">
        <v>5.93</v>
      </c>
      <c r="K99" s="51" t="n">
        <v>4</v>
      </c>
      <c r="L99" s="51" t="n">
        <v>5</v>
      </c>
      <c r="M99" s="51" t="n">
        <v>0</v>
      </c>
      <c r="N99" s="51" t="n">
        <v>1</v>
      </c>
      <c r="O99" s="51" t="n">
        <v>4</v>
      </c>
      <c r="P99" s="51" t="n">
        <v>120</v>
      </c>
      <c r="Q99" s="51" t="n">
        <v>4.16022814655204</v>
      </c>
      <c r="R99" s="51" t="n">
        <v>1600</v>
      </c>
      <c r="S99" s="51" t="n">
        <v>0</v>
      </c>
      <c r="T99" s="51" t="n">
        <v>5</v>
      </c>
      <c r="U99" s="51" t="n">
        <v>0</v>
      </c>
      <c r="V99" s="51" t="n">
        <v>0</v>
      </c>
      <c r="W99" s="51" t="n">
        <v>0</v>
      </c>
      <c r="X99" s="51" t="n">
        <v>0.96</v>
      </c>
    </row>
    <row r="100">
      <c r="A100" s="51" t="inlineStr">
        <is>
          <t>Corncob</t>
        </is>
      </c>
      <c r="B100" s="51" t="n">
        <v>45.88</v>
      </c>
      <c r="C100" s="51" t="n">
        <v>39.4</v>
      </c>
      <c r="D100" s="51" t="n">
        <v>11.32</v>
      </c>
      <c r="E100" s="51" t="n">
        <v>87.76000000000001</v>
      </c>
      <c r="F100" s="51" t="n">
        <v>1.05</v>
      </c>
      <c r="G100" s="51" t="n">
        <v>11.19</v>
      </c>
      <c r="H100" s="51" t="n">
        <v>43.81</v>
      </c>
      <c r="I100" s="51" t="n">
        <v>48.19</v>
      </c>
      <c r="J100" s="51" t="n">
        <v>6.54</v>
      </c>
      <c r="K100" s="51" t="n">
        <v>4</v>
      </c>
      <c r="L100" s="51" t="n">
        <v>1</v>
      </c>
      <c r="M100" s="51" t="n">
        <v>1</v>
      </c>
      <c r="N100" s="51" t="n">
        <v>1</v>
      </c>
      <c r="O100" s="51" t="n">
        <v>4</v>
      </c>
      <c r="P100" s="51" t="n">
        <v>120</v>
      </c>
      <c r="Q100" s="51" t="n">
        <v>3</v>
      </c>
      <c r="R100" s="51" t="n">
        <v>500</v>
      </c>
      <c r="S100" s="51" t="n">
        <v>1</v>
      </c>
      <c r="T100" s="51" t="n">
        <v>5</v>
      </c>
      <c r="U100" s="51" t="n">
        <v>120</v>
      </c>
      <c r="V100" s="51" t="n">
        <v>5</v>
      </c>
      <c r="W100" s="51" t="n">
        <v>1000</v>
      </c>
      <c r="X100" s="51" t="n">
        <v>0.4739336492891</v>
      </c>
    </row>
    <row r="101">
      <c r="A101" s="51" t="inlineStr">
        <is>
          <t>Corncob</t>
        </is>
      </c>
      <c r="B101" s="51" t="n">
        <v>45.88</v>
      </c>
      <c r="C101" s="51" t="n">
        <v>39.4</v>
      </c>
      <c r="D101" s="51" t="n">
        <v>11.32</v>
      </c>
      <c r="E101" s="51" t="n">
        <v>87.76000000000001</v>
      </c>
      <c r="F101" s="51" t="n">
        <v>1.05</v>
      </c>
      <c r="G101" s="51" t="n">
        <v>11.19</v>
      </c>
      <c r="H101" s="51" t="n">
        <v>43.81</v>
      </c>
      <c r="I101" s="51" t="n">
        <v>48.19</v>
      </c>
      <c r="J101" s="51" t="n">
        <v>6.54</v>
      </c>
      <c r="K101" s="51" t="n">
        <v>4</v>
      </c>
      <c r="L101" s="51" t="n">
        <v>1</v>
      </c>
      <c r="M101" s="51" t="n">
        <v>1</v>
      </c>
      <c r="N101" s="51" t="n">
        <v>1</v>
      </c>
      <c r="O101" s="51" t="n">
        <v>4</v>
      </c>
      <c r="P101" s="51" t="n">
        <v>120</v>
      </c>
      <c r="Q101" s="51" t="n">
        <v>3</v>
      </c>
      <c r="R101" s="51" t="n">
        <v>500</v>
      </c>
      <c r="S101" s="51" t="n">
        <v>1</v>
      </c>
      <c r="T101" s="51" t="n">
        <v>5</v>
      </c>
      <c r="U101" s="51" t="n">
        <v>120</v>
      </c>
      <c r="V101" s="51" t="n">
        <v>5</v>
      </c>
      <c r="W101" s="51" t="n">
        <v>1200</v>
      </c>
      <c r="X101" s="51" t="n">
        <v>0.50251256281407</v>
      </c>
    </row>
    <row r="102">
      <c r="A102" s="51" t="inlineStr">
        <is>
          <t>Corncob</t>
        </is>
      </c>
      <c r="B102" s="51" t="n">
        <v>45.88</v>
      </c>
      <c r="C102" s="51" t="n">
        <v>39.4</v>
      </c>
      <c r="D102" s="51" t="n">
        <v>11.32</v>
      </c>
      <c r="E102" s="51" t="n">
        <v>87.76000000000001</v>
      </c>
      <c r="F102" s="51" t="n">
        <v>1.05</v>
      </c>
      <c r="G102" s="51" t="n">
        <v>11.19</v>
      </c>
      <c r="H102" s="51" t="n">
        <v>43.81</v>
      </c>
      <c r="I102" s="51" t="n">
        <v>48.19</v>
      </c>
      <c r="J102" s="51" t="n">
        <v>6.54</v>
      </c>
      <c r="K102" s="51" t="n">
        <v>4</v>
      </c>
      <c r="L102" s="51" t="n">
        <v>1</v>
      </c>
      <c r="M102" s="51" t="n">
        <v>1</v>
      </c>
      <c r="N102" s="51" t="n">
        <v>1</v>
      </c>
      <c r="O102" s="51" t="n">
        <v>4</v>
      </c>
      <c r="P102" s="51" t="n">
        <v>120</v>
      </c>
      <c r="Q102" s="51" t="n">
        <v>3</v>
      </c>
      <c r="R102" s="51" t="n">
        <v>500</v>
      </c>
      <c r="S102" s="51" t="n">
        <v>1</v>
      </c>
      <c r="T102" s="51" t="n">
        <v>5</v>
      </c>
      <c r="U102" s="51" t="n">
        <v>120</v>
      </c>
      <c r="V102" s="51" t="n">
        <v>5</v>
      </c>
      <c r="W102" s="51" t="n">
        <v>1400</v>
      </c>
      <c r="X102" s="51" t="n">
        <v>0.5649717514124289</v>
      </c>
    </row>
    <row r="103">
      <c r="A103" s="51" t="inlineStr">
        <is>
          <t>Corncob</t>
        </is>
      </c>
      <c r="B103" s="51" t="n">
        <v>45.88</v>
      </c>
      <c r="C103" s="51" t="n">
        <v>39.4</v>
      </c>
      <c r="D103" s="51" t="n">
        <v>11.32</v>
      </c>
      <c r="E103" s="51" t="n">
        <v>87.76000000000001</v>
      </c>
      <c r="F103" s="51" t="n">
        <v>1.05</v>
      </c>
      <c r="G103" s="51" t="n">
        <v>11.19</v>
      </c>
      <c r="H103" s="51" t="n">
        <v>43.81</v>
      </c>
      <c r="I103" s="51" t="n">
        <v>48.19</v>
      </c>
      <c r="J103" s="51" t="n">
        <v>6.54</v>
      </c>
      <c r="K103" s="51" t="n">
        <v>4</v>
      </c>
      <c r="L103" s="51" t="n">
        <v>1</v>
      </c>
      <c r="M103" s="51" t="n">
        <v>1</v>
      </c>
      <c r="N103" s="51" t="n">
        <v>1</v>
      </c>
      <c r="O103" s="51" t="n">
        <v>4</v>
      </c>
      <c r="P103" s="51" t="n">
        <v>120</v>
      </c>
      <c r="Q103" s="51" t="n">
        <v>3</v>
      </c>
      <c r="R103" s="51" t="n">
        <v>500</v>
      </c>
      <c r="S103" s="51" t="n">
        <v>1</v>
      </c>
      <c r="T103" s="51" t="n">
        <v>5</v>
      </c>
      <c r="U103" s="51" t="n">
        <v>120</v>
      </c>
      <c r="V103" s="51" t="n">
        <v>5</v>
      </c>
      <c r="W103" s="51" t="n">
        <v>1600</v>
      </c>
      <c r="X103" s="51" t="n">
        <v>0.571428571428571</v>
      </c>
    </row>
    <row r="104">
      <c r="A104" s="51" t="inlineStr">
        <is>
          <t>Corncob</t>
        </is>
      </c>
      <c r="B104" s="51" t="n">
        <v>45.88</v>
      </c>
      <c r="C104" s="51" t="n">
        <v>39.4</v>
      </c>
      <c r="D104" s="51" t="n">
        <v>11.32</v>
      </c>
      <c r="E104" s="51" t="n">
        <v>87.76000000000001</v>
      </c>
      <c r="F104" s="51" t="n">
        <v>1.05</v>
      </c>
      <c r="G104" s="51" t="n">
        <v>11.19</v>
      </c>
      <c r="H104" s="51" t="n">
        <v>43.81</v>
      </c>
      <c r="I104" s="51" t="n">
        <v>48.19</v>
      </c>
      <c r="J104" s="51" t="n">
        <v>6.54</v>
      </c>
      <c r="K104" s="51" t="n">
        <v>1</v>
      </c>
      <c r="L104" s="51" t="n">
        <v>5</v>
      </c>
      <c r="M104" s="51" t="n">
        <v>0</v>
      </c>
      <c r="N104" s="51" t="n">
        <v>1</v>
      </c>
      <c r="O104" s="51" t="n">
        <v>4</v>
      </c>
      <c r="P104" s="51" t="n">
        <v>120</v>
      </c>
      <c r="Q104" s="51" t="n">
        <v>4</v>
      </c>
      <c r="R104" s="51" t="n">
        <v>1300</v>
      </c>
      <c r="S104" s="51" t="n">
        <v>0</v>
      </c>
      <c r="T104" s="51" t="n">
        <v>5</v>
      </c>
      <c r="U104" s="51" t="n">
        <v>0</v>
      </c>
      <c r="V104" s="51" t="n">
        <v>0</v>
      </c>
      <c r="W104" s="51" t="n">
        <v>0</v>
      </c>
      <c r="X104" s="51" t="n">
        <v>0.53475935828877</v>
      </c>
    </row>
    <row r="105">
      <c r="A105" s="51" t="inlineStr">
        <is>
          <t>Corncob</t>
        </is>
      </c>
      <c r="B105" s="51" t="n">
        <v>45.88</v>
      </c>
      <c r="C105" s="51" t="n">
        <v>39.4</v>
      </c>
      <c r="D105" s="51" t="n">
        <v>11.32</v>
      </c>
      <c r="E105" s="51" t="n">
        <v>87.76000000000001</v>
      </c>
      <c r="F105" s="51" t="n">
        <v>1.05</v>
      </c>
      <c r="G105" s="51" t="n">
        <v>11.19</v>
      </c>
      <c r="H105" s="51" t="n">
        <v>43.81</v>
      </c>
      <c r="I105" s="51" t="n">
        <v>48.19</v>
      </c>
      <c r="J105" s="51" t="n">
        <v>6.54</v>
      </c>
      <c r="K105" s="51" t="n">
        <v>1</v>
      </c>
      <c r="L105" s="51" t="n">
        <v>5</v>
      </c>
      <c r="M105" s="51" t="n">
        <v>1</v>
      </c>
      <c r="N105" s="51" t="n">
        <v>1</v>
      </c>
      <c r="O105" s="51" t="n">
        <v>4</v>
      </c>
      <c r="P105" s="51" t="n">
        <v>120</v>
      </c>
      <c r="Q105" s="51" t="n">
        <v>4</v>
      </c>
      <c r="R105" s="51" t="n">
        <v>400</v>
      </c>
      <c r="S105" s="51" t="n">
        <v>1</v>
      </c>
      <c r="T105" s="51" t="n">
        <v>5</v>
      </c>
      <c r="U105" s="51" t="n">
        <v>120</v>
      </c>
      <c r="V105" s="51" t="n">
        <v>5</v>
      </c>
      <c r="W105" s="51" t="n">
        <v>1300</v>
      </c>
      <c r="X105" s="51" t="n">
        <v>0.574712643678161</v>
      </c>
    </row>
    <row r="106">
      <c r="A106" s="51" t="inlineStr">
        <is>
          <t>Corncob</t>
        </is>
      </c>
      <c r="B106" s="51" t="n">
        <v>45.88</v>
      </c>
      <c r="C106" s="51" t="n">
        <v>39.4</v>
      </c>
      <c r="D106" s="51" t="n">
        <v>11.32</v>
      </c>
      <c r="E106" s="51" t="n">
        <v>87.76000000000001</v>
      </c>
      <c r="F106" s="51" t="n">
        <v>1.05</v>
      </c>
      <c r="G106" s="51" t="n">
        <v>11.19</v>
      </c>
      <c r="H106" s="51" t="n">
        <v>43.81</v>
      </c>
      <c r="I106" s="51" t="n">
        <v>48.19</v>
      </c>
      <c r="J106" s="51" t="n">
        <v>6.54</v>
      </c>
      <c r="K106" s="51" t="n">
        <v>1</v>
      </c>
      <c r="L106" s="51" t="n">
        <v>5</v>
      </c>
      <c r="M106" s="51" t="n">
        <v>1</v>
      </c>
      <c r="N106" s="51" t="n">
        <v>1</v>
      </c>
      <c r="O106" s="51" t="n">
        <v>4</v>
      </c>
      <c r="P106" s="51" t="n">
        <v>120</v>
      </c>
      <c r="Q106" s="51" t="n">
        <v>4</v>
      </c>
      <c r="R106" s="51" t="n">
        <v>500</v>
      </c>
      <c r="S106" s="51" t="n">
        <v>1</v>
      </c>
      <c r="T106" s="51" t="n">
        <v>5</v>
      </c>
      <c r="U106" s="51" t="n">
        <v>120</v>
      </c>
      <c r="V106" s="51" t="n">
        <v>5</v>
      </c>
      <c r="W106" s="51" t="n">
        <v>1300</v>
      </c>
      <c r="X106" s="51" t="n">
        <v>0.606060606060606</v>
      </c>
    </row>
    <row r="107">
      <c r="A107" s="51" t="inlineStr">
        <is>
          <t>Corncob</t>
        </is>
      </c>
      <c r="B107" s="51" t="n">
        <v>45.88</v>
      </c>
      <c r="C107" s="51" t="n">
        <v>39.4</v>
      </c>
      <c r="D107" s="51" t="n">
        <v>11.32</v>
      </c>
      <c r="E107" s="51" t="n">
        <v>87.76000000000001</v>
      </c>
      <c r="F107" s="51" t="n">
        <v>1.05</v>
      </c>
      <c r="G107" s="51" t="n">
        <v>11.19</v>
      </c>
      <c r="H107" s="51" t="n">
        <v>43.81</v>
      </c>
      <c r="I107" s="51" t="n">
        <v>48.19</v>
      </c>
      <c r="J107" s="51" t="n">
        <v>6.54</v>
      </c>
      <c r="K107" s="51" t="n">
        <v>1</v>
      </c>
      <c r="L107" s="51" t="n">
        <v>5</v>
      </c>
      <c r="M107" s="51" t="n">
        <v>1</v>
      </c>
      <c r="N107" s="51" t="n">
        <v>1</v>
      </c>
      <c r="O107" s="51" t="n">
        <v>4</v>
      </c>
      <c r="P107" s="51" t="n">
        <v>120</v>
      </c>
      <c r="Q107" s="51" t="n">
        <v>4</v>
      </c>
      <c r="R107" s="51" t="n">
        <v>600</v>
      </c>
      <c r="S107" s="51" t="n">
        <v>1</v>
      </c>
      <c r="T107" s="51" t="n">
        <v>5</v>
      </c>
      <c r="U107" s="51" t="n">
        <v>120</v>
      </c>
      <c r="V107" s="51" t="n">
        <v>5</v>
      </c>
      <c r="W107" s="51" t="n">
        <v>1300</v>
      </c>
      <c r="X107" s="51" t="n">
        <v>0.588235294117647</v>
      </c>
    </row>
    <row r="108">
      <c r="A108" s="51" t="inlineStr">
        <is>
          <t>Corncob</t>
        </is>
      </c>
      <c r="B108" s="51" t="n">
        <v>45.88</v>
      </c>
      <c r="C108" s="51" t="n">
        <v>39.4</v>
      </c>
      <c r="D108" s="51" t="n">
        <v>11.32</v>
      </c>
      <c r="E108" s="51" t="n">
        <v>87.76000000000001</v>
      </c>
      <c r="F108" s="51" t="n">
        <v>1.05</v>
      </c>
      <c r="G108" s="51" t="n">
        <v>11.19</v>
      </c>
      <c r="H108" s="51" t="n">
        <v>43.81</v>
      </c>
      <c r="I108" s="51" t="n">
        <v>48.19</v>
      </c>
      <c r="J108" s="51" t="n">
        <v>6.54</v>
      </c>
      <c r="K108" s="51" t="n">
        <v>4</v>
      </c>
      <c r="L108" s="51" t="n">
        <v>1</v>
      </c>
      <c r="M108" s="51" t="n">
        <v>1</v>
      </c>
      <c r="N108" s="51" t="n">
        <v>1</v>
      </c>
      <c r="O108" s="51" t="n">
        <v>4</v>
      </c>
      <c r="P108" s="51" t="n">
        <v>120</v>
      </c>
      <c r="Q108" s="51" t="n">
        <v>5</v>
      </c>
      <c r="R108" s="51" t="n">
        <v>500</v>
      </c>
      <c r="S108" s="51" t="n">
        <v>1</v>
      </c>
      <c r="T108" s="51" t="n">
        <v>5</v>
      </c>
      <c r="U108" s="51" t="n">
        <v>120</v>
      </c>
      <c r="V108" s="51" t="n">
        <v>5</v>
      </c>
      <c r="W108" s="51" t="n">
        <v>1000</v>
      </c>
      <c r="X108" s="51" t="n">
        <v>0.416666666666667</v>
      </c>
    </row>
    <row r="109">
      <c r="A109" s="51" t="inlineStr">
        <is>
          <t>Corncob</t>
        </is>
      </c>
      <c r="B109" s="51" t="n">
        <v>45.88</v>
      </c>
      <c r="C109" s="51" t="n">
        <v>39.4</v>
      </c>
      <c r="D109" s="51" t="n">
        <v>11.32</v>
      </c>
      <c r="E109" s="51" t="n">
        <v>87.76000000000001</v>
      </c>
      <c r="F109" s="51" t="n">
        <v>1.05</v>
      </c>
      <c r="G109" s="51" t="n">
        <v>11.19</v>
      </c>
      <c r="H109" s="51" t="n">
        <v>43.81</v>
      </c>
      <c r="I109" s="51" t="n">
        <v>48.19</v>
      </c>
      <c r="J109" s="51" t="n">
        <v>6.54</v>
      </c>
      <c r="K109" s="51" t="n">
        <v>4</v>
      </c>
      <c r="L109" s="51" t="n">
        <v>1</v>
      </c>
      <c r="M109" s="51" t="n">
        <v>1</v>
      </c>
      <c r="N109" s="51" t="n">
        <v>1</v>
      </c>
      <c r="O109" s="51" t="n">
        <v>4</v>
      </c>
      <c r="P109" s="51" t="n">
        <v>120</v>
      </c>
      <c r="Q109" s="51" t="n">
        <v>5</v>
      </c>
      <c r="R109" s="51" t="n">
        <v>500</v>
      </c>
      <c r="S109" s="51" t="n">
        <v>1</v>
      </c>
      <c r="T109" s="51" t="n">
        <v>5</v>
      </c>
      <c r="U109" s="51" t="n">
        <v>120</v>
      </c>
      <c r="V109" s="51" t="n">
        <v>5</v>
      </c>
      <c r="W109" s="51" t="n">
        <v>1200</v>
      </c>
      <c r="X109" s="51" t="n">
        <v>0.497512437810945</v>
      </c>
    </row>
    <row r="110">
      <c r="A110" s="51" t="inlineStr">
        <is>
          <t>Corncob</t>
        </is>
      </c>
      <c r="B110" s="51" t="n">
        <v>45.88</v>
      </c>
      <c r="C110" s="51" t="n">
        <v>39.4</v>
      </c>
      <c r="D110" s="51" t="n">
        <v>11.32</v>
      </c>
      <c r="E110" s="51" t="n">
        <v>87.76000000000001</v>
      </c>
      <c r="F110" s="51" t="n">
        <v>1.05</v>
      </c>
      <c r="G110" s="51" t="n">
        <v>11.19</v>
      </c>
      <c r="H110" s="51" t="n">
        <v>43.81</v>
      </c>
      <c r="I110" s="51" t="n">
        <v>48.19</v>
      </c>
      <c r="J110" s="51" t="n">
        <v>6.54</v>
      </c>
      <c r="K110" s="51" t="n">
        <v>4</v>
      </c>
      <c r="L110" s="51" t="n">
        <v>1</v>
      </c>
      <c r="M110" s="51" t="n">
        <v>1</v>
      </c>
      <c r="N110" s="51" t="n">
        <v>1</v>
      </c>
      <c r="O110" s="51" t="n">
        <v>4</v>
      </c>
      <c r="P110" s="51" t="n">
        <v>120</v>
      </c>
      <c r="Q110" s="51" t="n">
        <v>5</v>
      </c>
      <c r="R110" s="51" t="n">
        <v>500</v>
      </c>
      <c r="S110" s="51" t="n">
        <v>1</v>
      </c>
      <c r="T110" s="51" t="n">
        <v>5</v>
      </c>
      <c r="U110" s="51" t="n">
        <v>120</v>
      </c>
      <c r="V110" s="51" t="n">
        <v>5</v>
      </c>
      <c r="W110" s="51" t="n">
        <v>1400</v>
      </c>
      <c r="X110" s="51" t="n">
        <v>0.617283950617284</v>
      </c>
    </row>
    <row r="111">
      <c r="A111" s="51" t="inlineStr">
        <is>
          <t>Corncob</t>
        </is>
      </c>
      <c r="B111" s="51" t="n">
        <v>45.88</v>
      </c>
      <c r="C111" s="51" t="n">
        <v>39.4</v>
      </c>
      <c r="D111" s="51" t="n">
        <v>11.32</v>
      </c>
      <c r="E111" s="51" t="n">
        <v>87.76000000000001</v>
      </c>
      <c r="F111" s="51" t="n">
        <v>1.05</v>
      </c>
      <c r="G111" s="51" t="n">
        <v>11.19</v>
      </c>
      <c r="H111" s="51" t="n">
        <v>43.81</v>
      </c>
      <c r="I111" s="51" t="n">
        <v>48.19</v>
      </c>
      <c r="J111" s="51" t="n">
        <v>6.54</v>
      </c>
      <c r="K111" s="51" t="n">
        <v>4</v>
      </c>
      <c r="L111" s="51" t="n">
        <v>1</v>
      </c>
      <c r="M111" s="51" t="n">
        <v>1</v>
      </c>
      <c r="N111" s="51" t="n">
        <v>1</v>
      </c>
      <c r="O111" s="51" t="n">
        <v>4</v>
      </c>
      <c r="P111" s="51" t="n">
        <v>120</v>
      </c>
      <c r="Q111" s="51" t="n">
        <v>5</v>
      </c>
      <c r="R111" s="51" t="n">
        <v>500</v>
      </c>
      <c r="S111" s="51" t="n">
        <v>1</v>
      </c>
      <c r="T111" s="51" t="n">
        <v>5</v>
      </c>
      <c r="U111" s="51" t="n">
        <v>120</v>
      </c>
      <c r="V111" s="51" t="n">
        <v>5</v>
      </c>
      <c r="W111" s="51" t="n">
        <v>1600</v>
      </c>
      <c r="X111" s="51" t="n">
        <v>0.657894736842105</v>
      </c>
    </row>
    <row r="112">
      <c r="A112" s="51" t="inlineStr">
        <is>
          <t>Cucumber stem</t>
        </is>
      </c>
      <c r="B112" s="51" t="n">
        <v>16.13</v>
      </c>
      <c r="C112" s="51" t="n">
        <v>4.33</v>
      </c>
      <c r="D112" s="51" t="n">
        <v>4.51</v>
      </c>
      <c r="E112" s="51" t="n">
        <v>74.7828166810701</v>
      </c>
      <c r="F112" s="51" t="n">
        <v>6.35305071152325</v>
      </c>
      <c r="G112" s="51" t="n">
        <v>15.8378557285207</v>
      </c>
      <c r="H112" s="51" t="n">
        <v>47.3664558944195</v>
      </c>
      <c r="I112" s="51" t="n">
        <v>41.6990172190391</v>
      </c>
      <c r="J112" s="51" t="n">
        <v>5.88765023788926</v>
      </c>
      <c r="K112" s="51" t="n">
        <v>4</v>
      </c>
      <c r="L112" s="51" t="n">
        <v>2</v>
      </c>
      <c r="M112" s="51" t="n">
        <v>1</v>
      </c>
      <c r="N112" s="51" t="n">
        <v>1</v>
      </c>
      <c r="O112" s="51" t="n">
        <v>4</v>
      </c>
      <c r="P112" s="51" t="n">
        <v>420</v>
      </c>
      <c r="Q112" s="51" t="n">
        <v>5</v>
      </c>
      <c r="R112" s="51" t="n">
        <v>600</v>
      </c>
      <c r="S112" s="51" t="n">
        <v>1</v>
      </c>
      <c r="T112" s="51" t="n">
        <v>5</v>
      </c>
      <c r="U112" s="51" t="n">
        <v>120</v>
      </c>
      <c r="V112" s="51" t="n">
        <v>5</v>
      </c>
      <c r="W112" s="51" t="n">
        <v>800</v>
      </c>
      <c r="X112" s="51" t="n">
        <v>0.53475935828877</v>
      </c>
    </row>
    <row r="113">
      <c r="A113" s="51" t="inlineStr">
        <is>
          <t>Cucumber stem</t>
        </is>
      </c>
      <c r="B113" s="51" t="n">
        <v>16.13</v>
      </c>
      <c r="C113" s="51" t="n">
        <v>4.33</v>
      </c>
      <c r="D113" s="51" t="n">
        <v>4.51</v>
      </c>
      <c r="E113" s="51" t="n">
        <v>74.7828166810701</v>
      </c>
      <c r="F113" s="51" t="n">
        <v>6.35305071152325</v>
      </c>
      <c r="G113" s="51" t="n">
        <v>15.8378557285207</v>
      </c>
      <c r="H113" s="51" t="n">
        <v>47.3664558944195</v>
      </c>
      <c r="I113" s="51" t="n">
        <v>41.6990172190391</v>
      </c>
      <c r="J113" s="51" t="n">
        <v>5.88765023788926</v>
      </c>
      <c r="K113" s="51" t="n">
        <v>4</v>
      </c>
      <c r="L113" s="51" t="n">
        <v>2</v>
      </c>
      <c r="M113" s="51" t="n">
        <v>1</v>
      </c>
      <c r="N113" s="51" t="n">
        <v>1</v>
      </c>
      <c r="O113" s="51" t="n">
        <v>4</v>
      </c>
      <c r="P113" s="51" t="n">
        <v>420</v>
      </c>
      <c r="Q113" s="51" t="n">
        <v>5</v>
      </c>
      <c r="R113" s="51" t="n">
        <v>600</v>
      </c>
      <c r="S113" s="51" t="n">
        <v>1</v>
      </c>
      <c r="T113" s="51" t="n">
        <v>5</v>
      </c>
      <c r="U113" s="51" t="n">
        <v>120</v>
      </c>
      <c r="V113" s="51" t="n">
        <v>5</v>
      </c>
      <c r="W113" s="51" t="n">
        <v>900</v>
      </c>
      <c r="X113" s="51" t="n">
        <v>0.5494505494505491</v>
      </c>
    </row>
    <row r="114">
      <c r="A114" s="51" t="inlineStr">
        <is>
          <t>Cucumber stem</t>
        </is>
      </c>
      <c r="B114" s="51" t="n">
        <v>16.13</v>
      </c>
      <c r="C114" s="51" t="n">
        <v>4.33</v>
      </c>
      <c r="D114" s="51" t="n">
        <v>4.51</v>
      </c>
      <c r="E114" s="51" t="n">
        <v>74.7828166810701</v>
      </c>
      <c r="F114" s="51" t="n">
        <v>6.35305071152325</v>
      </c>
      <c r="G114" s="51" t="n">
        <v>15.8378557285207</v>
      </c>
      <c r="H114" s="51" t="n">
        <v>47.3664558944195</v>
      </c>
      <c r="I114" s="51" t="n">
        <v>41.6990172190391</v>
      </c>
      <c r="J114" s="51" t="n">
        <v>5.88765023788926</v>
      </c>
      <c r="K114" s="51" t="n">
        <v>4</v>
      </c>
      <c r="L114" s="51" t="n">
        <v>2</v>
      </c>
      <c r="M114" s="51" t="n">
        <v>1</v>
      </c>
      <c r="N114" s="51" t="n">
        <v>1</v>
      </c>
      <c r="O114" s="51" t="n">
        <v>4</v>
      </c>
      <c r="P114" s="51" t="n">
        <v>420</v>
      </c>
      <c r="Q114" s="51" t="n">
        <v>5</v>
      </c>
      <c r="R114" s="51" t="n">
        <v>600</v>
      </c>
      <c r="S114" s="51" t="n">
        <v>1</v>
      </c>
      <c r="T114" s="51" t="n">
        <v>5</v>
      </c>
      <c r="U114" s="51" t="n">
        <v>120</v>
      </c>
      <c r="V114" s="51" t="n">
        <v>5</v>
      </c>
      <c r="W114" s="51" t="n">
        <v>1000</v>
      </c>
      <c r="X114" s="51" t="n">
        <v>0.591715976331361</v>
      </c>
    </row>
    <row r="115">
      <c r="A115" s="51" t="inlineStr">
        <is>
          <t>Cucumber stem</t>
        </is>
      </c>
      <c r="B115" s="51" t="n">
        <v>16.13</v>
      </c>
      <c r="C115" s="51" t="n">
        <v>4.33</v>
      </c>
      <c r="D115" s="51" t="n">
        <v>4.51</v>
      </c>
      <c r="E115" s="51" t="n">
        <v>74.7828166810701</v>
      </c>
      <c r="F115" s="51" t="n">
        <v>6.35305071152325</v>
      </c>
      <c r="G115" s="51" t="n">
        <v>15.8378557285207</v>
      </c>
      <c r="H115" s="51" t="n">
        <v>47.3664558944195</v>
      </c>
      <c r="I115" s="51" t="n">
        <v>41.6990172190391</v>
      </c>
      <c r="J115" s="51" t="n">
        <v>5.88765023788926</v>
      </c>
      <c r="K115" s="51" t="n">
        <v>4</v>
      </c>
      <c r="L115" s="51" t="n">
        <v>2</v>
      </c>
      <c r="M115" s="51" t="n">
        <v>1</v>
      </c>
      <c r="N115" s="51" t="n">
        <v>1</v>
      </c>
      <c r="O115" s="51" t="n">
        <v>4</v>
      </c>
      <c r="P115" s="51" t="n">
        <v>420</v>
      </c>
      <c r="Q115" s="51" t="n">
        <v>5</v>
      </c>
      <c r="R115" s="51" t="n">
        <v>600</v>
      </c>
      <c r="S115" s="51" t="n">
        <v>1</v>
      </c>
      <c r="T115" s="51" t="n">
        <v>5</v>
      </c>
      <c r="U115" s="51" t="n">
        <v>120</v>
      </c>
      <c r="V115" s="51" t="n">
        <v>5</v>
      </c>
      <c r="W115" s="51" t="n">
        <v>1100</v>
      </c>
      <c r="X115" s="51" t="n">
        <v>0.606060606060606</v>
      </c>
    </row>
    <row r="116">
      <c r="A116" s="51" t="inlineStr">
        <is>
          <t>Cucumber stem</t>
        </is>
      </c>
      <c r="B116" s="51" t="n">
        <v>16.13</v>
      </c>
      <c r="C116" s="51" t="n">
        <v>4.33</v>
      </c>
      <c r="D116" s="51" t="n">
        <v>4.51</v>
      </c>
      <c r="E116" s="51" t="n">
        <v>74.7828166810701</v>
      </c>
      <c r="F116" s="51" t="n">
        <v>6.35305071152325</v>
      </c>
      <c r="G116" s="51" t="n">
        <v>15.8378557285207</v>
      </c>
      <c r="H116" s="51" t="n">
        <v>47.3664558944195</v>
      </c>
      <c r="I116" s="51" t="n">
        <v>41.6990172190391</v>
      </c>
      <c r="J116" s="51" t="n">
        <v>5.88765023788926</v>
      </c>
      <c r="K116" s="51" t="n">
        <v>4</v>
      </c>
      <c r="L116" s="51" t="n">
        <v>1</v>
      </c>
      <c r="M116" s="51" t="n">
        <v>1</v>
      </c>
      <c r="N116" s="51" t="n">
        <v>0</v>
      </c>
      <c r="O116" s="51" t="n">
        <v>4</v>
      </c>
      <c r="P116" s="51" t="n">
        <v>360</v>
      </c>
      <c r="Q116" s="51" t="n">
        <v>5</v>
      </c>
      <c r="R116" s="51" t="n">
        <v>150</v>
      </c>
      <c r="S116" s="51" t="n">
        <v>1</v>
      </c>
      <c r="T116" s="51" t="n">
        <v>5</v>
      </c>
      <c r="U116" s="51" t="n">
        <v>120</v>
      </c>
      <c r="V116" s="51" t="n">
        <v>5</v>
      </c>
      <c r="W116" s="51" t="n">
        <v>1000</v>
      </c>
      <c r="X116" s="51" t="n">
        <v>0.952380952380952</v>
      </c>
    </row>
    <row r="117">
      <c r="A117" s="51" t="inlineStr">
        <is>
          <t>Date palm pulp</t>
        </is>
      </c>
      <c r="B117" s="51" t="n">
        <v>24.9</v>
      </c>
      <c r="C117" s="51" t="n">
        <v>27.8</v>
      </c>
      <c r="D117" s="51" t="n">
        <v>22.6</v>
      </c>
      <c r="E117" s="51" t="n">
        <v>24.33</v>
      </c>
      <c r="F117" s="51" t="n">
        <v>3.02</v>
      </c>
      <c r="G117" s="51" t="n">
        <v>9.77</v>
      </c>
      <c r="H117" s="51" t="n">
        <v>94.09999999999999</v>
      </c>
      <c r="I117" s="51" t="n">
        <v>1.51</v>
      </c>
      <c r="J117" s="51" t="n">
        <v>0.25</v>
      </c>
      <c r="K117" s="51" t="n">
        <v>6</v>
      </c>
      <c r="L117" s="51" t="n">
        <v>5</v>
      </c>
      <c r="M117" s="51" t="n">
        <v>0</v>
      </c>
      <c r="N117" s="51" t="n">
        <v>1</v>
      </c>
      <c r="O117" s="51" t="n">
        <v>4</v>
      </c>
      <c r="P117" s="51" t="n">
        <v>60</v>
      </c>
      <c r="Q117" s="51" t="n">
        <v>5</v>
      </c>
      <c r="R117" s="51" t="n">
        <v>800</v>
      </c>
      <c r="S117" s="51" t="n">
        <v>0</v>
      </c>
      <c r="T117" s="51" t="n">
        <v>5</v>
      </c>
      <c r="U117" s="51" t="n">
        <v>0</v>
      </c>
      <c r="V117" s="51" t="n">
        <v>0</v>
      </c>
      <c r="W117" s="51" t="n">
        <v>0</v>
      </c>
      <c r="X117" s="51" t="n">
        <v>0.413223140495868</v>
      </c>
    </row>
    <row r="118">
      <c r="A118" s="51" t="inlineStr">
        <is>
          <t>Date palm pulp</t>
        </is>
      </c>
      <c r="B118" s="51" t="n">
        <v>24.9</v>
      </c>
      <c r="C118" s="51" t="n">
        <v>27.8</v>
      </c>
      <c r="D118" s="51" t="n">
        <v>22.6</v>
      </c>
      <c r="E118" s="51" t="n">
        <v>24.33</v>
      </c>
      <c r="F118" s="51" t="n">
        <v>3.02</v>
      </c>
      <c r="G118" s="51" t="n">
        <v>9.77</v>
      </c>
      <c r="H118" s="51" t="n">
        <v>94.09999999999999</v>
      </c>
      <c r="I118" s="51" t="n">
        <v>1.51</v>
      </c>
      <c r="J118" s="51" t="n">
        <v>0.25</v>
      </c>
      <c r="K118" s="51" t="n">
        <v>6</v>
      </c>
      <c r="L118" s="51" t="n">
        <v>5</v>
      </c>
      <c r="M118" s="51" t="n">
        <v>0</v>
      </c>
      <c r="N118" s="51" t="n">
        <v>1</v>
      </c>
      <c r="O118" s="51" t="n">
        <v>4</v>
      </c>
      <c r="P118" s="51" t="n">
        <v>60</v>
      </c>
      <c r="Q118" s="51" t="n">
        <v>5</v>
      </c>
      <c r="R118" s="51" t="n">
        <v>1000</v>
      </c>
      <c r="S118" s="51" t="n">
        <v>0</v>
      </c>
      <c r="T118" s="51" t="n">
        <v>5</v>
      </c>
      <c r="U118" s="51" t="n">
        <v>0</v>
      </c>
      <c r="V118" s="51" t="n">
        <v>0</v>
      </c>
      <c r="W118" s="51" t="n">
        <v>0</v>
      </c>
      <c r="X118" s="51" t="n">
        <v>0.529100529100529</v>
      </c>
    </row>
    <row r="119">
      <c r="A119" s="51" t="inlineStr">
        <is>
          <t>Date palm pulp</t>
        </is>
      </c>
      <c r="B119" s="51" t="n">
        <v>24.9</v>
      </c>
      <c r="C119" s="51" t="n">
        <v>27.8</v>
      </c>
      <c r="D119" s="51" t="n">
        <v>22.6</v>
      </c>
      <c r="E119" s="51" t="n">
        <v>24.33</v>
      </c>
      <c r="F119" s="51" t="n">
        <v>3.02</v>
      </c>
      <c r="G119" s="51" t="n">
        <v>9.77</v>
      </c>
      <c r="H119" s="51" t="n">
        <v>94.09999999999999</v>
      </c>
      <c r="I119" s="51" t="n">
        <v>1.51</v>
      </c>
      <c r="J119" s="51" t="n">
        <v>0.25</v>
      </c>
      <c r="K119" s="51" t="n">
        <v>6</v>
      </c>
      <c r="L119" s="51" t="n">
        <v>5</v>
      </c>
      <c r="M119" s="51" t="n">
        <v>0</v>
      </c>
      <c r="N119" s="51" t="n">
        <v>1</v>
      </c>
      <c r="O119" s="51" t="n">
        <v>4</v>
      </c>
      <c r="P119" s="51" t="n">
        <v>60</v>
      </c>
      <c r="Q119" s="51" t="n">
        <v>5</v>
      </c>
      <c r="R119" s="51" t="n">
        <v>1200</v>
      </c>
      <c r="S119" s="51" t="n">
        <v>0</v>
      </c>
      <c r="T119" s="51" t="n">
        <v>5</v>
      </c>
      <c r="U119" s="51" t="n">
        <v>0</v>
      </c>
      <c r="V119" s="51" t="n">
        <v>0</v>
      </c>
      <c r="W119" s="51" t="n">
        <v>0</v>
      </c>
      <c r="X119" s="51" t="n">
        <v>0.558659217877095</v>
      </c>
    </row>
    <row r="120">
      <c r="A120" s="51" t="inlineStr">
        <is>
          <t>Date palm pulp</t>
        </is>
      </c>
      <c r="B120" s="51" t="n">
        <v>24.9</v>
      </c>
      <c r="C120" s="51" t="n">
        <v>27.8</v>
      </c>
      <c r="D120" s="51" t="n">
        <v>22.6</v>
      </c>
      <c r="E120" s="51" t="n">
        <v>24.33</v>
      </c>
      <c r="F120" s="51" t="n">
        <v>3.02</v>
      </c>
      <c r="G120" s="51" t="n">
        <v>9.77</v>
      </c>
      <c r="H120" s="51" t="n">
        <v>94.09999999999999</v>
      </c>
      <c r="I120" s="51" t="n">
        <v>1.51</v>
      </c>
      <c r="J120" s="51" t="n">
        <v>0.25</v>
      </c>
      <c r="K120" s="51" t="n">
        <v>6</v>
      </c>
      <c r="L120" s="51" t="n">
        <v>5</v>
      </c>
      <c r="M120" s="51" t="n">
        <v>0</v>
      </c>
      <c r="N120" s="51" t="n">
        <v>1</v>
      </c>
      <c r="O120" s="51" t="n">
        <v>4</v>
      </c>
      <c r="P120" s="51" t="n">
        <v>60</v>
      </c>
      <c r="Q120" s="51" t="n">
        <v>5</v>
      </c>
      <c r="R120" s="51" t="n">
        <v>1300</v>
      </c>
      <c r="S120" s="51" t="n">
        <v>0</v>
      </c>
      <c r="T120" s="51" t="n">
        <v>5</v>
      </c>
      <c r="U120" s="51" t="n">
        <v>0</v>
      </c>
      <c r="V120" s="51" t="n">
        <v>0</v>
      </c>
      <c r="W120" s="51" t="n">
        <v>0</v>
      </c>
      <c r="X120" s="51" t="n">
        <v>0.584795321637427</v>
      </c>
    </row>
    <row r="121">
      <c r="A121" s="51" t="inlineStr">
        <is>
          <t>Date palm pulp</t>
        </is>
      </c>
      <c r="B121" s="51" t="n">
        <v>24.9</v>
      </c>
      <c r="C121" s="51" t="n">
        <v>27.8</v>
      </c>
      <c r="D121" s="51" t="n">
        <v>22.6</v>
      </c>
      <c r="E121" s="51" t="n">
        <v>24.33</v>
      </c>
      <c r="F121" s="51" t="n">
        <v>3.02</v>
      </c>
      <c r="G121" s="51" t="n">
        <v>9.77</v>
      </c>
      <c r="H121" s="51" t="n">
        <v>94.09999999999999</v>
      </c>
      <c r="I121" s="51" t="n">
        <v>1.51</v>
      </c>
      <c r="J121" s="51" t="n">
        <v>0.25</v>
      </c>
      <c r="K121" s="51" t="n">
        <v>6</v>
      </c>
      <c r="L121" s="51" t="n">
        <v>5</v>
      </c>
      <c r="M121" s="51" t="n">
        <v>0</v>
      </c>
      <c r="N121" s="51" t="n">
        <v>1</v>
      </c>
      <c r="O121" s="51" t="n">
        <v>4</v>
      </c>
      <c r="P121" s="51" t="n">
        <v>60</v>
      </c>
      <c r="Q121" s="51" t="n">
        <v>5</v>
      </c>
      <c r="R121" s="51" t="n">
        <v>1400</v>
      </c>
      <c r="S121" s="51" t="n">
        <v>0</v>
      </c>
      <c r="T121" s="51" t="n">
        <v>5</v>
      </c>
      <c r="U121" s="51" t="n">
        <v>0</v>
      </c>
      <c r="V121" s="51" t="n">
        <v>0</v>
      </c>
      <c r="W121" s="51" t="n">
        <v>0</v>
      </c>
      <c r="X121" s="51" t="n">
        <v>0.632911392405063</v>
      </c>
    </row>
    <row r="122">
      <c r="A122" s="51" t="inlineStr">
        <is>
          <t>Date palm seed</t>
        </is>
      </c>
      <c r="B122" s="51" t="n">
        <v>23.9</v>
      </c>
      <c r="C122" s="51" t="n">
        <v>26.8</v>
      </c>
      <c r="D122" s="51" t="n">
        <v>21.6</v>
      </c>
      <c r="E122" s="51" t="n">
        <v>75.09999999999999</v>
      </c>
      <c r="F122" s="51" t="n">
        <v>9.800000000000001</v>
      </c>
      <c r="G122" s="51" t="n">
        <v>8.1</v>
      </c>
      <c r="H122" s="51" t="n">
        <v>44.1</v>
      </c>
      <c r="I122" s="51" t="n">
        <v>48.3</v>
      </c>
      <c r="J122" s="51" t="n">
        <v>6.1</v>
      </c>
      <c r="K122" s="51" t="n">
        <v>6</v>
      </c>
      <c r="L122" s="51" t="n">
        <v>5</v>
      </c>
      <c r="M122" s="51" t="n">
        <v>0</v>
      </c>
      <c r="N122" s="51" t="n">
        <v>1</v>
      </c>
      <c r="O122" s="51" t="n">
        <v>4</v>
      </c>
      <c r="P122" s="51" t="n">
        <v>60</v>
      </c>
      <c r="Q122" s="51" t="n">
        <v>5</v>
      </c>
      <c r="R122" s="51" t="n">
        <v>800</v>
      </c>
      <c r="S122" s="51" t="n">
        <v>0</v>
      </c>
      <c r="T122" s="51" t="n">
        <v>5</v>
      </c>
      <c r="U122" s="51" t="n">
        <v>0</v>
      </c>
      <c r="V122" s="51" t="n">
        <v>0</v>
      </c>
      <c r="W122" s="51" t="n">
        <v>0</v>
      </c>
      <c r="X122" s="51" t="n">
        <v>0.434782608695652</v>
      </c>
    </row>
    <row r="123">
      <c r="A123" s="51" t="inlineStr">
        <is>
          <t>Date palm seed</t>
        </is>
      </c>
      <c r="B123" s="51" t="n">
        <v>23.9</v>
      </c>
      <c r="C123" s="51" t="n">
        <v>26.8</v>
      </c>
      <c r="D123" s="51" t="n">
        <v>21.6</v>
      </c>
      <c r="E123" s="51" t="n">
        <v>75.09999999999999</v>
      </c>
      <c r="F123" s="51" t="n">
        <v>9.800000000000001</v>
      </c>
      <c r="G123" s="51" t="n">
        <v>8.1</v>
      </c>
      <c r="H123" s="51" t="n">
        <v>44.1</v>
      </c>
      <c r="I123" s="51" t="n">
        <v>48.3</v>
      </c>
      <c r="J123" s="51" t="n">
        <v>6.1</v>
      </c>
      <c r="K123" s="51" t="n">
        <v>6</v>
      </c>
      <c r="L123" s="51" t="n">
        <v>5</v>
      </c>
      <c r="M123" s="51" t="n">
        <v>0</v>
      </c>
      <c r="N123" s="51" t="n">
        <v>1</v>
      </c>
      <c r="O123" s="51" t="n">
        <v>4</v>
      </c>
      <c r="P123" s="51" t="n">
        <v>60</v>
      </c>
      <c r="Q123" s="51" t="n">
        <v>5</v>
      </c>
      <c r="R123" s="51" t="n">
        <v>1000</v>
      </c>
      <c r="S123" s="51" t="n">
        <v>0</v>
      </c>
      <c r="T123" s="51" t="n">
        <v>5</v>
      </c>
      <c r="U123" s="51" t="n">
        <v>0</v>
      </c>
      <c r="V123" s="51" t="n">
        <v>0</v>
      </c>
      <c r="W123" s="51" t="n">
        <v>0</v>
      </c>
      <c r="X123" s="51" t="n">
        <v>0.465116279069767</v>
      </c>
    </row>
    <row r="124">
      <c r="A124" s="51" t="inlineStr">
        <is>
          <t>Date palm seed</t>
        </is>
      </c>
      <c r="B124" s="51" t="n">
        <v>23.9</v>
      </c>
      <c r="C124" s="51" t="n">
        <v>26.8</v>
      </c>
      <c r="D124" s="51" t="n">
        <v>21.6</v>
      </c>
      <c r="E124" s="51" t="n">
        <v>75.09999999999999</v>
      </c>
      <c r="F124" s="51" t="n">
        <v>9.800000000000001</v>
      </c>
      <c r="G124" s="51" t="n">
        <v>8.1</v>
      </c>
      <c r="H124" s="51" t="n">
        <v>44.1</v>
      </c>
      <c r="I124" s="51" t="n">
        <v>48.3</v>
      </c>
      <c r="J124" s="51" t="n">
        <v>6.1</v>
      </c>
      <c r="K124" s="51" t="n">
        <v>6</v>
      </c>
      <c r="L124" s="51" t="n">
        <v>5</v>
      </c>
      <c r="M124" s="51" t="n">
        <v>0</v>
      </c>
      <c r="N124" s="51" t="n">
        <v>1</v>
      </c>
      <c r="O124" s="51" t="n">
        <v>4</v>
      </c>
      <c r="P124" s="51" t="n">
        <v>60</v>
      </c>
      <c r="Q124" s="51" t="n">
        <v>5</v>
      </c>
      <c r="R124" s="51" t="n">
        <v>1200</v>
      </c>
      <c r="S124" s="51" t="n">
        <v>0</v>
      </c>
      <c r="T124" s="51" t="n">
        <v>5</v>
      </c>
      <c r="U124" s="51" t="n">
        <v>0</v>
      </c>
      <c r="V124" s="51" t="n">
        <v>0</v>
      </c>
      <c r="W124" s="51" t="n">
        <v>0</v>
      </c>
      <c r="X124" s="51" t="n">
        <v>0.495049504950495</v>
      </c>
    </row>
    <row r="125">
      <c r="A125" s="51" t="inlineStr">
        <is>
          <t>Date palm seed</t>
        </is>
      </c>
      <c r="B125" s="51" t="n">
        <v>23.9</v>
      </c>
      <c r="C125" s="51" t="n">
        <v>26.8</v>
      </c>
      <c r="D125" s="51" t="n">
        <v>21.6</v>
      </c>
      <c r="E125" s="51" t="n">
        <v>75.09999999999999</v>
      </c>
      <c r="F125" s="51" t="n">
        <v>9.800000000000001</v>
      </c>
      <c r="G125" s="51" t="n">
        <v>8.1</v>
      </c>
      <c r="H125" s="51" t="n">
        <v>44.1</v>
      </c>
      <c r="I125" s="51" t="n">
        <v>48.3</v>
      </c>
      <c r="J125" s="51" t="n">
        <v>6.1</v>
      </c>
      <c r="K125" s="51" t="n">
        <v>6</v>
      </c>
      <c r="L125" s="51" t="n">
        <v>5</v>
      </c>
      <c r="M125" s="51" t="n">
        <v>0</v>
      </c>
      <c r="N125" s="51" t="n">
        <v>1</v>
      </c>
      <c r="O125" s="51" t="n">
        <v>4</v>
      </c>
      <c r="P125" s="51" t="n">
        <v>60</v>
      </c>
      <c r="Q125" s="51" t="n">
        <v>5</v>
      </c>
      <c r="R125" s="51" t="n">
        <v>1300</v>
      </c>
      <c r="S125" s="51" t="n">
        <v>0</v>
      </c>
      <c r="T125" s="51" t="n">
        <v>5</v>
      </c>
      <c r="U125" s="51" t="n">
        <v>0</v>
      </c>
      <c r="V125" s="51" t="n">
        <v>0</v>
      </c>
      <c r="W125" s="51" t="n">
        <v>0</v>
      </c>
      <c r="X125" s="51" t="n">
        <v>0.578034682080925</v>
      </c>
    </row>
    <row r="126">
      <c r="A126" s="51" t="inlineStr">
        <is>
          <t>Date palm seed</t>
        </is>
      </c>
      <c r="B126" s="51" t="n">
        <v>23.9</v>
      </c>
      <c r="C126" s="51" t="n">
        <v>26.8</v>
      </c>
      <c r="D126" s="51" t="n">
        <v>21.6</v>
      </c>
      <c r="E126" s="51" t="n">
        <v>75.09999999999999</v>
      </c>
      <c r="F126" s="51" t="n">
        <v>9.800000000000001</v>
      </c>
      <c r="G126" s="51" t="n">
        <v>8.1</v>
      </c>
      <c r="H126" s="51" t="n">
        <v>44.1</v>
      </c>
      <c r="I126" s="51" t="n">
        <v>48.3</v>
      </c>
      <c r="J126" s="51" t="n">
        <v>6.1</v>
      </c>
      <c r="K126" s="51" t="n">
        <v>6</v>
      </c>
      <c r="L126" s="51" t="n">
        <v>5</v>
      </c>
      <c r="M126" s="51" t="n">
        <v>0</v>
      </c>
      <c r="N126" s="51" t="n">
        <v>1</v>
      </c>
      <c r="O126" s="51" t="n">
        <v>4</v>
      </c>
      <c r="P126" s="51" t="n">
        <v>60</v>
      </c>
      <c r="Q126" s="51" t="n">
        <v>5</v>
      </c>
      <c r="R126" s="51" t="n">
        <v>1400</v>
      </c>
      <c r="S126" s="51" t="n">
        <v>0</v>
      </c>
      <c r="T126" s="51" t="n">
        <v>5</v>
      </c>
      <c r="U126" s="51" t="n">
        <v>0</v>
      </c>
      <c r="V126" s="51" t="n">
        <v>0</v>
      </c>
      <c r="W126" s="51" t="n">
        <v>0</v>
      </c>
      <c r="X126" s="51" t="n">
        <v>0.591715976331361</v>
      </c>
    </row>
    <row r="127">
      <c r="A127" s="51" t="inlineStr">
        <is>
          <t>Eucalyptus</t>
        </is>
      </c>
      <c r="B127" s="51" t="n">
        <v>57.3</v>
      </c>
      <c r="C127" s="51" t="n">
        <v>16.8</v>
      </c>
      <c r="D127" s="51" t="n">
        <v>25.9</v>
      </c>
      <c r="E127" s="51" t="n">
        <v>74.62</v>
      </c>
      <c r="F127" s="51" t="n">
        <v>5.55</v>
      </c>
      <c r="G127" s="51" t="n">
        <v>19.83</v>
      </c>
      <c r="H127" s="51" t="n">
        <v>42.55</v>
      </c>
      <c r="I127" s="51" t="n">
        <v>46.76</v>
      </c>
      <c r="J127" s="51" t="n">
        <v>6.01</v>
      </c>
      <c r="K127" s="51" t="n">
        <v>4</v>
      </c>
      <c r="L127" s="51" t="n">
        <v>5</v>
      </c>
      <c r="M127" s="51" t="n">
        <v>0</v>
      </c>
      <c r="N127" s="51" t="n">
        <v>1</v>
      </c>
      <c r="O127" s="51" t="n">
        <v>4</v>
      </c>
      <c r="P127" s="51" t="n">
        <v>158.067155378682</v>
      </c>
      <c r="Q127" s="51" t="n">
        <v>4.31294395851069</v>
      </c>
      <c r="R127" s="51" t="n">
        <v>1000</v>
      </c>
      <c r="S127" s="51" t="n">
        <v>0</v>
      </c>
      <c r="T127" s="51" t="n">
        <v>5</v>
      </c>
      <c r="U127" s="51" t="n">
        <v>0</v>
      </c>
      <c r="V127" s="51" t="n">
        <v>0</v>
      </c>
      <c r="W127" s="51" t="n">
        <v>0</v>
      </c>
      <c r="X127" s="51" t="n">
        <v>1.32</v>
      </c>
    </row>
    <row r="128">
      <c r="A128" s="51" t="inlineStr">
        <is>
          <t>Eucalyptus</t>
        </is>
      </c>
      <c r="B128" s="51" t="n">
        <v>57.3</v>
      </c>
      <c r="C128" s="51" t="n">
        <v>16.8</v>
      </c>
      <c r="D128" s="51" t="n">
        <v>25.9</v>
      </c>
      <c r="E128" s="51" t="n">
        <v>74.62</v>
      </c>
      <c r="F128" s="51" t="n">
        <v>5.55</v>
      </c>
      <c r="G128" s="51" t="n">
        <v>19.83</v>
      </c>
      <c r="H128" s="51" t="n">
        <v>42.55</v>
      </c>
      <c r="I128" s="51" t="n">
        <v>46.76</v>
      </c>
      <c r="J128" s="51" t="n">
        <v>6.01</v>
      </c>
      <c r="K128" s="51" t="n">
        <v>4</v>
      </c>
      <c r="L128" s="51" t="n">
        <v>5</v>
      </c>
      <c r="M128" s="51" t="n">
        <v>0</v>
      </c>
      <c r="N128" s="51" t="n">
        <v>1</v>
      </c>
      <c r="O128" s="51" t="n">
        <v>4</v>
      </c>
      <c r="P128" s="51" t="n">
        <v>143.158554347729</v>
      </c>
      <c r="Q128" s="51" t="n">
        <v>4.83596022633699</v>
      </c>
      <c r="R128" s="51" t="n">
        <v>1200</v>
      </c>
      <c r="S128" s="51" t="n">
        <v>0</v>
      </c>
      <c r="T128" s="51" t="n">
        <v>5</v>
      </c>
      <c r="U128" s="51" t="n">
        <v>0</v>
      </c>
      <c r="V128" s="51" t="n">
        <v>0</v>
      </c>
      <c r="W128" s="51" t="n">
        <v>0</v>
      </c>
      <c r="X128" s="51" t="n">
        <v>1.08</v>
      </c>
    </row>
    <row r="129">
      <c r="A129" s="51" t="inlineStr">
        <is>
          <t>Eucalyptus</t>
        </is>
      </c>
      <c r="B129" s="51" t="n">
        <v>57.3</v>
      </c>
      <c r="C129" s="51" t="n">
        <v>16.8</v>
      </c>
      <c r="D129" s="51" t="n">
        <v>25.9</v>
      </c>
      <c r="E129" s="51" t="n">
        <v>74.62</v>
      </c>
      <c r="F129" s="51" t="n">
        <v>5.55</v>
      </c>
      <c r="G129" s="51" t="n">
        <v>19.83</v>
      </c>
      <c r="H129" s="51" t="n">
        <v>42.55</v>
      </c>
      <c r="I129" s="51" t="n">
        <v>46.76</v>
      </c>
      <c r="J129" s="51" t="n">
        <v>6.01</v>
      </c>
      <c r="K129" s="51" t="n">
        <v>4</v>
      </c>
      <c r="L129" s="51" t="n">
        <v>5</v>
      </c>
      <c r="M129" s="51" t="n">
        <v>0</v>
      </c>
      <c r="N129" s="51" t="n">
        <v>1</v>
      </c>
      <c r="O129" s="51" t="n">
        <v>4</v>
      </c>
      <c r="P129" s="51" t="n">
        <v>190.274327501553</v>
      </c>
      <c r="Q129" s="51" t="n">
        <v>4.22485471140919</v>
      </c>
      <c r="R129" s="51" t="n">
        <v>1400</v>
      </c>
      <c r="S129" s="51" t="n">
        <v>0</v>
      </c>
      <c r="T129" s="51" t="n">
        <v>5</v>
      </c>
      <c r="U129" s="51" t="n">
        <v>0</v>
      </c>
      <c r="V129" s="51" t="n">
        <v>0</v>
      </c>
      <c r="W129" s="51" t="n">
        <v>0</v>
      </c>
      <c r="X129" s="51" t="n">
        <v>1.02</v>
      </c>
    </row>
    <row r="130">
      <c r="A130" s="51" t="inlineStr">
        <is>
          <t>Eucalyptus</t>
        </is>
      </c>
      <c r="B130" s="51" t="n">
        <v>57.3</v>
      </c>
      <c r="C130" s="51" t="n">
        <v>16.8</v>
      </c>
      <c r="D130" s="51" t="n">
        <v>25.9</v>
      </c>
      <c r="E130" s="51" t="n">
        <v>74.62</v>
      </c>
      <c r="F130" s="51" t="n">
        <v>5.55</v>
      </c>
      <c r="G130" s="51" t="n">
        <v>19.83</v>
      </c>
      <c r="H130" s="51" t="n">
        <v>42.55</v>
      </c>
      <c r="I130" s="51" t="n">
        <v>46.76</v>
      </c>
      <c r="J130" s="51" t="n">
        <v>6.01</v>
      </c>
      <c r="K130" s="51" t="n">
        <v>4</v>
      </c>
      <c r="L130" s="51" t="n">
        <v>5</v>
      </c>
      <c r="M130" s="51" t="n">
        <v>0</v>
      </c>
      <c r="N130" s="51" t="n">
        <v>1</v>
      </c>
      <c r="O130" s="51" t="n">
        <v>4</v>
      </c>
      <c r="P130" s="51" t="n">
        <v>150.352190768009</v>
      </c>
      <c r="Q130" s="51" t="n">
        <v>4.50403692802307</v>
      </c>
      <c r="R130" s="51" t="n">
        <v>1600</v>
      </c>
      <c r="S130" s="51" t="n">
        <v>0</v>
      </c>
      <c r="T130" s="51" t="n">
        <v>5</v>
      </c>
      <c r="U130" s="51" t="n">
        <v>0</v>
      </c>
      <c r="V130" s="51" t="n">
        <v>0</v>
      </c>
      <c r="W130" s="51" t="n">
        <v>0</v>
      </c>
      <c r="X130" s="51" t="n">
        <v>1</v>
      </c>
    </row>
    <row r="131">
      <c r="A131" s="51" t="inlineStr">
        <is>
          <t>Eucalyptus wood</t>
        </is>
      </c>
      <c r="B131" s="51" t="n">
        <v>57.3</v>
      </c>
      <c r="C131" s="51" t="n">
        <v>16.8</v>
      </c>
      <c r="D131" s="51" t="n">
        <v>25.9</v>
      </c>
      <c r="E131" s="51" t="n">
        <v>74.62</v>
      </c>
      <c r="F131" s="51" t="n">
        <v>5.55</v>
      </c>
      <c r="G131" s="51" t="n">
        <v>19.83</v>
      </c>
      <c r="H131" s="51" t="n">
        <v>42.55</v>
      </c>
      <c r="I131" s="51" t="n">
        <v>46.76</v>
      </c>
      <c r="J131" s="51" t="n">
        <v>6.01</v>
      </c>
      <c r="K131" s="51" t="n">
        <v>1</v>
      </c>
      <c r="L131" s="51" t="n">
        <v>5</v>
      </c>
      <c r="M131" s="51" t="n">
        <v>0</v>
      </c>
      <c r="N131" s="51" t="n">
        <v>1</v>
      </c>
      <c r="O131" s="51" t="n">
        <v>4</v>
      </c>
      <c r="P131" s="51" t="n">
        <v>120</v>
      </c>
      <c r="Q131" s="51" t="n">
        <v>5</v>
      </c>
      <c r="R131" s="51" t="n">
        <v>700</v>
      </c>
      <c r="S131" s="51" t="n">
        <v>0</v>
      </c>
      <c r="T131" s="51" t="n">
        <v>5</v>
      </c>
      <c r="U131" s="51" t="n">
        <v>0</v>
      </c>
      <c r="V131" s="51" t="n">
        <v>0</v>
      </c>
      <c r="W131" s="51" t="n">
        <v>0</v>
      </c>
      <c r="X131" s="51" t="n">
        <v>0.476190476190476</v>
      </c>
    </row>
    <row r="132">
      <c r="A132" s="51" t="inlineStr">
        <is>
          <t>Eucalyptus wood</t>
        </is>
      </c>
      <c r="B132" s="51" t="n">
        <v>57.3</v>
      </c>
      <c r="C132" s="51" t="n">
        <v>16.8</v>
      </c>
      <c r="D132" s="51" t="n">
        <v>25.9</v>
      </c>
      <c r="E132" s="51" t="n">
        <v>74.62</v>
      </c>
      <c r="F132" s="51" t="n">
        <v>5.55</v>
      </c>
      <c r="G132" s="51" t="n">
        <v>19.83</v>
      </c>
      <c r="H132" s="51" t="n">
        <v>42.55</v>
      </c>
      <c r="I132" s="51" t="n">
        <v>46.76</v>
      </c>
      <c r="J132" s="51" t="n">
        <v>6.01</v>
      </c>
      <c r="K132" s="51" t="n">
        <v>1</v>
      </c>
      <c r="L132" s="51" t="n">
        <v>5</v>
      </c>
      <c r="M132" s="51" t="n">
        <v>0</v>
      </c>
      <c r="N132" s="51" t="n">
        <v>1</v>
      </c>
      <c r="O132" s="51" t="n">
        <v>4</v>
      </c>
      <c r="P132" s="51" t="n">
        <v>120</v>
      </c>
      <c r="Q132" s="51" t="n">
        <v>5</v>
      </c>
      <c r="R132" s="51" t="n">
        <v>900</v>
      </c>
      <c r="S132" s="51" t="n">
        <v>0</v>
      </c>
      <c r="T132" s="51" t="n">
        <v>5</v>
      </c>
      <c r="U132" s="51" t="n">
        <v>0</v>
      </c>
      <c r="V132" s="51" t="n">
        <v>0</v>
      </c>
      <c r="W132" s="51" t="n">
        <v>0</v>
      </c>
      <c r="X132" s="51" t="n">
        <v>0.497512437810945</v>
      </c>
    </row>
    <row r="133">
      <c r="A133" s="51" t="inlineStr">
        <is>
          <t>Eucalyptus wood</t>
        </is>
      </c>
      <c r="B133" s="51" t="n">
        <v>57.3</v>
      </c>
      <c r="C133" s="51" t="n">
        <v>16.8</v>
      </c>
      <c r="D133" s="51" t="n">
        <v>25.9</v>
      </c>
      <c r="E133" s="51" t="n">
        <v>74.62</v>
      </c>
      <c r="F133" s="51" t="n">
        <v>5.55</v>
      </c>
      <c r="G133" s="51" t="n">
        <v>19.83</v>
      </c>
      <c r="H133" s="51" t="n">
        <v>42.55</v>
      </c>
      <c r="I133" s="51" t="n">
        <v>46.76</v>
      </c>
      <c r="J133" s="51" t="n">
        <v>6.01</v>
      </c>
      <c r="K133" s="51" t="n">
        <v>1</v>
      </c>
      <c r="L133" s="51" t="n">
        <v>5</v>
      </c>
      <c r="M133" s="51" t="n">
        <v>0</v>
      </c>
      <c r="N133" s="51" t="n">
        <v>1</v>
      </c>
      <c r="O133" s="51" t="n">
        <v>4</v>
      </c>
      <c r="P133" s="51" t="n">
        <v>120</v>
      </c>
      <c r="Q133" s="51" t="n">
        <v>5</v>
      </c>
      <c r="R133" s="51" t="n">
        <v>1100</v>
      </c>
      <c r="S133" s="51" t="n">
        <v>0</v>
      </c>
      <c r="T133" s="51" t="n">
        <v>5</v>
      </c>
      <c r="U133" s="51" t="n">
        <v>0</v>
      </c>
      <c r="V133" s="51" t="n">
        <v>0</v>
      </c>
      <c r="W133" s="51" t="n">
        <v>0</v>
      </c>
      <c r="X133" s="51" t="n">
        <v>0.5649717514124289</v>
      </c>
    </row>
    <row r="134">
      <c r="A134" s="51" t="inlineStr">
        <is>
          <t>Eucalyptus wood</t>
        </is>
      </c>
      <c r="B134" s="51" t="n">
        <v>57.3</v>
      </c>
      <c r="C134" s="51" t="n">
        <v>16.8</v>
      </c>
      <c r="D134" s="51" t="n">
        <v>25.9</v>
      </c>
      <c r="E134" s="51" t="n">
        <v>74.62</v>
      </c>
      <c r="F134" s="51" t="n">
        <v>5.55</v>
      </c>
      <c r="G134" s="51" t="n">
        <v>19.83</v>
      </c>
      <c r="H134" s="51" t="n">
        <v>42.55</v>
      </c>
      <c r="I134" s="51" t="n">
        <v>46.76</v>
      </c>
      <c r="J134" s="51" t="n">
        <v>6.01</v>
      </c>
      <c r="K134" s="51" t="n">
        <v>1</v>
      </c>
      <c r="L134" s="51" t="n">
        <v>5</v>
      </c>
      <c r="M134" s="51" t="n">
        <v>0</v>
      </c>
      <c r="N134" s="51" t="n">
        <v>1</v>
      </c>
      <c r="O134" s="51" t="n">
        <v>4</v>
      </c>
      <c r="P134" s="51" t="n">
        <v>120</v>
      </c>
      <c r="Q134" s="51" t="n">
        <v>5</v>
      </c>
      <c r="R134" s="51" t="n">
        <v>1400</v>
      </c>
      <c r="S134" s="51" t="n">
        <v>0</v>
      </c>
      <c r="T134" s="51" t="n">
        <v>5</v>
      </c>
      <c r="U134" s="51" t="n">
        <v>0</v>
      </c>
      <c r="V134" s="51" t="n">
        <v>0</v>
      </c>
      <c r="W134" s="51" t="n">
        <v>0</v>
      </c>
      <c r="X134" s="51" t="n">
        <v>0.649350649350649</v>
      </c>
    </row>
    <row r="135">
      <c r="A135" s="51" t="inlineStr">
        <is>
          <t>Fir wood</t>
        </is>
      </c>
      <c r="B135" s="51" t="n">
        <v>45.81</v>
      </c>
      <c r="C135" s="51" t="n">
        <v>26.78</v>
      </c>
      <c r="D135" s="51" t="n">
        <v>28.24</v>
      </c>
      <c r="E135" s="51" t="n">
        <v>85.5</v>
      </c>
      <c r="F135" s="51" t="n">
        <v>0.3</v>
      </c>
      <c r="G135" s="51" t="n">
        <v>10.5</v>
      </c>
      <c r="H135" s="51" t="n">
        <v>47.2</v>
      </c>
      <c r="I135" s="51" t="n">
        <v>44.8</v>
      </c>
      <c r="J135" s="51" t="n">
        <v>6.1</v>
      </c>
      <c r="K135" s="51" t="n">
        <v>4</v>
      </c>
      <c r="L135" s="51" t="n">
        <v>5</v>
      </c>
      <c r="M135" s="51" t="n">
        <v>0</v>
      </c>
      <c r="N135" s="51" t="n">
        <v>1</v>
      </c>
      <c r="O135" s="51" t="n">
        <v>4</v>
      </c>
      <c r="P135" s="51" t="n">
        <v>480</v>
      </c>
      <c r="Q135" s="51" t="n">
        <v>10</v>
      </c>
      <c r="R135" s="51" t="n">
        <v>1100</v>
      </c>
      <c r="S135" s="51" t="n">
        <v>0</v>
      </c>
      <c r="T135" s="51" t="n">
        <v>5</v>
      </c>
      <c r="U135" s="51" t="n">
        <v>0</v>
      </c>
      <c r="V135" s="51" t="n">
        <v>0</v>
      </c>
      <c r="W135" s="51" t="n">
        <v>0</v>
      </c>
      <c r="X135" s="51" t="n">
        <v>0.62</v>
      </c>
    </row>
    <row r="136">
      <c r="A136" s="51" t="inlineStr">
        <is>
          <t>Fir wood</t>
        </is>
      </c>
      <c r="B136" s="51" t="n">
        <v>45.81</v>
      </c>
      <c r="C136" s="51" t="n">
        <v>26.78</v>
      </c>
      <c r="D136" s="51" t="n">
        <v>28.24</v>
      </c>
      <c r="E136" s="51" t="n">
        <v>85.5</v>
      </c>
      <c r="F136" s="51" t="n">
        <v>0.3</v>
      </c>
      <c r="G136" s="51" t="n">
        <v>10.5</v>
      </c>
      <c r="H136" s="51" t="n">
        <v>47.2</v>
      </c>
      <c r="I136" s="51" t="n">
        <v>44.8</v>
      </c>
      <c r="J136" s="51" t="n">
        <v>6.1</v>
      </c>
      <c r="K136" s="51" t="n">
        <v>4</v>
      </c>
      <c r="L136" s="51" t="n">
        <v>5</v>
      </c>
      <c r="M136" s="51" t="n">
        <v>0</v>
      </c>
      <c r="N136" s="51" t="n">
        <v>1</v>
      </c>
      <c r="O136" s="51" t="n">
        <v>4</v>
      </c>
      <c r="P136" s="51" t="n">
        <v>480</v>
      </c>
      <c r="Q136" s="51" t="n">
        <v>10</v>
      </c>
      <c r="R136" s="51" t="n">
        <v>1300</v>
      </c>
      <c r="S136" s="51" t="n">
        <v>0</v>
      </c>
      <c r="T136" s="51" t="n">
        <v>5</v>
      </c>
      <c r="U136" s="51" t="n">
        <v>0</v>
      </c>
      <c r="V136" s="51" t="n">
        <v>0</v>
      </c>
      <c r="W136" s="51" t="n">
        <v>0</v>
      </c>
      <c r="X136" s="51" t="n">
        <v>0.66</v>
      </c>
    </row>
    <row r="137">
      <c r="A137" s="51" t="inlineStr">
        <is>
          <t>Fir wood</t>
        </is>
      </c>
      <c r="B137" s="51" t="n">
        <v>45.81</v>
      </c>
      <c r="C137" s="51" t="n">
        <v>26.78</v>
      </c>
      <c r="D137" s="51" t="n">
        <v>28.24</v>
      </c>
      <c r="E137" s="51" t="n">
        <v>85.5</v>
      </c>
      <c r="F137" s="51" t="n">
        <v>0.3</v>
      </c>
      <c r="G137" s="51" t="n">
        <v>10.5</v>
      </c>
      <c r="H137" s="51" t="n">
        <v>47.2</v>
      </c>
      <c r="I137" s="51" t="n">
        <v>44.8</v>
      </c>
      <c r="J137" s="51" t="n">
        <v>6.1</v>
      </c>
      <c r="K137" s="51" t="n">
        <v>4</v>
      </c>
      <c r="L137" s="51" t="n">
        <v>5</v>
      </c>
      <c r="M137" s="51" t="n">
        <v>0</v>
      </c>
      <c r="N137" s="51" t="n">
        <v>1</v>
      </c>
      <c r="O137" s="51" t="n">
        <v>4</v>
      </c>
      <c r="P137" s="51" t="n">
        <v>480</v>
      </c>
      <c r="Q137" s="51" t="n">
        <v>10</v>
      </c>
      <c r="R137" s="51" t="n">
        <v>1500</v>
      </c>
      <c r="S137" s="51" t="n">
        <v>0</v>
      </c>
      <c r="T137" s="51" t="n">
        <v>5</v>
      </c>
      <c r="U137" s="51" t="n">
        <v>0</v>
      </c>
      <c r="V137" s="51" t="n">
        <v>0</v>
      </c>
      <c r="W137" s="51" t="n">
        <v>0</v>
      </c>
      <c r="X137" s="51" t="n">
        <v>0.67</v>
      </c>
    </row>
    <row r="138">
      <c r="A138" s="51" t="inlineStr">
        <is>
          <t>Fir wood</t>
        </is>
      </c>
      <c r="B138" s="51" t="n">
        <v>45.81</v>
      </c>
      <c r="C138" s="51" t="n">
        <v>26.78</v>
      </c>
      <c r="D138" s="51" t="n">
        <v>28.24</v>
      </c>
      <c r="E138" s="51" t="n">
        <v>85.5</v>
      </c>
      <c r="F138" s="51" t="n">
        <v>0.3</v>
      </c>
      <c r="G138" s="51" t="n">
        <v>10.5</v>
      </c>
      <c r="H138" s="51" t="n">
        <v>47.2</v>
      </c>
      <c r="I138" s="51" t="n">
        <v>44.8</v>
      </c>
      <c r="J138" s="51" t="n">
        <v>6.1</v>
      </c>
      <c r="K138" s="51" t="n">
        <v>1</v>
      </c>
      <c r="L138" s="51" t="n">
        <v>5</v>
      </c>
      <c r="M138" s="51" t="n">
        <v>1</v>
      </c>
      <c r="N138" s="51" t="n">
        <v>1</v>
      </c>
      <c r="O138" s="51" t="n">
        <v>4</v>
      </c>
      <c r="P138" s="51" t="n">
        <v>60</v>
      </c>
      <c r="Q138" s="51" t="n">
        <v>10</v>
      </c>
      <c r="R138" s="51" t="n">
        <v>800</v>
      </c>
      <c r="S138" s="51" t="n">
        <v>0</v>
      </c>
      <c r="T138" s="51" t="n">
        <v>5</v>
      </c>
      <c r="U138" s="51" t="n">
        <v>300</v>
      </c>
      <c r="V138" s="51" t="n">
        <v>6.25</v>
      </c>
      <c r="W138" s="51" t="n">
        <v>812.5</v>
      </c>
      <c r="X138" s="51" t="n">
        <v>0.55</v>
      </c>
    </row>
    <row r="139">
      <c r="A139" s="51" t="inlineStr">
        <is>
          <t>Fir wood</t>
        </is>
      </c>
      <c r="B139" s="51" t="n">
        <v>45.81</v>
      </c>
      <c r="C139" s="51" t="n">
        <v>26.78</v>
      </c>
      <c r="D139" s="51" t="n">
        <v>28.24</v>
      </c>
      <c r="E139" s="51" t="n">
        <v>85.5</v>
      </c>
      <c r="F139" s="51" t="n">
        <v>0.3</v>
      </c>
      <c r="G139" s="51" t="n">
        <v>10.5</v>
      </c>
      <c r="H139" s="51" t="n">
        <v>47.2</v>
      </c>
      <c r="I139" s="51" t="n">
        <v>44.8</v>
      </c>
      <c r="J139" s="51" t="n">
        <v>6.1</v>
      </c>
      <c r="K139" s="51" t="n">
        <v>1</v>
      </c>
      <c r="L139" s="51" t="n">
        <v>5</v>
      </c>
      <c r="M139" s="51" t="n">
        <v>1</v>
      </c>
      <c r="N139" s="51" t="n">
        <v>1</v>
      </c>
      <c r="O139" s="51" t="n">
        <v>4</v>
      </c>
      <c r="P139" s="51" t="n">
        <v>60</v>
      </c>
      <c r="Q139" s="51" t="n">
        <v>10</v>
      </c>
      <c r="R139" s="51" t="n">
        <v>800</v>
      </c>
      <c r="S139" s="51" t="n">
        <v>1</v>
      </c>
      <c r="T139" s="51" t="n">
        <v>5</v>
      </c>
      <c r="U139" s="51" t="n">
        <v>480</v>
      </c>
      <c r="V139" s="51" t="n">
        <v>10</v>
      </c>
      <c r="W139" s="51" t="n">
        <v>1100</v>
      </c>
      <c r="X139" s="51" t="n">
        <v>0.62</v>
      </c>
    </row>
    <row r="140">
      <c r="A140" s="51" t="inlineStr">
        <is>
          <t>Fir wood</t>
        </is>
      </c>
      <c r="B140" s="51" t="n">
        <v>45.81</v>
      </c>
      <c r="C140" s="51" t="n">
        <v>26.78</v>
      </c>
      <c r="D140" s="51" t="n">
        <v>28.24</v>
      </c>
      <c r="E140" s="51" t="n">
        <v>85.5</v>
      </c>
      <c r="F140" s="51" t="n">
        <v>0.3</v>
      </c>
      <c r="G140" s="51" t="n">
        <v>10.5</v>
      </c>
      <c r="H140" s="51" t="n">
        <v>47.2</v>
      </c>
      <c r="I140" s="51" t="n">
        <v>44.8</v>
      </c>
      <c r="J140" s="51" t="n">
        <v>6.1</v>
      </c>
      <c r="K140" s="51" t="n">
        <v>1</v>
      </c>
      <c r="L140" s="51" t="n">
        <v>5</v>
      </c>
      <c r="M140" s="51" t="n">
        <v>1</v>
      </c>
      <c r="N140" s="51" t="n">
        <v>1</v>
      </c>
      <c r="O140" s="51" t="n">
        <v>4</v>
      </c>
      <c r="P140" s="51" t="n">
        <v>60</v>
      </c>
      <c r="Q140" s="51" t="n">
        <v>10</v>
      </c>
      <c r="R140" s="51" t="n">
        <v>800</v>
      </c>
      <c r="S140" s="51" t="n">
        <v>1</v>
      </c>
      <c r="T140" s="51" t="n">
        <v>5</v>
      </c>
      <c r="U140" s="51" t="n">
        <v>480</v>
      </c>
      <c r="V140" s="51" t="n">
        <v>10</v>
      </c>
      <c r="W140" s="51" t="n">
        <v>1300</v>
      </c>
      <c r="X140" s="51" t="n">
        <v>0.66</v>
      </c>
    </row>
    <row r="141">
      <c r="A141" s="51" t="inlineStr">
        <is>
          <t>Fir wood</t>
        </is>
      </c>
      <c r="B141" s="51" t="n">
        <v>45.81</v>
      </c>
      <c r="C141" s="51" t="n">
        <v>26.78</v>
      </c>
      <c r="D141" s="51" t="n">
        <v>28.24</v>
      </c>
      <c r="E141" s="51" t="n">
        <v>85.5</v>
      </c>
      <c r="F141" s="51" t="n">
        <v>0.3</v>
      </c>
      <c r="G141" s="51" t="n">
        <v>10.5</v>
      </c>
      <c r="H141" s="51" t="n">
        <v>47.2</v>
      </c>
      <c r="I141" s="51" t="n">
        <v>44.8</v>
      </c>
      <c r="J141" s="51" t="n">
        <v>6.1</v>
      </c>
      <c r="K141" s="51" t="n">
        <v>1</v>
      </c>
      <c r="L141" s="51" t="n">
        <v>5</v>
      </c>
      <c r="M141" s="51" t="n">
        <v>1</v>
      </c>
      <c r="N141" s="51" t="n">
        <v>1</v>
      </c>
      <c r="O141" s="51" t="n">
        <v>4</v>
      </c>
      <c r="P141" s="51" t="n">
        <v>60</v>
      </c>
      <c r="Q141" s="51" t="n">
        <v>10</v>
      </c>
      <c r="R141" s="51" t="n">
        <v>800</v>
      </c>
      <c r="S141" s="51" t="n">
        <v>1</v>
      </c>
      <c r="T141" s="51" t="n">
        <v>5</v>
      </c>
      <c r="U141" s="51" t="n">
        <v>480</v>
      </c>
      <c r="V141" s="51" t="n">
        <v>10</v>
      </c>
      <c r="W141" s="51" t="n">
        <v>1500</v>
      </c>
      <c r="X141" s="51" t="n">
        <v>0.67</v>
      </c>
    </row>
    <row r="142">
      <c r="A142" s="51" t="inlineStr">
        <is>
          <t>Fir wood</t>
        </is>
      </c>
      <c r="B142" s="51" t="n">
        <v>45.81</v>
      </c>
      <c r="C142" s="51" t="n">
        <v>26.78</v>
      </c>
      <c r="D142" s="51" t="n">
        <v>28.24</v>
      </c>
      <c r="E142" s="51" t="n">
        <v>85.5</v>
      </c>
      <c r="F142" s="51" t="n">
        <v>0.3</v>
      </c>
      <c r="G142" s="51" t="n">
        <v>10.5</v>
      </c>
      <c r="H142" s="51" t="n">
        <v>47.2</v>
      </c>
      <c r="I142" s="51" t="n">
        <v>44.8</v>
      </c>
      <c r="J142" s="51" t="n">
        <v>6.1</v>
      </c>
      <c r="K142" s="51" t="n">
        <v>1</v>
      </c>
      <c r="L142" s="51" t="n">
        <v>5</v>
      </c>
      <c r="M142" s="51" t="n">
        <v>1</v>
      </c>
      <c r="N142" s="51" t="n">
        <v>1</v>
      </c>
      <c r="O142" s="51" t="n">
        <v>4</v>
      </c>
      <c r="P142" s="51" t="n">
        <v>60</v>
      </c>
      <c r="Q142" s="51" t="n">
        <v>10</v>
      </c>
      <c r="R142" s="51" t="n">
        <v>800</v>
      </c>
      <c r="S142" s="51" t="n">
        <v>1</v>
      </c>
      <c r="T142" s="51" t="n">
        <v>5</v>
      </c>
      <c r="U142" s="51" t="n">
        <v>480</v>
      </c>
      <c r="V142" s="51" t="n">
        <v>10</v>
      </c>
      <c r="W142" s="51" t="n">
        <v>1300</v>
      </c>
      <c r="X142" s="51" t="n">
        <v>0.63</v>
      </c>
    </row>
    <row r="143">
      <c r="A143" s="51" t="inlineStr">
        <is>
          <t>Ginkgo leave</t>
        </is>
      </c>
      <c r="B143" s="51" t="n">
        <v>44.9614795612291</v>
      </c>
      <c r="C143" s="51" t="n">
        <v>14.5156561431397</v>
      </c>
      <c r="D143" s="51" t="n">
        <v>35.2184623877525</v>
      </c>
      <c r="E143" s="51" t="n">
        <v>68.59999999999999</v>
      </c>
      <c r="F143" s="51" t="n">
        <v>7.8</v>
      </c>
      <c r="G143" s="51" t="n">
        <v>23.5</v>
      </c>
      <c r="H143" s="51" t="n">
        <v>45.8</v>
      </c>
      <c r="I143" s="51" t="n">
        <v>46.3</v>
      </c>
      <c r="J143" s="51" t="n">
        <v>5.9</v>
      </c>
      <c r="K143" s="51" t="n">
        <v>4</v>
      </c>
      <c r="L143" s="51" t="n">
        <v>1</v>
      </c>
      <c r="M143" s="51" t="n">
        <v>0</v>
      </c>
      <c r="N143" s="51" t="n">
        <v>1</v>
      </c>
      <c r="O143" s="51" t="n">
        <v>4</v>
      </c>
      <c r="P143" s="51" t="n">
        <v>120</v>
      </c>
      <c r="Q143" s="51" t="n">
        <v>5</v>
      </c>
      <c r="R143" s="51" t="n">
        <v>600</v>
      </c>
      <c r="S143" s="51" t="n">
        <v>0</v>
      </c>
      <c r="T143" s="51" t="n">
        <v>5</v>
      </c>
      <c r="U143" s="51" t="n">
        <v>0</v>
      </c>
      <c r="V143" s="51" t="n">
        <v>0</v>
      </c>
      <c r="W143" s="51" t="n">
        <v>0</v>
      </c>
      <c r="X143" s="51" t="n">
        <v>0.38</v>
      </c>
    </row>
    <row r="144">
      <c r="A144" s="51" t="inlineStr">
        <is>
          <t>Ginkgo leave</t>
        </is>
      </c>
      <c r="B144" s="51" t="n">
        <v>44.9614795612291</v>
      </c>
      <c r="C144" s="51" t="n">
        <v>14.5156561431397</v>
      </c>
      <c r="D144" s="51" t="n">
        <v>35.2184623877525</v>
      </c>
      <c r="E144" s="51" t="n">
        <v>68.59999999999999</v>
      </c>
      <c r="F144" s="51" t="n">
        <v>7.8</v>
      </c>
      <c r="G144" s="51" t="n">
        <v>23.5</v>
      </c>
      <c r="H144" s="51" t="n">
        <v>45.8</v>
      </c>
      <c r="I144" s="51" t="n">
        <v>46.3</v>
      </c>
      <c r="J144" s="51" t="n">
        <v>5.9</v>
      </c>
      <c r="K144" s="51" t="n">
        <v>4</v>
      </c>
      <c r="L144" s="51" t="n">
        <v>1</v>
      </c>
      <c r="M144" s="51" t="n">
        <v>0</v>
      </c>
      <c r="N144" s="51" t="n">
        <v>1</v>
      </c>
      <c r="O144" s="51" t="n">
        <v>4</v>
      </c>
      <c r="P144" s="51" t="n">
        <v>120</v>
      </c>
      <c r="Q144" s="51" t="n">
        <v>5</v>
      </c>
      <c r="R144" s="51" t="n">
        <v>800</v>
      </c>
      <c r="S144" s="51" t="n">
        <v>0</v>
      </c>
      <c r="T144" s="51" t="n">
        <v>5</v>
      </c>
      <c r="U144" s="51" t="n">
        <v>0</v>
      </c>
      <c r="V144" s="51" t="n">
        <v>0</v>
      </c>
      <c r="W144" s="51" t="n">
        <v>0</v>
      </c>
      <c r="X144" s="51" t="n">
        <v>0.4</v>
      </c>
    </row>
    <row r="145">
      <c r="A145" s="51" t="inlineStr">
        <is>
          <t>Ginkgo leave</t>
        </is>
      </c>
      <c r="B145" s="51" t="n">
        <v>44.9614795612291</v>
      </c>
      <c r="C145" s="51" t="n">
        <v>14.5156561431397</v>
      </c>
      <c r="D145" s="51" t="n">
        <v>35.2184623877525</v>
      </c>
      <c r="E145" s="51" t="n">
        <v>68.59999999999999</v>
      </c>
      <c r="F145" s="51" t="n">
        <v>7.8</v>
      </c>
      <c r="G145" s="51" t="n">
        <v>23.5</v>
      </c>
      <c r="H145" s="51" t="n">
        <v>45.8</v>
      </c>
      <c r="I145" s="51" t="n">
        <v>46.3</v>
      </c>
      <c r="J145" s="51" t="n">
        <v>5.9</v>
      </c>
      <c r="K145" s="51" t="n">
        <v>4</v>
      </c>
      <c r="L145" s="51" t="n">
        <v>1</v>
      </c>
      <c r="M145" s="51" t="n">
        <v>0</v>
      </c>
      <c r="N145" s="51" t="n">
        <v>1</v>
      </c>
      <c r="O145" s="51" t="n">
        <v>4</v>
      </c>
      <c r="P145" s="51" t="n">
        <v>120</v>
      </c>
      <c r="Q145" s="51" t="n">
        <v>5</v>
      </c>
      <c r="R145" s="51" t="n">
        <v>1000</v>
      </c>
      <c r="S145" s="51" t="n">
        <v>0</v>
      </c>
      <c r="T145" s="51" t="n">
        <v>5</v>
      </c>
      <c r="U145" s="51" t="n">
        <v>0</v>
      </c>
      <c r="V145" s="51" t="n">
        <v>0</v>
      </c>
      <c r="W145" s="51" t="n">
        <v>0</v>
      </c>
      <c r="X145" s="51" t="n">
        <v>0.45</v>
      </c>
    </row>
    <row r="146">
      <c r="A146" s="51" t="inlineStr">
        <is>
          <t>Ginkgo leave</t>
        </is>
      </c>
      <c r="B146" s="51" t="n">
        <v>44.9614795612291</v>
      </c>
      <c r="C146" s="51" t="n">
        <v>14.5156561431397</v>
      </c>
      <c r="D146" s="51" t="n">
        <v>35.2184623877525</v>
      </c>
      <c r="E146" s="51" t="n">
        <v>68.59999999999999</v>
      </c>
      <c r="F146" s="51" t="n">
        <v>7.8</v>
      </c>
      <c r="G146" s="51" t="n">
        <v>23.5</v>
      </c>
      <c r="H146" s="51" t="n">
        <v>45.8</v>
      </c>
      <c r="I146" s="51" t="n">
        <v>46.3</v>
      </c>
      <c r="J146" s="51" t="n">
        <v>5.9</v>
      </c>
      <c r="K146" s="51" t="n">
        <v>4</v>
      </c>
      <c r="L146" s="51" t="n">
        <v>1</v>
      </c>
      <c r="M146" s="51" t="n">
        <v>0</v>
      </c>
      <c r="N146" s="51" t="n">
        <v>1</v>
      </c>
      <c r="O146" s="51" t="n">
        <v>4</v>
      </c>
      <c r="P146" s="51" t="n">
        <v>120</v>
      </c>
      <c r="Q146" s="51" t="n">
        <v>5</v>
      </c>
      <c r="R146" s="51" t="n">
        <v>1200</v>
      </c>
      <c r="S146" s="51" t="n">
        <v>0</v>
      </c>
      <c r="T146" s="51" t="n">
        <v>5</v>
      </c>
      <c r="U146" s="51" t="n">
        <v>0</v>
      </c>
      <c r="V146" s="51" t="n">
        <v>0</v>
      </c>
      <c r="W146" s="51" t="n">
        <v>0</v>
      </c>
      <c r="X146" s="51" t="n">
        <v>0.48</v>
      </c>
    </row>
    <row r="147">
      <c r="A147" s="51" t="inlineStr">
        <is>
          <t>Ginkgo leave</t>
        </is>
      </c>
      <c r="B147" s="51" t="n">
        <v>44.9614795612291</v>
      </c>
      <c r="C147" s="51" t="n">
        <v>14.5156561431397</v>
      </c>
      <c r="D147" s="51" t="n">
        <v>35.2184623877525</v>
      </c>
      <c r="E147" s="51" t="n">
        <v>68.59999999999999</v>
      </c>
      <c r="F147" s="51" t="n">
        <v>7.8</v>
      </c>
      <c r="G147" s="51" t="n">
        <v>23.5</v>
      </c>
      <c r="H147" s="51" t="n">
        <v>45.8</v>
      </c>
      <c r="I147" s="51" t="n">
        <v>46.3</v>
      </c>
      <c r="J147" s="51" t="n">
        <v>5.9</v>
      </c>
      <c r="K147" s="51" t="n">
        <v>4</v>
      </c>
      <c r="L147" s="51" t="n">
        <v>1</v>
      </c>
      <c r="M147" s="51" t="n">
        <v>0</v>
      </c>
      <c r="N147" s="51" t="n">
        <v>1</v>
      </c>
      <c r="O147" s="51" t="n">
        <v>4</v>
      </c>
      <c r="P147" s="51" t="n">
        <v>120</v>
      </c>
      <c r="Q147" s="51" t="n">
        <v>5</v>
      </c>
      <c r="R147" s="51" t="n">
        <v>1300</v>
      </c>
      <c r="S147" s="51" t="n">
        <v>0</v>
      </c>
      <c r="T147" s="51" t="n">
        <v>5</v>
      </c>
      <c r="U147" s="51" t="n">
        <v>0</v>
      </c>
      <c r="V147" s="51" t="n">
        <v>0</v>
      </c>
      <c r="W147" s="51" t="n">
        <v>0</v>
      </c>
      <c r="X147" s="51" t="n">
        <v>0.59</v>
      </c>
    </row>
    <row r="148">
      <c r="A148" s="51" t="inlineStr">
        <is>
          <t>Ginkgo leave</t>
        </is>
      </c>
      <c r="B148" s="51" t="n">
        <v>44.9614795612291</v>
      </c>
      <c r="C148" s="51" t="n">
        <v>14.5156561431397</v>
      </c>
      <c r="D148" s="51" t="n">
        <v>35.2184623877525</v>
      </c>
      <c r="E148" s="51" t="n">
        <v>68.59999999999999</v>
      </c>
      <c r="F148" s="51" t="n">
        <v>7.8</v>
      </c>
      <c r="G148" s="51" t="n">
        <v>23.5</v>
      </c>
      <c r="H148" s="51" t="n">
        <v>45.8</v>
      </c>
      <c r="I148" s="51" t="n">
        <v>46.3</v>
      </c>
      <c r="J148" s="51" t="n">
        <v>5.9</v>
      </c>
      <c r="K148" s="51" t="n">
        <v>4</v>
      </c>
      <c r="L148" s="51" t="n">
        <v>1</v>
      </c>
      <c r="M148" s="51" t="n">
        <v>0</v>
      </c>
      <c r="N148" s="51" t="n">
        <v>1</v>
      </c>
      <c r="O148" s="51" t="n">
        <v>4</v>
      </c>
      <c r="P148" s="51" t="n">
        <v>120</v>
      </c>
      <c r="Q148" s="51" t="n">
        <v>5</v>
      </c>
      <c r="R148" s="51" t="n">
        <v>1400</v>
      </c>
      <c r="S148" s="51" t="n">
        <v>0</v>
      </c>
      <c r="T148" s="51" t="n">
        <v>5</v>
      </c>
      <c r="U148" s="51" t="n">
        <v>0</v>
      </c>
      <c r="V148" s="51" t="n">
        <v>0</v>
      </c>
      <c r="W148" s="51" t="n">
        <v>0</v>
      </c>
      <c r="X148" s="51" t="n">
        <v>0.64</v>
      </c>
    </row>
    <row r="149">
      <c r="A149" s="51" t="inlineStr">
        <is>
          <t>Ginkgo leave</t>
        </is>
      </c>
      <c r="B149" s="51" t="n">
        <v>44.9614795612291</v>
      </c>
      <c r="C149" s="51" t="n">
        <v>14.5156561431397</v>
      </c>
      <c r="D149" s="51" t="n">
        <v>35.2184623877525</v>
      </c>
      <c r="E149" s="51" t="n">
        <v>68.59999999999999</v>
      </c>
      <c r="F149" s="51" t="n">
        <v>7.8</v>
      </c>
      <c r="G149" s="51" t="n">
        <v>23.5</v>
      </c>
      <c r="H149" s="51" t="n">
        <v>45.8</v>
      </c>
      <c r="I149" s="51" t="n">
        <v>46.3</v>
      </c>
      <c r="J149" s="51" t="n">
        <v>5.9</v>
      </c>
      <c r="K149" s="51" t="n">
        <v>4</v>
      </c>
      <c r="L149" s="51" t="n">
        <v>1</v>
      </c>
      <c r="M149" s="51" t="n">
        <v>0</v>
      </c>
      <c r="N149" s="51" t="n">
        <v>1</v>
      </c>
      <c r="O149" s="51" t="n">
        <v>4</v>
      </c>
      <c r="P149" s="51" t="n">
        <v>120</v>
      </c>
      <c r="Q149" s="51" t="n">
        <v>5</v>
      </c>
      <c r="R149" s="51" t="n">
        <v>1500</v>
      </c>
      <c r="S149" s="51" t="n">
        <v>0</v>
      </c>
      <c r="T149" s="51" t="n">
        <v>5</v>
      </c>
      <c r="U149" s="51" t="n">
        <v>0</v>
      </c>
      <c r="V149" s="51" t="n">
        <v>0</v>
      </c>
      <c r="W149" s="51" t="n">
        <v>0</v>
      </c>
      <c r="X149" s="51" t="n">
        <v>0.65</v>
      </c>
    </row>
    <row r="150">
      <c r="A150" s="51" t="inlineStr">
        <is>
          <t>Ginkgo leave</t>
        </is>
      </c>
      <c r="B150" s="51" t="n">
        <v>44.9614795612291</v>
      </c>
      <c r="C150" s="51" t="n">
        <v>14.5156561431397</v>
      </c>
      <c r="D150" s="51" t="n">
        <v>35.2184623877525</v>
      </c>
      <c r="E150" s="51" t="n">
        <v>68.59999999999999</v>
      </c>
      <c r="F150" s="51" t="n">
        <v>7.8</v>
      </c>
      <c r="G150" s="51" t="n">
        <v>23.5</v>
      </c>
      <c r="H150" s="51" t="n">
        <v>45.8</v>
      </c>
      <c r="I150" s="51" t="n">
        <v>46.3</v>
      </c>
      <c r="J150" s="51" t="n">
        <v>5.9</v>
      </c>
      <c r="K150" s="51" t="n">
        <v>4</v>
      </c>
      <c r="L150" s="51" t="n">
        <v>1</v>
      </c>
      <c r="M150" s="51" t="n">
        <v>0</v>
      </c>
      <c r="N150" s="51" t="n">
        <v>1</v>
      </c>
      <c r="O150" s="51" t="n">
        <v>4</v>
      </c>
      <c r="P150" s="51" t="n">
        <v>120</v>
      </c>
      <c r="Q150" s="51" t="n">
        <v>5</v>
      </c>
      <c r="R150" s="51" t="n">
        <v>1700</v>
      </c>
      <c r="S150" s="51" t="n">
        <v>0</v>
      </c>
      <c r="T150" s="51" t="n">
        <v>5</v>
      </c>
      <c r="U150" s="51" t="n">
        <v>0</v>
      </c>
      <c r="V150" s="51" t="n">
        <v>0</v>
      </c>
      <c r="W150" s="51" t="n">
        <v>0</v>
      </c>
      <c r="X150" s="51" t="n">
        <v>0.76</v>
      </c>
    </row>
    <row r="151">
      <c r="A151" s="51" t="inlineStr">
        <is>
          <t>Ginkgo leave</t>
        </is>
      </c>
      <c r="B151" s="51" t="n">
        <v>44.9614795612291</v>
      </c>
      <c r="C151" s="51" t="n">
        <v>14.5156561431397</v>
      </c>
      <c r="D151" s="51" t="n">
        <v>35.2184623877525</v>
      </c>
      <c r="E151" s="51" t="n">
        <v>68.59999999999999</v>
      </c>
      <c r="F151" s="51" t="n">
        <v>7.8</v>
      </c>
      <c r="G151" s="51" t="n">
        <v>23.5</v>
      </c>
      <c r="H151" s="51" t="n">
        <v>45.8</v>
      </c>
      <c r="I151" s="51" t="n">
        <v>46.3</v>
      </c>
      <c r="J151" s="51" t="n">
        <v>5.9</v>
      </c>
      <c r="K151" s="51" t="n">
        <v>4</v>
      </c>
      <c r="L151" s="51" t="n">
        <v>1</v>
      </c>
      <c r="M151" s="51" t="n">
        <v>0</v>
      </c>
      <c r="N151" s="51" t="n">
        <v>1</v>
      </c>
      <c r="O151" s="51" t="n">
        <v>4</v>
      </c>
      <c r="P151" s="51" t="n">
        <v>120</v>
      </c>
      <c r="Q151" s="51" t="n">
        <v>5</v>
      </c>
      <c r="R151" s="51" t="n">
        <v>2000</v>
      </c>
      <c r="S151" s="51" t="n">
        <v>0</v>
      </c>
      <c r="T151" s="51" t="n">
        <v>5</v>
      </c>
      <c r="U151" s="51" t="n">
        <v>0</v>
      </c>
      <c r="V151" s="51" t="n">
        <v>0</v>
      </c>
      <c r="W151" s="51" t="n">
        <v>0</v>
      </c>
      <c r="X151" s="51" t="n">
        <v>1.87</v>
      </c>
    </row>
    <row r="152">
      <c r="A152" s="51" t="inlineStr">
        <is>
          <t>Ginkgo leave</t>
        </is>
      </c>
      <c r="B152" s="51" t="n">
        <v>44.9614795612291</v>
      </c>
      <c r="C152" s="51" t="n">
        <v>14.5156561431397</v>
      </c>
      <c r="D152" s="51" t="n">
        <v>35.2184623877525</v>
      </c>
      <c r="E152" s="51" t="n">
        <v>68.59999999999999</v>
      </c>
      <c r="F152" s="51" t="n">
        <v>7.8</v>
      </c>
      <c r="G152" s="51" t="n">
        <v>23.5</v>
      </c>
      <c r="H152" s="51" t="n">
        <v>45.8</v>
      </c>
      <c r="I152" s="51" t="n">
        <v>46.3</v>
      </c>
      <c r="J152" s="51" t="n">
        <v>5.9</v>
      </c>
      <c r="K152" s="51" t="n">
        <v>4</v>
      </c>
      <c r="L152" s="51" t="n">
        <v>1</v>
      </c>
      <c r="M152" s="51" t="n">
        <v>0</v>
      </c>
      <c r="N152" s="51" t="n">
        <v>1</v>
      </c>
      <c r="O152" s="51" t="n">
        <v>4</v>
      </c>
      <c r="P152" s="51" t="n">
        <v>120</v>
      </c>
      <c r="Q152" s="51" t="n">
        <v>5</v>
      </c>
      <c r="R152" s="51" t="n">
        <v>2500</v>
      </c>
      <c r="S152" s="51" t="n">
        <v>0</v>
      </c>
      <c r="T152" s="51" t="n">
        <v>5</v>
      </c>
      <c r="U152" s="51" t="n">
        <v>0</v>
      </c>
      <c r="V152" s="51" t="n">
        <v>0</v>
      </c>
      <c r="W152" s="51" t="n">
        <v>0</v>
      </c>
      <c r="X152" s="51" t="n">
        <v>9.19</v>
      </c>
    </row>
    <row r="153">
      <c r="A153" s="51" t="inlineStr">
        <is>
          <t>Gourd shell</t>
        </is>
      </c>
      <c r="B153" s="51" t="n">
        <v>63.4</v>
      </c>
      <c r="C153" s="51" t="n">
        <v>15.3</v>
      </c>
      <c r="D153" s="51" t="n">
        <v>14.7</v>
      </c>
      <c r="E153" s="51" t="n">
        <v>79.72003083447279</v>
      </c>
      <c r="F153" s="51" t="n">
        <v>3.37115466657483</v>
      </c>
      <c r="G153" s="51" t="n">
        <v>13.3610767925594</v>
      </c>
      <c r="H153" s="51" t="n">
        <v>46.3435375432814</v>
      </c>
      <c r="I153" s="51" t="n">
        <v>46.0032834589402</v>
      </c>
      <c r="J153" s="51" t="n">
        <v>6.042869051375</v>
      </c>
      <c r="K153" s="51" t="n">
        <v>4</v>
      </c>
      <c r="L153" s="51" t="n">
        <v>1</v>
      </c>
      <c r="M153" s="51" t="n">
        <v>1</v>
      </c>
      <c r="N153" s="51" t="n">
        <v>1</v>
      </c>
      <c r="O153" s="51" t="n">
        <v>4</v>
      </c>
      <c r="P153" s="51" t="n">
        <v>1</v>
      </c>
      <c r="Q153" s="51" t="n">
        <v>10</v>
      </c>
      <c r="R153" s="51" t="n">
        <v>1000</v>
      </c>
      <c r="S153" s="51" t="n">
        <v>1</v>
      </c>
      <c r="T153" s="51" t="n">
        <v>5</v>
      </c>
      <c r="U153" s="51" t="n">
        <v>180</v>
      </c>
      <c r="V153" s="51" t="n">
        <v>5</v>
      </c>
      <c r="W153" s="51" t="n">
        <v>1200</v>
      </c>
      <c r="X153" s="51" t="n">
        <v>0.526315789473684</v>
      </c>
    </row>
    <row r="154">
      <c r="A154" s="51" t="inlineStr">
        <is>
          <t>Gourd shell</t>
        </is>
      </c>
      <c r="B154" s="51" t="n">
        <v>63.4</v>
      </c>
      <c r="C154" s="51" t="n">
        <v>15.3</v>
      </c>
      <c r="D154" s="51" t="n">
        <v>14.7</v>
      </c>
      <c r="E154" s="51" t="n">
        <v>79.72003083691111</v>
      </c>
      <c r="F154" s="51" t="n">
        <v>3.37115466567164</v>
      </c>
      <c r="G154" s="51" t="n">
        <v>13.3610767911527</v>
      </c>
      <c r="H154" s="51" t="n">
        <v>46.3653239786565</v>
      </c>
      <c r="I154" s="51" t="n">
        <v>45.9726791707685</v>
      </c>
      <c r="J154" s="51" t="n">
        <v>6.04439771038244</v>
      </c>
      <c r="K154" s="51" t="n">
        <v>4</v>
      </c>
      <c r="L154" s="51" t="n">
        <v>1</v>
      </c>
      <c r="M154" s="51" t="n">
        <v>1</v>
      </c>
      <c r="N154" s="51" t="n">
        <v>1</v>
      </c>
      <c r="O154" s="51" t="n">
        <v>4</v>
      </c>
      <c r="P154" s="51" t="n">
        <v>1</v>
      </c>
      <c r="Q154" s="51" t="n">
        <v>10</v>
      </c>
      <c r="R154" s="51" t="n">
        <v>1000</v>
      </c>
      <c r="S154" s="51" t="n">
        <v>1</v>
      </c>
      <c r="T154" s="51" t="n">
        <v>5</v>
      </c>
      <c r="U154" s="51" t="n">
        <v>180</v>
      </c>
      <c r="V154" s="51" t="n">
        <v>5</v>
      </c>
      <c r="W154" s="51" t="n">
        <v>1400</v>
      </c>
      <c r="X154" s="51" t="n">
        <v>0.555555555555556</v>
      </c>
    </row>
    <row r="155">
      <c r="A155" s="51" t="inlineStr">
        <is>
          <t>Gourd shell</t>
        </is>
      </c>
      <c r="B155" s="51" t="n">
        <v>63.4</v>
      </c>
      <c r="C155" s="51" t="n">
        <v>15.3</v>
      </c>
      <c r="D155" s="51" t="n">
        <v>14.7</v>
      </c>
      <c r="E155" s="51" t="n">
        <v>79.72003083934941</v>
      </c>
      <c r="F155" s="51" t="n">
        <v>3.37115466476845</v>
      </c>
      <c r="G155" s="51" t="n">
        <v>13.361076789746</v>
      </c>
      <c r="H155" s="51" t="n">
        <v>46.3653239790381</v>
      </c>
      <c r="I155" s="51" t="n">
        <v>45.9726791702317</v>
      </c>
      <c r="J155" s="51" t="n">
        <v>6.04439771039796</v>
      </c>
      <c r="K155" s="51" t="n">
        <v>4</v>
      </c>
      <c r="L155" s="51" t="n">
        <v>1</v>
      </c>
      <c r="M155" s="51" t="n">
        <v>1</v>
      </c>
      <c r="N155" s="51" t="n">
        <v>1</v>
      </c>
      <c r="O155" s="51" t="n">
        <v>4</v>
      </c>
      <c r="P155" s="51" t="n">
        <v>1</v>
      </c>
      <c r="Q155" s="51" t="n">
        <v>10</v>
      </c>
      <c r="R155" s="51" t="n">
        <v>1000</v>
      </c>
      <c r="S155" s="51" t="n">
        <v>1</v>
      </c>
      <c r="T155" s="51" t="n">
        <v>5</v>
      </c>
      <c r="U155" s="51" t="n">
        <v>180</v>
      </c>
      <c r="V155" s="51" t="n">
        <v>5</v>
      </c>
      <c r="W155" s="51" t="n">
        <v>1600</v>
      </c>
      <c r="X155" s="51" t="n">
        <v>0.574712643678161</v>
      </c>
    </row>
    <row r="156">
      <c r="A156" s="51" t="inlineStr">
        <is>
          <t>Grape waste</t>
        </is>
      </c>
      <c r="B156" s="51" t="n">
        <v>25.3</v>
      </c>
      <c r="C156" s="51" t="n">
        <v>13.95</v>
      </c>
      <c r="D156" s="51" t="n">
        <v>47.3</v>
      </c>
      <c r="E156" s="51" t="n">
        <v>64.3</v>
      </c>
      <c r="F156" s="51" t="n">
        <v>4.1</v>
      </c>
      <c r="G156" s="51" t="n">
        <v>23.3</v>
      </c>
      <c r="H156" s="51" t="n">
        <v>48.6</v>
      </c>
      <c r="I156" s="51" t="n">
        <v>33.2</v>
      </c>
      <c r="J156" s="51" t="n">
        <v>7</v>
      </c>
      <c r="K156" s="51" t="n">
        <v>4</v>
      </c>
      <c r="L156" s="51" t="n">
        <v>5</v>
      </c>
      <c r="M156" s="51" t="n">
        <v>0</v>
      </c>
      <c r="N156" s="51" t="n">
        <v>1</v>
      </c>
      <c r="O156" s="51" t="n">
        <v>4</v>
      </c>
      <c r="P156" s="51" t="n">
        <v>60</v>
      </c>
      <c r="Q156" s="51" t="n">
        <v>5</v>
      </c>
      <c r="R156" s="51" t="n">
        <v>1300</v>
      </c>
      <c r="S156" s="51" t="n">
        <v>0</v>
      </c>
      <c r="T156" s="51" t="n">
        <v>5</v>
      </c>
      <c r="U156" s="51" t="n">
        <v>0</v>
      </c>
      <c r="V156" s="51" t="n">
        <v>0</v>
      </c>
      <c r="W156" s="51" t="n">
        <v>0</v>
      </c>
      <c r="X156" s="51" t="n">
        <v>0.4</v>
      </c>
    </row>
    <row r="157">
      <c r="A157" s="51" t="inlineStr">
        <is>
          <t>Grape waste</t>
        </is>
      </c>
      <c r="B157" s="51" t="n">
        <v>25.3</v>
      </c>
      <c r="C157" s="51" t="n">
        <v>13.95</v>
      </c>
      <c r="D157" s="51" t="n">
        <v>47.3</v>
      </c>
      <c r="E157" s="51" t="n">
        <v>64.3</v>
      </c>
      <c r="F157" s="51" t="n">
        <v>4.1</v>
      </c>
      <c r="G157" s="51" t="n">
        <v>23.3</v>
      </c>
      <c r="H157" s="51" t="n">
        <v>48.6</v>
      </c>
      <c r="I157" s="51" t="n">
        <v>33.2</v>
      </c>
      <c r="J157" s="51" t="n">
        <v>7</v>
      </c>
      <c r="K157" s="51" t="n">
        <v>1</v>
      </c>
      <c r="L157" s="51" t="n">
        <v>5</v>
      </c>
      <c r="M157" s="51" t="n">
        <v>0</v>
      </c>
      <c r="N157" s="51" t="n">
        <v>1</v>
      </c>
      <c r="O157" s="51" t="n">
        <v>4</v>
      </c>
      <c r="P157" s="51" t="n">
        <v>60</v>
      </c>
      <c r="Q157" s="51" t="n">
        <v>5</v>
      </c>
      <c r="R157" s="51" t="n">
        <v>1300</v>
      </c>
      <c r="S157" s="51" t="n">
        <v>0</v>
      </c>
      <c r="T157" s="51" t="n">
        <v>5</v>
      </c>
      <c r="U157" s="51" t="n">
        <v>0</v>
      </c>
      <c r="V157" s="51" t="n">
        <v>0</v>
      </c>
      <c r="W157" s="51" t="n">
        <v>0</v>
      </c>
      <c r="X157" s="51" t="n">
        <v>0.454545454545455</v>
      </c>
    </row>
    <row r="158">
      <c r="A158" s="51" t="inlineStr">
        <is>
          <t>Hemp hurd</t>
        </is>
      </c>
      <c r="B158" s="51" t="n">
        <v>32</v>
      </c>
      <c r="C158" s="51" t="n">
        <v>38.1</v>
      </c>
      <c r="D158" s="51" t="n">
        <v>23.8</v>
      </c>
      <c r="E158" s="51" t="n">
        <v>81.3</v>
      </c>
      <c r="F158" s="51" t="n">
        <v>3</v>
      </c>
      <c r="G158" s="51" t="n">
        <v>15.7</v>
      </c>
      <c r="H158" s="51" t="n">
        <v>46.3</v>
      </c>
      <c r="I158" s="51" t="n">
        <v>44.5</v>
      </c>
      <c r="J158" s="51" t="n">
        <v>5.7</v>
      </c>
      <c r="K158" s="51" t="n">
        <v>4</v>
      </c>
      <c r="L158" s="51" t="n">
        <v>1</v>
      </c>
      <c r="M158" s="51" t="n">
        <v>1</v>
      </c>
      <c r="N158" s="51" t="n">
        <v>1</v>
      </c>
      <c r="O158" s="51" t="n">
        <v>4</v>
      </c>
      <c r="P158" s="51" t="n">
        <v>720</v>
      </c>
      <c r="Q158" s="51" t="n">
        <v>5</v>
      </c>
      <c r="R158" s="51" t="n">
        <v>500</v>
      </c>
      <c r="S158" s="51" t="n">
        <v>1</v>
      </c>
      <c r="T158" s="51" t="n">
        <v>1</v>
      </c>
      <c r="U158" s="51" t="n">
        <v>60</v>
      </c>
      <c r="V158" s="51" t="n">
        <v>1</v>
      </c>
      <c r="W158" s="51" t="n">
        <v>700</v>
      </c>
      <c r="X158" s="51" t="n">
        <v>0.36101083032491</v>
      </c>
    </row>
    <row r="159">
      <c r="A159" s="51" t="inlineStr">
        <is>
          <t>Hemp hurd</t>
        </is>
      </c>
      <c r="B159" s="51" t="n">
        <v>32</v>
      </c>
      <c r="C159" s="51" t="n">
        <v>38.1</v>
      </c>
      <c r="D159" s="51" t="n">
        <v>23.8</v>
      </c>
      <c r="E159" s="51" t="n">
        <v>81.3</v>
      </c>
      <c r="F159" s="51" t="n">
        <v>3</v>
      </c>
      <c r="G159" s="51" t="n">
        <v>15.7</v>
      </c>
      <c r="H159" s="51" t="n">
        <v>46.3</v>
      </c>
      <c r="I159" s="51" t="n">
        <v>44.5</v>
      </c>
      <c r="J159" s="51" t="n">
        <v>5.7</v>
      </c>
      <c r="K159" s="51" t="n">
        <v>4</v>
      </c>
      <c r="L159" s="51" t="n">
        <v>1</v>
      </c>
      <c r="M159" s="51" t="n">
        <v>1</v>
      </c>
      <c r="N159" s="51" t="n">
        <v>1</v>
      </c>
      <c r="O159" s="51" t="n">
        <v>4</v>
      </c>
      <c r="P159" s="51" t="n">
        <v>720</v>
      </c>
      <c r="Q159" s="51" t="n">
        <v>5</v>
      </c>
      <c r="R159" s="51" t="n">
        <v>500</v>
      </c>
      <c r="S159" s="51" t="n">
        <v>1</v>
      </c>
      <c r="T159" s="51" t="n">
        <v>1</v>
      </c>
      <c r="U159" s="51" t="n">
        <v>60</v>
      </c>
      <c r="V159" s="51" t="n">
        <v>1</v>
      </c>
      <c r="W159" s="51" t="n">
        <v>700</v>
      </c>
      <c r="X159" s="51" t="n">
        <v>0.249376558603491</v>
      </c>
    </row>
    <row r="160">
      <c r="A160" s="51" t="inlineStr">
        <is>
          <t>Hemp hurd</t>
        </is>
      </c>
      <c r="B160" s="51" t="n">
        <v>32</v>
      </c>
      <c r="C160" s="51" t="n">
        <v>38.1</v>
      </c>
      <c r="D160" s="51" t="n">
        <v>23.8</v>
      </c>
      <c r="E160" s="51" t="n">
        <v>81.3</v>
      </c>
      <c r="F160" s="51" t="n">
        <v>3</v>
      </c>
      <c r="G160" s="51" t="n">
        <v>15.7</v>
      </c>
      <c r="H160" s="51" t="n">
        <v>46.3</v>
      </c>
      <c r="I160" s="51" t="n">
        <v>44.5</v>
      </c>
      <c r="J160" s="51" t="n">
        <v>5.7</v>
      </c>
      <c r="K160" s="51" t="n">
        <v>4</v>
      </c>
      <c r="L160" s="51" t="n">
        <v>1</v>
      </c>
      <c r="M160" s="51" t="n">
        <v>1</v>
      </c>
      <c r="N160" s="51" t="n">
        <v>1</v>
      </c>
      <c r="O160" s="51" t="n">
        <v>4</v>
      </c>
      <c r="P160" s="51" t="n">
        <v>720</v>
      </c>
      <c r="Q160" s="51" t="n">
        <v>5</v>
      </c>
      <c r="R160" s="51" t="n">
        <v>500</v>
      </c>
      <c r="S160" s="51" t="n">
        <v>1</v>
      </c>
      <c r="T160" s="51" t="n">
        <v>1</v>
      </c>
      <c r="U160" s="51" t="n">
        <v>60</v>
      </c>
      <c r="V160" s="51" t="n">
        <v>1</v>
      </c>
      <c r="W160" s="51" t="n">
        <v>700</v>
      </c>
      <c r="X160" s="51" t="n">
        <v>0.244498777506112</v>
      </c>
    </row>
    <row r="161">
      <c r="A161" s="51" t="inlineStr">
        <is>
          <t>Hemp hurd</t>
        </is>
      </c>
      <c r="B161" s="51" t="n">
        <v>32</v>
      </c>
      <c r="C161" s="51" t="n">
        <v>38.1</v>
      </c>
      <c r="D161" s="51" t="n">
        <v>23.8</v>
      </c>
      <c r="E161" s="51" t="n">
        <v>81.3</v>
      </c>
      <c r="F161" s="51" t="n">
        <v>3</v>
      </c>
      <c r="G161" s="51" t="n">
        <v>15.7</v>
      </c>
      <c r="H161" s="51" t="n">
        <v>46.3</v>
      </c>
      <c r="I161" s="51" t="n">
        <v>44.5</v>
      </c>
      <c r="J161" s="51" t="n">
        <v>5.7</v>
      </c>
      <c r="K161" s="51" t="n">
        <v>4</v>
      </c>
      <c r="L161" s="51" t="n">
        <v>1</v>
      </c>
      <c r="M161" s="51" t="n">
        <v>1</v>
      </c>
      <c r="N161" s="51" t="n">
        <v>1</v>
      </c>
      <c r="O161" s="51" t="n">
        <v>4</v>
      </c>
      <c r="P161" s="51" t="n">
        <v>720</v>
      </c>
      <c r="Q161" s="51" t="n">
        <v>5</v>
      </c>
      <c r="R161" s="51" t="n">
        <v>500</v>
      </c>
      <c r="S161" s="51" t="n">
        <v>1</v>
      </c>
      <c r="T161" s="51" t="n">
        <v>1</v>
      </c>
      <c r="U161" s="51" t="n">
        <v>60</v>
      </c>
      <c r="V161" s="51" t="n">
        <v>1</v>
      </c>
      <c r="W161" s="51" t="n">
        <v>800</v>
      </c>
      <c r="X161" s="51" t="n">
        <v>0.25974025974026</v>
      </c>
    </row>
    <row r="162">
      <c r="A162" s="51" t="inlineStr">
        <is>
          <t>Hemp hurd</t>
        </is>
      </c>
      <c r="B162" s="51" t="n">
        <v>32</v>
      </c>
      <c r="C162" s="51" t="n">
        <v>38.1</v>
      </c>
      <c r="D162" s="51" t="n">
        <v>23.8</v>
      </c>
      <c r="E162" s="51" t="n">
        <v>81.3</v>
      </c>
      <c r="F162" s="51" t="n">
        <v>3</v>
      </c>
      <c r="G162" s="51" t="n">
        <v>15.7</v>
      </c>
      <c r="H162" s="51" t="n">
        <v>46.3</v>
      </c>
      <c r="I162" s="51" t="n">
        <v>44.5</v>
      </c>
      <c r="J162" s="51" t="n">
        <v>5.7</v>
      </c>
      <c r="K162" s="51" t="n">
        <v>4</v>
      </c>
      <c r="L162" s="51" t="n">
        <v>1</v>
      </c>
      <c r="M162" s="51" t="n">
        <v>1</v>
      </c>
      <c r="N162" s="51" t="n">
        <v>1</v>
      </c>
      <c r="O162" s="51" t="n">
        <v>4</v>
      </c>
      <c r="P162" s="51" t="n">
        <v>720</v>
      </c>
      <c r="Q162" s="51" t="n">
        <v>5</v>
      </c>
      <c r="R162" s="51" t="n">
        <v>500</v>
      </c>
      <c r="S162" s="51" t="n">
        <v>1</v>
      </c>
      <c r="T162" s="51" t="n">
        <v>1</v>
      </c>
      <c r="U162" s="51" t="n">
        <v>60</v>
      </c>
      <c r="V162" s="51" t="n">
        <v>1</v>
      </c>
      <c r="W162" s="51" t="n">
        <v>800</v>
      </c>
      <c r="X162" s="51" t="n">
        <v>0.255754475703325</v>
      </c>
    </row>
    <row r="163">
      <c r="A163" s="51" t="inlineStr">
        <is>
          <t>Hemp hurd</t>
        </is>
      </c>
      <c r="B163" s="51" t="n">
        <v>32</v>
      </c>
      <c r="C163" s="51" t="n">
        <v>38.1</v>
      </c>
      <c r="D163" s="51" t="n">
        <v>23.8</v>
      </c>
      <c r="E163" s="51" t="n">
        <v>81.3</v>
      </c>
      <c r="F163" s="51" t="n">
        <v>3</v>
      </c>
      <c r="G163" s="51" t="n">
        <v>15.7</v>
      </c>
      <c r="H163" s="51" t="n">
        <v>46.3</v>
      </c>
      <c r="I163" s="51" t="n">
        <v>44.5</v>
      </c>
      <c r="J163" s="51" t="n">
        <v>5.7</v>
      </c>
      <c r="K163" s="51" t="n">
        <v>4</v>
      </c>
      <c r="L163" s="51" t="n">
        <v>1</v>
      </c>
      <c r="M163" s="51" t="n">
        <v>1</v>
      </c>
      <c r="N163" s="51" t="n">
        <v>1</v>
      </c>
      <c r="O163" s="51" t="n">
        <v>4</v>
      </c>
      <c r="P163" s="51" t="n">
        <v>720</v>
      </c>
      <c r="Q163" s="51" t="n">
        <v>5</v>
      </c>
      <c r="R163" s="51" t="n">
        <v>500</v>
      </c>
      <c r="S163" s="51" t="n">
        <v>1</v>
      </c>
      <c r="T163" s="51" t="n">
        <v>1</v>
      </c>
      <c r="U163" s="51" t="n">
        <v>60</v>
      </c>
      <c r="V163" s="51" t="n">
        <v>1</v>
      </c>
      <c r="W163" s="51" t="n">
        <v>800</v>
      </c>
      <c r="X163" s="51" t="n">
        <v>0.162074554294976</v>
      </c>
    </row>
    <row r="164">
      <c r="A164" s="51" t="inlineStr">
        <is>
          <t>Hemp hurd</t>
        </is>
      </c>
      <c r="B164" s="51" t="n">
        <v>32</v>
      </c>
      <c r="C164" s="51" t="n">
        <v>38.1</v>
      </c>
      <c r="D164" s="51" t="n">
        <v>23.8</v>
      </c>
      <c r="E164" s="51" t="n">
        <v>81.3</v>
      </c>
      <c r="F164" s="51" t="n">
        <v>3</v>
      </c>
      <c r="G164" s="51" t="n">
        <v>15.7</v>
      </c>
      <c r="H164" s="51" t="n">
        <v>46.3</v>
      </c>
      <c r="I164" s="51" t="n">
        <v>44.5</v>
      </c>
      <c r="J164" s="51" t="n">
        <v>5.7</v>
      </c>
      <c r="K164" s="51" t="n">
        <v>4</v>
      </c>
      <c r="L164" s="51" t="n">
        <v>1</v>
      </c>
      <c r="M164" s="51" t="n">
        <v>1</v>
      </c>
      <c r="N164" s="51" t="n">
        <v>1</v>
      </c>
      <c r="O164" s="51" t="n">
        <v>4</v>
      </c>
      <c r="P164" s="51" t="n">
        <v>720</v>
      </c>
      <c r="Q164" s="51" t="n">
        <v>5</v>
      </c>
      <c r="R164" s="51" t="n">
        <v>500</v>
      </c>
      <c r="S164" s="51" t="n">
        <v>1</v>
      </c>
      <c r="T164" s="51" t="n">
        <v>5</v>
      </c>
      <c r="U164" s="51" t="n">
        <v>120</v>
      </c>
      <c r="V164" s="51" t="n">
        <v>5</v>
      </c>
      <c r="W164" s="51" t="n">
        <v>800</v>
      </c>
      <c r="X164" s="51" t="n">
        <v>0.226244343891403</v>
      </c>
    </row>
    <row r="165">
      <c r="A165" s="51" t="inlineStr">
        <is>
          <t>Hemp hurd</t>
        </is>
      </c>
      <c r="B165" s="51" t="n">
        <v>32</v>
      </c>
      <c r="C165" s="51" t="n">
        <v>38.1</v>
      </c>
      <c r="D165" s="51" t="n">
        <v>23.8</v>
      </c>
      <c r="E165" s="51" t="n">
        <v>81.3</v>
      </c>
      <c r="F165" s="51" t="n">
        <v>3</v>
      </c>
      <c r="G165" s="51" t="n">
        <v>15.7</v>
      </c>
      <c r="H165" s="51" t="n">
        <v>46.3</v>
      </c>
      <c r="I165" s="51" t="n">
        <v>44.5</v>
      </c>
      <c r="J165" s="51" t="n">
        <v>5.7</v>
      </c>
      <c r="K165" s="51" t="n">
        <v>4</v>
      </c>
      <c r="L165" s="51" t="n">
        <v>1</v>
      </c>
      <c r="M165" s="51" t="n">
        <v>1</v>
      </c>
      <c r="N165" s="51" t="n">
        <v>0</v>
      </c>
      <c r="O165" s="51" t="n">
        <v>0</v>
      </c>
      <c r="P165" s="51" t="n">
        <v>720</v>
      </c>
      <c r="Q165" s="51" t="n">
        <v>5</v>
      </c>
      <c r="R165" s="51" t="n">
        <v>180</v>
      </c>
      <c r="S165" s="51" t="n">
        <v>1</v>
      </c>
      <c r="T165" s="51" t="n">
        <v>5</v>
      </c>
      <c r="U165" s="51" t="n">
        <v>120</v>
      </c>
      <c r="V165" s="51" t="n">
        <v>5</v>
      </c>
      <c r="W165" s="51" t="n">
        <v>800</v>
      </c>
      <c r="X165" s="51" t="n">
        <v>0.208768267223382</v>
      </c>
    </row>
    <row r="166">
      <c r="A166" s="51" t="inlineStr">
        <is>
          <t>Hemp hurd</t>
        </is>
      </c>
      <c r="B166" s="51" t="n">
        <v>32</v>
      </c>
      <c r="C166" s="51" t="n">
        <v>38.1</v>
      </c>
      <c r="D166" s="51" t="n">
        <v>23.8</v>
      </c>
      <c r="E166" s="51" t="n">
        <v>81.3</v>
      </c>
      <c r="F166" s="51" t="n">
        <v>3</v>
      </c>
      <c r="G166" s="51" t="n">
        <v>15.7</v>
      </c>
      <c r="H166" s="51" t="n">
        <v>46.3</v>
      </c>
      <c r="I166" s="51" t="n">
        <v>44.5</v>
      </c>
      <c r="J166" s="51" t="n">
        <v>5.7</v>
      </c>
      <c r="K166" s="51" t="n">
        <v>4</v>
      </c>
      <c r="L166" s="51" t="n">
        <v>1</v>
      </c>
      <c r="M166" s="51" t="n">
        <v>1</v>
      </c>
      <c r="N166" s="51" t="n">
        <v>0</v>
      </c>
      <c r="O166" s="51" t="n">
        <v>0</v>
      </c>
      <c r="P166" s="51" t="n">
        <v>720</v>
      </c>
      <c r="Q166" s="51" t="n">
        <v>5</v>
      </c>
      <c r="R166" s="51" t="n">
        <v>180</v>
      </c>
      <c r="S166" s="51" t="n">
        <v>1</v>
      </c>
      <c r="T166" s="51" t="n">
        <v>5</v>
      </c>
      <c r="U166" s="51" t="n">
        <v>120</v>
      </c>
      <c r="V166" s="51" t="n">
        <v>5</v>
      </c>
      <c r="W166" s="51" t="n">
        <v>800</v>
      </c>
      <c r="X166" s="51" t="n">
        <v>0.248756218905473</v>
      </c>
    </row>
    <row r="167">
      <c r="A167" s="51" t="inlineStr">
        <is>
          <t>Hemp hurd</t>
        </is>
      </c>
      <c r="B167" s="51" t="n">
        <v>32</v>
      </c>
      <c r="C167" s="51" t="n">
        <v>38.1</v>
      </c>
      <c r="D167" s="51" t="n">
        <v>23.8</v>
      </c>
      <c r="E167" s="51" t="n">
        <v>81.3</v>
      </c>
      <c r="F167" s="51" t="n">
        <v>3</v>
      </c>
      <c r="G167" s="51" t="n">
        <v>15.7</v>
      </c>
      <c r="H167" s="51" t="n">
        <v>46.3</v>
      </c>
      <c r="I167" s="51" t="n">
        <v>44.5</v>
      </c>
      <c r="J167" s="51" t="n">
        <v>5.7</v>
      </c>
      <c r="K167" s="51" t="n">
        <v>4</v>
      </c>
      <c r="L167" s="51" t="n">
        <v>1</v>
      </c>
      <c r="M167" s="51" t="n">
        <v>1</v>
      </c>
      <c r="N167" s="51" t="n">
        <v>1</v>
      </c>
      <c r="O167" s="51" t="n">
        <v>4</v>
      </c>
      <c r="P167" s="51" t="n">
        <v>720</v>
      </c>
      <c r="Q167" s="51" t="n">
        <v>5</v>
      </c>
      <c r="R167" s="51" t="n">
        <v>500</v>
      </c>
      <c r="S167" s="51" t="n">
        <v>1</v>
      </c>
      <c r="T167" s="51" t="n">
        <v>5</v>
      </c>
      <c r="U167" s="51" t="n">
        <v>120</v>
      </c>
      <c r="V167" s="51" t="n">
        <v>5</v>
      </c>
      <c r="W167" s="51" t="n">
        <v>1000</v>
      </c>
      <c r="X167" s="51" t="n">
        <v>0.191570881226054</v>
      </c>
    </row>
    <row r="168">
      <c r="A168" s="51" t="inlineStr">
        <is>
          <t>Hemp hurd</t>
        </is>
      </c>
      <c r="B168" s="51" t="n">
        <v>32</v>
      </c>
      <c r="C168" s="51" t="n">
        <v>38.1</v>
      </c>
      <c r="D168" s="51" t="n">
        <v>23.8</v>
      </c>
      <c r="E168" s="51" t="n">
        <v>81.3</v>
      </c>
      <c r="F168" s="51" t="n">
        <v>3</v>
      </c>
      <c r="G168" s="51" t="n">
        <v>15.7</v>
      </c>
      <c r="H168" s="51" t="n">
        <v>46.3</v>
      </c>
      <c r="I168" s="51" t="n">
        <v>44.5</v>
      </c>
      <c r="J168" s="51" t="n">
        <v>5.7</v>
      </c>
      <c r="K168" s="51" t="n">
        <v>4</v>
      </c>
      <c r="L168" s="51" t="n">
        <v>1</v>
      </c>
      <c r="M168" s="51" t="n">
        <v>1</v>
      </c>
      <c r="N168" s="51" t="n">
        <v>0</v>
      </c>
      <c r="O168" s="51" t="n">
        <v>0</v>
      </c>
      <c r="P168" s="51" t="n">
        <v>720</v>
      </c>
      <c r="Q168" s="51" t="n">
        <v>5</v>
      </c>
      <c r="R168" s="51" t="n">
        <v>180</v>
      </c>
      <c r="S168" s="51" t="n">
        <v>1</v>
      </c>
      <c r="T168" s="51" t="n">
        <v>5</v>
      </c>
      <c r="U168" s="51" t="n">
        <v>120</v>
      </c>
      <c r="V168" s="51" t="n">
        <v>5</v>
      </c>
      <c r="W168" s="51" t="n">
        <v>1000</v>
      </c>
      <c r="X168" s="51" t="n">
        <v>0.178571428571429</v>
      </c>
    </row>
    <row r="169">
      <c r="A169" s="51" t="inlineStr">
        <is>
          <t>Hemp hurd</t>
        </is>
      </c>
      <c r="B169" s="51" t="n">
        <v>32</v>
      </c>
      <c r="C169" s="51" t="n">
        <v>38.1</v>
      </c>
      <c r="D169" s="51" t="n">
        <v>23.8</v>
      </c>
      <c r="E169" s="51" t="n">
        <v>81.3</v>
      </c>
      <c r="F169" s="51" t="n">
        <v>3</v>
      </c>
      <c r="G169" s="51" t="n">
        <v>15.7</v>
      </c>
      <c r="H169" s="51" t="n">
        <v>46.3</v>
      </c>
      <c r="I169" s="51" t="n">
        <v>44.5</v>
      </c>
      <c r="J169" s="51" t="n">
        <v>5.7</v>
      </c>
      <c r="K169" s="51" t="n">
        <v>4</v>
      </c>
      <c r="L169" s="51" t="n">
        <v>1</v>
      </c>
      <c r="M169" s="51" t="n">
        <v>1</v>
      </c>
      <c r="N169" s="51" t="n">
        <v>0</v>
      </c>
      <c r="O169" s="51" t="n">
        <v>0</v>
      </c>
      <c r="P169" s="51" t="n">
        <v>720</v>
      </c>
      <c r="Q169" s="51" t="n">
        <v>5</v>
      </c>
      <c r="R169" s="51" t="n">
        <v>180</v>
      </c>
      <c r="S169" s="51" t="n">
        <v>1</v>
      </c>
      <c r="T169" s="51" t="n">
        <v>5</v>
      </c>
      <c r="U169" s="51" t="n">
        <v>120</v>
      </c>
      <c r="V169" s="51" t="n">
        <v>5</v>
      </c>
      <c r="W169" s="51" t="n">
        <v>1000</v>
      </c>
      <c r="X169" s="51" t="n">
        <v>0.181159420289855</v>
      </c>
    </row>
    <row r="170">
      <c r="A170" s="51" t="inlineStr">
        <is>
          <t>Hemp hurd</t>
        </is>
      </c>
      <c r="B170" s="51" t="n">
        <v>32</v>
      </c>
      <c r="C170" s="51" t="n">
        <v>38.1</v>
      </c>
      <c r="D170" s="51" t="n">
        <v>23.8</v>
      </c>
      <c r="E170" s="51" t="n">
        <v>81.3</v>
      </c>
      <c r="F170" s="51" t="n">
        <v>3</v>
      </c>
      <c r="G170" s="51" t="n">
        <v>15.7</v>
      </c>
      <c r="H170" s="51" t="n">
        <v>46.3</v>
      </c>
      <c r="I170" s="51" t="n">
        <v>44.5</v>
      </c>
      <c r="J170" s="51" t="n">
        <v>5.7</v>
      </c>
      <c r="K170" s="51" t="n">
        <v>4</v>
      </c>
      <c r="L170" s="51" t="n">
        <v>1</v>
      </c>
      <c r="M170" s="51" t="n">
        <v>1</v>
      </c>
      <c r="N170" s="51" t="n">
        <v>1</v>
      </c>
      <c r="O170" s="51" t="n">
        <v>4</v>
      </c>
      <c r="P170" s="51" t="n">
        <v>720</v>
      </c>
      <c r="Q170" s="51" t="n">
        <v>5</v>
      </c>
      <c r="R170" s="51" t="n">
        <v>500</v>
      </c>
      <c r="S170" s="51" t="n">
        <v>1</v>
      </c>
      <c r="T170" s="51" t="n">
        <v>5</v>
      </c>
      <c r="U170" s="51" t="n">
        <v>120</v>
      </c>
      <c r="V170" s="51" t="n">
        <v>5</v>
      </c>
      <c r="W170" s="51" t="n">
        <v>1200</v>
      </c>
      <c r="X170" s="51" t="n">
        <v>0.280112044817927</v>
      </c>
    </row>
    <row r="171">
      <c r="A171" s="51" t="inlineStr">
        <is>
          <t>Hemp hurd</t>
        </is>
      </c>
      <c r="B171" s="51" t="n">
        <v>32</v>
      </c>
      <c r="C171" s="51" t="n">
        <v>38.1</v>
      </c>
      <c r="D171" s="51" t="n">
        <v>23.8</v>
      </c>
      <c r="E171" s="51" t="n">
        <v>81.3</v>
      </c>
      <c r="F171" s="51" t="n">
        <v>3</v>
      </c>
      <c r="G171" s="51" t="n">
        <v>15.7</v>
      </c>
      <c r="H171" s="51" t="n">
        <v>46.3</v>
      </c>
      <c r="I171" s="51" t="n">
        <v>44.5</v>
      </c>
      <c r="J171" s="51" t="n">
        <v>5.7</v>
      </c>
      <c r="K171" s="51" t="n">
        <v>4</v>
      </c>
      <c r="L171" s="51" t="n">
        <v>1</v>
      </c>
      <c r="M171" s="51" t="n">
        <v>1</v>
      </c>
      <c r="N171" s="51" t="n">
        <v>0</v>
      </c>
      <c r="O171" s="51" t="n">
        <v>0</v>
      </c>
      <c r="P171" s="51" t="n">
        <v>720</v>
      </c>
      <c r="Q171" s="51" t="n">
        <v>5</v>
      </c>
      <c r="R171" s="51" t="n">
        <v>180</v>
      </c>
      <c r="S171" s="51" t="n">
        <v>1</v>
      </c>
      <c r="T171" s="51" t="n">
        <v>5</v>
      </c>
      <c r="U171" s="51" t="n">
        <v>120</v>
      </c>
      <c r="V171" s="51" t="n">
        <v>5</v>
      </c>
      <c r="W171" s="51" t="n">
        <v>1200</v>
      </c>
      <c r="X171" s="51" t="n">
        <v>0.261780104712042</v>
      </c>
    </row>
    <row r="172">
      <c r="A172" s="51" t="inlineStr">
        <is>
          <t>Hemp hurd</t>
        </is>
      </c>
      <c r="B172" s="51" t="n">
        <v>32</v>
      </c>
      <c r="C172" s="51" t="n">
        <v>38.1</v>
      </c>
      <c r="D172" s="51" t="n">
        <v>23.8</v>
      </c>
      <c r="E172" s="51" t="n">
        <v>81.3</v>
      </c>
      <c r="F172" s="51" t="n">
        <v>3</v>
      </c>
      <c r="G172" s="51" t="n">
        <v>15.7</v>
      </c>
      <c r="H172" s="51" t="n">
        <v>46.3</v>
      </c>
      <c r="I172" s="51" t="n">
        <v>44.5</v>
      </c>
      <c r="J172" s="51" t="n">
        <v>5.7</v>
      </c>
      <c r="K172" s="51" t="n">
        <v>4</v>
      </c>
      <c r="L172" s="51" t="n">
        <v>1</v>
      </c>
      <c r="M172" s="51" t="n">
        <v>1</v>
      </c>
      <c r="N172" s="51" t="n">
        <v>0</v>
      </c>
      <c r="O172" s="51" t="n">
        <v>0</v>
      </c>
      <c r="P172" s="51" t="n">
        <v>720</v>
      </c>
      <c r="Q172" s="51" t="n">
        <v>5</v>
      </c>
      <c r="R172" s="51" t="n">
        <v>180</v>
      </c>
      <c r="S172" s="51" t="n">
        <v>1</v>
      </c>
      <c r="T172" s="51" t="n">
        <v>5</v>
      </c>
      <c r="U172" s="51" t="n">
        <v>120</v>
      </c>
      <c r="V172" s="51" t="n">
        <v>5</v>
      </c>
      <c r="W172" s="51" t="n">
        <v>1200</v>
      </c>
      <c r="X172" s="51" t="n">
        <v>0.244498777506112</v>
      </c>
    </row>
    <row r="173">
      <c r="A173" s="51" t="inlineStr">
        <is>
          <t>Jack fruit seed</t>
        </is>
      </c>
      <c r="B173" s="51" t="n">
        <v>17.97</v>
      </c>
      <c r="C173" s="51" t="n">
        <v>9.06</v>
      </c>
      <c r="D173" s="51" t="n">
        <v>1.91</v>
      </c>
      <c r="E173" s="51" t="n">
        <v>70.3</v>
      </c>
      <c r="F173" s="51" t="n">
        <v>1.66</v>
      </c>
      <c r="G173" s="51" t="n">
        <v>10.84</v>
      </c>
      <c r="H173" s="51" t="n">
        <v>45.04</v>
      </c>
      <c r="I173" s="51" t="n">
        <v>45.27</v>
      </c>
      <c r="J173" s="51" t="n">
        <v>6.13</v>
      </c>
      <c r="K173" s="51" t="n">
        <v>4</v>
      </c>
      <c r="L173" s="51" t="n">
        <v>3</v>
      </c>
      <c r="M173" s="51" t="n">
        <v>0</v>
      </c>
      <c r="N173" s="51" t="n">
        <v>1</v>
      </c>
      <c r="O173" s="51" t="n">
        <v>4</v>
      </c>
      <c r="P173" s="51" t="n">
        <v>60</v>
      </c>
      <c r="Q173" s="51" t="n">
        <v>5</v>
      </c>
      <c r="R173" s="51" t="n">
        <v>1000</v>
      </c>
      <c r="S173" s="51" t="n">
        <v>0</v>
      </c>
      <c r="T173" s="51" t="n">
        <v>5</v>
      </c>
      <c r="U173" s="51" t="n">
        <v>0</v>
      </c>
      <c r="V173" s="51" t="n">
        <v>0</v>
      </c>
      <c r="W173" s="51" t="n">
        <v>0</v>
      </c>
      <c r="X173" s="51" t="n">
        <v>0.978</v>
      </c>
    </row>
    <row r="174">
      <c r="A174" s="51" t="inlineStr">
        <is>
          <t>Jack fruit seed</t>
        </is>
      </c>
      <c r="B174" s="51" t="n">
        <v>17.97</v>
      </c>
      <c r="C174" s="51" t="n">
        <v>9.06</v>
      </c>
      <c r="D174" s="51" t="n">
        <v>1.91</v>
      </c>
      <c r="E174" s="51" t="n">
        <v>70.3</v>
      </c>
      <c r="F174" s="51" t="n">
        <v>1.66</v>
      </c>
      <c r="G174" s="51" t="n">
        <v>10.84</v>
      </c>
      <c r="H174" s="51" t="n">
        <v>45.04</v>
      </c>
      <c r="I174" s="51" t="n">
        <v>45.27</v>
      </c>
      <c r="J174" s="51" t="n">
        <v>6.13</v>
      </c>
      <c r="K174" s="51" t="n">
        <v>4</v>
      </c>
      <c r="L174" s="51" t="n">
        <v>3</v>
      </c>
      <c r="M174" s="51" t="n">
        <v>0</v>
      </c>
      <c r="N174" s="51" t="n">
        <v>1</v>
      </c>
      <c r="O174" s="51" t="n">
        <v>4</v>
      </c>
      <c r="P174" s="51" t="n">
        <v>60</v>
      </c>
      <c r="Q174" s="51" t="n">
        <v>5</v>
      </c>
      <c r="R174" s="51" t="n">
        <v>1100</v>
      </c>
      <c r="S174" s="51" t="n">
        <v>0</v>
      </c>
      <c r="T174" s="51" t="n">
        <v>5</v>
      </c>
      <c r="U174" s="51" t="n">
        <v>0</v>
      </c>
      <c r="V174" s="51" t="n">
        <v>0</v>
      </c>
      <c r="W174" s="51" t="n">
        <v>0</v>
      </c>
      <c r="X174" s="51" t="n">
        <v>0.989</v>
      </c>
    </row>
    <row r="175">
      <c r="A175" s="51" t="inlineStr">
        <is>
          <t>Jack fruit seed</t>
        </is>
      </c>
      <c r="B175" s="51" t="n">
        <v>17.97</v>
      </c>
      <c r="C175" s="51" t="n">
        <v>9.06</v>
      </c>
      <c r="D175" s="51" t="n">
        <v>1.91</v>
      </c>
      <c r="E175" s="51" t="n">
        <v>70.3</v>
      </c>
      <c r="F175" s="51" t="n">
        <v>1.66</v>
      </c>
      <c r="G175" s="51" t="n">
        <v>10.84</v>
      </c>
      <c r="H175" s="51" t="n">
        <v>45.04</v>
      </c>
      <c r="I175" s="51" t="n">
        <v>45.27</v>
      </c>
      <c r="J175" s="51" t="n">
        <v>6.13</v>
      </c>
      <c r="K175" s="51" t="n">
        <v>4</v>
      </c>
      <c r="L175" s="51" t="n">
        <v>3</v>
      </c>
      <c r="M175" s="51" t="n">
        <v>0</v>
      </c>
      <c r="N175" s="51" t="n">
        <v>1</v>
      </c>
      <c r="O175" s="51" t="n">
        <v>4</v>
      </c>
      <c r="P175" s="51" t="n">
        <v>60</v>
      </c>
      <c r="Q175" s="51" t="n">
        <v>5</v>
      </c>
      <c r="R175" s="51" t="n">
        <v>1200</v>
      </c>
      <c r="S175" s="51" t="n">
        <v>0</v>
      </c>
      <c r="T175" s="51" t="n">
        <v>5</v>
      </c>
      <c r="U175" s="51" t="n">
        <v>0</v>
      </c>
      <c r="V175" s="51" t="n">
        <v>0</v>
      </c>
      <c r="W175" s="51" t="n">
        <v>0</v>
      </c>
      <c r="X175" s="51" t="n">
        <v>0.993</v>
      </c>
    </row>
    <row r="176">
      <c r="A176" s="51" t="inlineStr">
        <is>
          <t>Jack fruit seed</t>
        </is>
      </c>
      <c r="B176" s="51" t="n">
        <v>17.97</v>
      </c>
      <c r="C176" s="51" t="n">
        <v>9.06</v>
      </c>
      <c r="D176" s="51" t="n">
        <v>1.91</v>
      </c>
      <c r="E176" s="51" t="n">
        <v>70.3</v>
      </c>
      <c r="F176" s="51" t="n">
        <v>1.66</v>
      </c>
      <c r="G176" s="51" t="n">
        <v>10.84</v>
      </c>
      <c r="H176" s="51" t="n">
        <v>45.04</v>
      </c>
      <c r="I176" s="51" t="n">
        <v>45.27</v>
      </c>
      <c r="J176" s="51" t="n">
        <v>6.13</v>
      </c>
      <c r="K176" s="51" t="n">
        <v>4</v>
      </c>
      <c r="L176" s="51" t="n">
        <v>3</v>
      </c>
      <c r="M176" s="51" t="n">
        <v>0</v>
      </c>
      <c r="N176" s="51" t="n">
        <v>1</v>
      </c>
      <c r="O176" s="51" t="n">
        <v>4</v>
      </c>
      <c r="P176" s="51" t="n">
        <v>60</v>
      </c>
      <c r="Q176" s="51" t="n">
        <v>5</v>
      </c>
      <c r="R176" s="51" t="n">
        <v>1300</v>
      </c>
      <c r="S176" s="51" t="n">
        <v>0</v>
      </c>
      <c r="T176" s="51" t="n">
        <v>5</v>
      </c>
      <c r="U176" s="51" t="n">
        <v>0</v>
      </c>
      <c r="V176" s="51" t="n">
        <v>0</v>
      </c>
      <c r="W176" s="51" t="n">
        <v>0</v>
      </c>
      <c r="X176" s="51" t="n">
        <v>0.995</v>
      </c>
    </row>
    <row r="177">
      <c r="A177" s="51" t="inlineStr">
        <is>
          <t>Jackfruit rag</t>
        </is>
      </c>
      <c r="B177" s="51" t="n">
        <v>17.71</v>
      </c>
      <c r="C177" s="51" t="n">
        <v>7.32</v>
      </c>
      <c r="D177" s="51" t="n">
        <v>4.03</v>
      </c>
      <c r="E177" s="51" t="n">
        <v>68.79000000000001</v>
      </c>
      <c r="F177" s="51" t="n">
        <v>4.17</v>
      </c>
      <c r="G177" s="51" t="n">
        <v>16.58</v>
      </c>
      <c r="H177" s="51" t="n">
        <v>43.89</v>
      </c>
      <c r="I177" s="51" t="n">
        <v>44.04</v>
      </c>
      <c r="J177" s="51" t="n">
        <v>5.43</v>
      </c>
      <c r="K177" s="51" t="n">
        <v>6</v>
      </c>
      <c r="L177" s="51" t="n">
        <v>1</v>
      </c>
      <c r="M177" s="51" t="n">
        <v>0</v>
      </c>
      <c r="N177" s="51" t="n">
        <v>1</v>
      </c>
      <c r="O177" s="51" t="n">
        <v>4</v>
      </c>
      <c r="P177" s="51" t="n">
        <v>120</v>
      </c>
      <c r="Q177" s="51" t="n">
        <v>10</v>
      </c>
      <c r="R177" s="51" t="n">
        <v>700</v>
      </c>
      <c r="S177" s="51" t="n">
        <v>0</v>
      </c>
      <c r="T177" s="51" t="n">
        <v>5</v>
      </c>
      <c r="U177" s="51" t="n">
        <v>0</v>
      </c>
      <c r="V177" s="51" t="n">
        <v>0</v>
      </c>
      <c r="W177" s="51" t="n">
        <v>0</v>
      </c>
      <c r="X177" s="51" t="n">
        <v>1.02</v>
      </c>
    </row>
    <row r="178">
      <c r="A178" s="51" t="inlineStr">
        <is>
          <t>Jackfruit rag</t>
        </is>
      </c>
      <c r="B178" s="51" t="n">
        <v>17.71</v>
      </c>
      <c r="C178" s="51" t="n">
        <v>7.32</v>
      </c>
      <c r="D178" s="51" t="n">
        <v>4.03</v>
      </c>
      <c r="E178" s="51" t="n">
        <v>68.79000000000001</v>
      </c>
      <c r="F178" s="51" t="n">
        <v>4.17</v>
      </c>
      <c r="G178" s="51" t="n">
        <v>16.58</v>
      </c>
      <c r="H178" s="51" t="n">
        <v>43.89</v>
      </c>
      <c r="I178" s="51" t="n">
        <v>44.04</v>
      </c>
      <c r="J178" s="51" t="n">
        <v>5.43</v>
      </c>
      <c r="K178" s="51" t="n">
        <v>6</v>
      </c>
      <c r="L178" s="51" t="n">
        <v>1</v>
      </c>
      <c r="M178" s="51" t="n">
        <v>0</v>
      </c>
      <c r="N178" s="51" t="n">
        <v>1</v>
      </c>
      <c r="O178" s="51" t="n">
        <v>4</v>
      </c>
      <c r="P178" s="51" t="n">
        <v>120</v>
      </c>
      <c r="Q178" s="51" t="n">
        <v>10</v>
      </c>
      <c r="R178" s="51" t="n">
        <v>800</v>
      </c>
      <c r="S178" s="51" t="n">
        <v>0</v>
      </c>
      <c r="T178" s="51" t="n">
        <v>5</v>
      </c>
      <c r="U178" s="51" t="n">
        <v>0</v>
      </c>
      <c r="V178" s="51" t="n">
        <v>0</v>
      </c>
      <c r="W178" s="51" t="n">
        <v>0</v>
      </c>
      <c r="X178" s="51" t="n">
        <v>1.08</v>
      </c>
    </row>
    <row r="179">
      <c r="A179" s="51" t="inlineStr">
        <is>
          <t>Jackfruit rag</t>
        </is>
      </c>
      <c r="B179" s="51" t="n">
        <v>17.71</v>
      </c>
      <c r="C179" s="51" t="n">
        <v>7.32</v>
      </c>
      <c r="D179" s="51" t="n">
        <v>4.03</v>
      </c>
      <c r="E179" s="51" t="n">
        <v>68.79000000000001</v>
      </c>
      <c r="F179" s="51" t="n">
        <v>4.17</v>
      </c>
      <c r="G179" s="51" t="n">
        <v>16.58</v>
      </c>
      <c r="H179" s="51" t="n">
        <v>43.89</v>
      </c>
      <c r="I179" s="51" t="n">
        <v>44.04</v>
      </c>
      <c r="J179" s="51" t="n">
        <v>5.43</v>
      </c>
      <c r="K179" s="51" t="n">
        <v>6</v>
      </c>
      <c r="L179" s="51" t="n">
        <v>1</v>
      </c>
      <c r="M179" s="51" t="n">
        <v>0</v>
      </c>
      <c r="N179" s="51" t="n">
        <v>1</v>
      </c>
      <c r="O179" s="51" t="n">
        <v>4</v>
      </c>
      <c r="P179" s="51" t="n">
        <v>120</v>
      </c>
      <c r="Q179" s="51" t="n">
        <v>10</v>
      </c>
      <c r="R179" s="51" t="n">
        <v>900</v>
      </c>
      <c r="S179" s="51" t="n">
        <v>0</v>
      </c>
      <c r="T179" s="51" t="n">
        <v>5</v>
      </c>
      <c r="U179" s="51" t="n">
        <v>0</v>
      </c>
      <c r="V179" s="51" t="n">
        <v>0</v>
      </c>
      <c r="W179" s="51" t="n">
        <v>0</v>
      </c>
      <c r="X179" s="51" t="n">
        <v>1</v>
      </c>
    </row>
    <row r="180">
      <c r="A180" s="51" t="inlineStr">
        <is>
          <t>Kapok fiber</t>
        </is>
      </c>
      <c r="B180" s="51" t="n">
        <v>53.4</v>
      </c>
      <c r="C180" s="51" t="n">
        <v>29.63</v>
      </c>
      <c r="D180" s="51" t="n">
        <v>20.73</v>
      </c>
      <c r="E180" s="51" t="n">
        <v>83.39074162080711</v>
      </c>
      <c r="F180" s="51" t="n">
        <v>2.64334877558757</v>
      </c>
      <c r="G180" s="51" t="n">
        <v>13.3531519553555</v>
      </c>
      <c r="H180" s="51" t="n">
        <v>46.9836807397435</v>
      </c>
      <c r="I180" s="51" t="n">
        <v>43.0919936922057</v>
      </c>
      <c r="J180" s="51" t="n">
        <v>6.11949784761262</v>
      </c>
      <c r="K180" s="51" t="n">
        <v>4</v>
      </c>
      <c r="L180" s="51" t="n">
        <v>5</v>
      </c>
      <c r="M180" s="51" t="n">
        <v>0</v>
      </c>
      <c r="N180" s="51" t="n">
        <v>1</v>
      </c>
      <c r="O180" s="51" t="n">
        <v>4</v>
      </c>
      <c r="P180" s="51" t="n">
        <v>240</v>
      </c>
      <c r="Q180" s="51" t="n">
        <v>5</v>
      </c>
      <c r="R180" s="51" t="n">
        <v>1200</v>
      </c>
      <c r="S180" s="51" t="n">
        <v>0</v>
      </c>
      <c r="T180" s="51" t="n">
        <v>5</v>
      </c>
      <c r="U180" s="51" t="n">
        <v>0</v>
      </c>
      <c r="V180" s="51" t="n">
        <v>0</v>
      </c>
      <c r="W180" s="51" t="n">
        <v>0</v>
      </c>
      <c r="X180" s="51" t="n">
        <v>0.613496932515337</v>
      </c>
    </row>
    <row r="181">
      <c r="A181" s="51" t="inlineStr">
        <is>
          <t>Kapok fiber</t>
        </is>
      </c>
      <c r="B181" s="51" t="n">
        <v>53.4</v>
      </c>
      <c r="C181" s="51" t="n">
        <v>29.63</v>
      </c>
      <c r="D181" s="51" t="n">
        <v>20.73</v>
      </c>
      <c r="E181" s="51" t="n">
        <v>83.39074162080711</v>
      </c>
      <c r="F181" s="51" t="n">
        <v>2.64334877558757</v>
      </c>
      <c r="G181" s="51" t="n">
        <v>13.3531519553555</v>
      </c>
      <c r="H181" s="51" t="n">
        <v>46.9836807397435</v>
      </c>
      <c r="I181" s="51" t="n">
        <v>43.0919936922057</v>
      </c>
      <c r="J181" s="51" t="n">
        <v>6.11949784761262</v>
      </c>
      <c r="K181" s="51" t="n">
        <v>4</v>
      </c>
      <c r="L181" s="51" t="n">
        <v>5</v>
      </c>
      <c r="M181" s="51" t="n">
        <v>0</v>
      </c>
      <c r="N181" s="51" t="n">
        <v>1</v>
      </c>
      <c r="O181" s="51" t="n">
        <v>4</v>
      </c>
      <c r="P181" s="51" t="n">
        <v>240</v>
      </c>
      <c r="Q181" s="51" t="n">
        <v>5</v>
      </c>
      <c r="R181" s="51" t="n">
        <v>1400</v>
      </c>
      <c r="S181" s="51" t="n">
        <v>0</v>
      </c>
      <c r="T181" s="51" t="n">
        <v>5</v>
      </c>
      <c r="U181" s="51" t="n">
        <v>0</v>
      </c>
      <c r="V181" s="51" t="n">
        <v>0</v>
      </c>
      <c r="W181" s="51" t="n">
        <v>0</v>
      </c>
      <c r="X181" s="51" t="n">
        <v>0.584795321637427</v>
      </c>
    </row>
    <row r="182">
      <c r="A182" s="51" t="inlineStr">
        <is>
          <t>Kapok fiber</t>
        </is>
      </c>
      <c r="B182" s="51" t="n">
        <v>53.4</v>
      </c>
      <c r="C182" s="51" t="n">
        <v>29.63</v>
      </c>
      <c r="D182" s="51" t="n">
        <v>20.73</v>
      </c>
      <c r="E182" s="51" t="n">
        <v>83.39074162080711</v>
      </c>
      <c r="F182" s="51" t="n">
        <v>2.64334877558757</v>
      </c>
      <c r="G182" s="51" t="n">
        <v>13.3531519553555</v>
      </c>
      <c r="H182" s="51" t="n">
        <v>46.9836807397435</v>
      </c>
      <c r="I182" s="51" t="n">
        <v>43.0919936922057</v>
      </c>
      <c r="J182" s="51" t="n">
        <v>6.11949784761262</v>
      </c>
      <c r="K182" s="51" t="n">
        <v>4</v>
      </c>
      <c r="L182" s="51" t="n">
        <v>5</v>
      </c>
      <c r="M182" s="51" t="n">
        <v>0</v>
      </c>
      <c r="N182" s="51" t="n">
        <v>1</v>
      </c>
      <c r="O182" s="51" t="n">
        <v>4</v>
      </c>
      <c r="P182" s="51" t="n">
        <v>240</v>
      </c>
      <c r="Q182" s="51" t="n">
        <v>5</v>
      </c>
      <c r="R182" s="51" t="n">
        <v>1200</v>
      </c>
      <c r="S182" s="51" t="n">
        <v>0</v>
      </c>
      <c r="T182" s="51" t="n">
        <v>5</v>
      </c>
      <c r="U182" s="51" t="n">
        <v>0</v>
      </c>
      <c r="V182" s="51" t="n">
        <v>0</v>
      </c>
      <c r="W182" s="51" t="n">
        <v>0</v>
      </c>
      <c r="X182" s="51" t="n">
        <v>1.03</v>
      </c>
    </row>
    <row r="183">
      <c r="A183" s="51" t="inlineStr">
        <is>
          <t>Kapok fiber</t>
        </is>
      </c>
      <c r="B183" s="51" t="n">
        <v>53.4</v>
      </c>
      <c r="C183" s="51" t="n">
        <v>29.63</v>
      </c>
      <c r="D183" s="51" t="n">
        <v>20.73</v>
      </c>
      <c r="E183" s="51" t="n">
        <v>83.39074162080711</v>
      </c>
      <c r="F183" s="51" t="n">
        <v>2.64334877558757</v>
      </c>
      <c r="G183" s="51" t="n">
        <v>13.3531519553555</v>
      </c>
      <c r="H183" s="51" t="n">
        <v>46.9836807397435</v>
      </c>
      <c r="I183" s="51" t="n">
        <v>43.0919936922057</v>
      </c>
      <c r="J183" s="51" t="n">
        <v>6.11949784761262</v>
      </c>
      <c r="K183" s="51" t="n">
        <v>4</v>
      </c>
      <c r="L183" s="51" t="n">
        <v>5</v>
      </c>
      <c r="M183" s="51" t="n">
        <v>0</v>
      </c>
      <c r="N183" s="51" t="n">
        <v>1</v>
      </c>
      <c r="O183" s="51" t="n">
        <v>4</v>
      </c>
      <c r="P183" s="51" t="n">
        <v>240</v>
      </c>
      <c r="Q183" s="51" t="n">
        <v>5</v>
      </c>
      <c r="R183" s="51" t="n">
        <v>1400</v>
      </c>
      <c r="S183" s="51" t="n">
        <v>0</v>
      </c>
      <c r="T183" s="51" t="n">
        <v>5</v>
      </c>
      <c r="U183" s="51" t="n">
        <v>0</v>
      </c>
      <c r="V183" s="51" t="n">
        <v>0</v>
      </c>
      <c r="W183" s="51" t="n">
        <v>0</v>
      </c>
      <c r="X183" s="51" t="n">
        <v>1.08</v>
      </c>
    </row>
    <row r="184">
      <c r="A184" s="51" t="inlineStr">
        <is>
          <t>Kapok fiber</t>
        </is>
      </c>
      <c r="B184" s="51" t="n">
        <v>53.4</v>
      </c>
      <c r="C184" s="51" t="n">
        <v>29.63</v>
      </c>
      <c r="D184" s="51" t="n">
        <v>20.73</v>
      </c>
      <c r="E184" s="51" t="n">
        <v>83.39074162080711</v>
      </c>
      <c r="F184" s="51" t="n">
        <v>2.64334877558757</v>
      </c>
      <c r="G184" s="51" t="n">
        <v>13.3531519553555</v>
      </c>
      <c r="H184" s="51" t="n">
        <v>46.9836807397435</v>
      </c>
      <c r="I184" s="51" t="n">
        <v>43.0919936922057</v>
      </c>
      <c r="J184" s="51" t="n">
        <v>6.11949784761262</v>
      </c>
      <c r="K184" s="51" t="n">
        <v>4</v>
      </c>
      <c r="L184" s="51" t="n">
        <v>5</v>
      </c>
      <c r="M184" s="51" t="n">
        <v>0</v>
      </c>
      <c r="N184" s="51" t="n">
        <v>1</v>
      </c>
      <c r="O184" s="51" t="n">
        <v>4</v>
      </c>
      <c r="P184" s="51" t="n">
        <v>240</v>
      </c>
      <c r="Q184" s="51" t="n">
        <v>5</v>
      </c>
      <c r="R184" s="51" t="n">
        <v>1600</v>
      </c>
      <c r="S184" s="51" t="n">
        <v>0</v>
      </c>
      <c r="T184" s="51" t="n">
        <v>5</v>
      </c>
      <c r="U184" s="51" t="n">
        <v>0</v>
      </c>
      <c r="V184" s="51" t="n">
        <v>0</v>
      </c>
      <c r="W184" s="51" t="n">
        <v>0</v>
      </c>
      <c r="X184" s="51" t="n">
        <v>1.1</v>
      </c>
    </row>
    <row r="185">
      <c r="A185" s="51" t="inlineStr">
        <is>
          <t>Lignin</t>
        </is>
      </c>
      <c r="B185" s="51" t="n">
        <v>0</v>
      </c>
      <c r="C185" s="51" t="n">
        <v>0</v>
      </c>
      <c r="D185" s="51" t="n">
        <v>100</v>
      </c>
      <c r="E185" s="51" t="n">
        <v>74.413547453817</v>
      </c>
      <c r="F185" s="51" t="n">
        <v>7.93957117369227</v>
      </c>
      <c r="G185" s="51" t="n">
        <v>16.0485850317427</v>
      </c>
      <c r="H185" s="51" t="n">
        <v>46.9552486099622</v>
      </c>
      <c r="I185" s="51" t="n">
        <v>44.8534837562515</v>
      </c>
      <c r="J185" s="51" t="n">
        <v>5.81999479571385</v>
      </c>
      <c r="K185" s="51" t="n">
        <v>1</v>
      </c>
      <c r="L185" s="51" t="n">
        <v>5</v>
      </c>
      <c r="M185" s="51" t="n">
        <v>0</v>
      </c>
      <c r="N185" s="51" t="n">
        <v>1</v>
      </c>
      <c r="O185" s="51" t="n">
        <v>4</v>
      </c>
      <c r="P185" s="51" t="n">
        <v>120</v>
      </c>
      <c r="Q185" s="51" t="n">
        <v>5</v>
      </c>
      <c r="R185" s="51" t="n">
        <v>1000</v>
      </c>
      <c r="S185" s="51" t="n">
        <v>0</v>
      </c>
      <c r="T185" s="51" t="n">
        <v>5</v>
      </c>
      <c r="U185" s="51" t="n">
        <v>0</v>
      </c>
      <c r="V185" s="51" t="n">
        <v>0</v>
      </c>
      <c r="W185" s="51" t="n">
        <v>0</v>
      </c>
      <c r="X185" s="51" t="n">
        <v>0.523560209424084</v>
      </c>
    </row>
    <row r="186">
      <c r="A186" s="51" t="inlineStr">
        <is>
          <t>Lignin</t>
        </is>
      </c>
      <c r="B186" s="51" t="n">
        <v>0</v>
      </c>
      <c r="C186" s="51" t="n">
        <v>0</v>
      </c>
      <c r="D186" s="51" t="n">
        <v>100</v>
      </c>
      <c r="E186" s="51" t="n">
        <v>74.413547453817</v>
      </c>
      <c r="F186" s="51" t="n">
        <v>7.93957117369227</v>
      </c>
      <c r="G186" s="51" t="n">
        <v>16.0485850317427</v>
      </c>
      <c r="H186" s="51" t="n">
        <v>46.9552486099622</v>
      </c>
      <c r="I186" s="51" t="n">
        <v>44.8534837562515</v>
      </c>
      <c r="J186" s="51" t="n">
        <v>5.81999479571385</v>
      </c>
      <c r="K186" s="51" t="n">
        <v>1</v>
      </c>
      <c r="L186" s="51" t="n">
        <v>5</v>
      </c>
      <c r="M186" s="51" t="n">
        <v>0</v>
      </c>
      <c r="N186" s="51" t="n">
        <v>1</v>
      </c>
      <c r="O186" s="51" t="n">
        <v>4</v>
      </c>
      <c r="P186" s="51" t="n">
        <v>120</v>
      </c>
      <c r="Q186" s="51" t="n">
        <v>5</v>
      </c>
      <c r="R186" s="51" t="n">
        <v>1200</v>
      </c>
      <c r="S186" s="51" t="n">
        <v>0</v>
      </c>
      <c r="T186" s="51" t="n">
        <v>5</v>
      </c>
      <c r="U186" s="51" t="n">
        <v>0</v>
      </c>
      <c r="V186" s="51" t="n">
        <v>0</v>
      </c>
      <c r="W186" s="51" t="n">
        <v>0</v>
      </c>
      <c r="X186" s="51" t="n">
        <v>0.584795321637427</v>
      </c>
    </row>
    <row r="187">
      <c r="A187" s="51" t="inlineStr">
        <is>
          <t>Lignin</t>
        </is>
      </c>
      <c r="B187" s="51" t="n">
        <v>0</v>
      </c>
      <c r="C187" s="51" t="n">
        <v>0</v>
      </c>
      <c r="D187" s="51" t="n">
        <v>100</v>
      </c>
      <c r="E187" s="51" t="n">
        <v>74.413547453817</v>
      </c>
      <c r="F187" s="51" t="n">
        <v>7.93957117369227</v>
      </c>
      <c r="G187" s="51" t="n">
        <v>16.0485850317427</v>
      </c>
      <c r="H187" s="51" t="n">
        <v>46.9552486099622</v>
      </c>
      <c r="I187" s="51" t="n">
        <v>44.8534837562515</v>
      </c>
      <c r="J187" s="51" t="n">
        <v>5.81999479571385</v>
      </c>
      <c r="K187" s="51" t="n">
        <v>1</v>
      </c>
      <c r="L187" s="51" t="n">
        <v>5</v>
      </c>
      <c r="M187" s="51" t="n">
        <v>0</v>
      </c>
      <c r="N187" s="51" t="n">
        <v>1</v>
      </c>
      <c r="O187" s="51" t="n">
        <v>4</v>
      </c>
      <c r="P187" s="51" t="n">
        <v>120</v>
      </c>
      <c r="Q187" s="51" t="n">
        <v>5</v>
      </c>
      <c r="R187" s="51" t="n">
        <v>1400</v>
      </c>
      <c r="S187" s="51" t="n">
        <v>0</v>
      </c>
      <c r="T187" s="51" t="n">
        <v>5</v>
      </c>
      <c r="U187" s="51" t="n">
        <v>0</v>
      </c>
      <c r="V187" s="51" t="n">
        <v>0</v>
      </c>
      <c r="W187" s="51" t="n">
        <v>0</v>
      </c>
      <c r="X187" s="51" t="n">
        <v>0.632911392405063</v>
      </c>
    </row>
    <row r="188">
      <c r="A188" s="51" t="inlineStr">
        <is>
          <t>Lignin</t>
        </is>
      </c>
      <c r="B188" s="51" t="n">
        <v>0</v>
      </c>
      <c r="C188" s="51" t="n">
        <v>0</v>
      </c>
      <c r="D188" s="51" t="n">
        <v>100</v>
      </c>
      <c r="E188" s="51" t="n">
        <v>74.413547453817</v>
      </c>
      <c r="F188" s="51" t="n">
        <v>7.93957117369227</v>
      </c>
      <c r="G188" s="51" t="n">
        <v>16.0485850317427</v>
      </c>
      <c r="H188" s="51" t="n">
        <v>46.9552486099622</v>
      </c>
      <c r="I188" s="51" t="n">
        <v>44.8534837562515</v>
      </c>
      <c r="J188" s="51" t="n">
        <v>5.81999479571385</v>
      </c>
      <c r="K188" s="51" t="n">
        <v>1</v>
      </c>
      <c r="L188" s="51" t="n">
        <v>5</v>
      </c>
      <c r="M188" s="51" t="n">
        <v>0</v>
      </c>
      <c r="N188" s="51" t="n">
        <v>1</v>
      </c>
      <c r="O188" s="51" t="n">
        <v>4</v>
      </c>
      <c r="P188" s="51" t="n">
        <v>120</v>
      </c>
      <c r="Q188" s="51" t="n">
        <v>5</v>
      </c>
      <c r="R188" s="51" t="n">
        <v>1600</v>
      </c>
      <c r="S188" s="51" t="n">
        <v>0</v>
      </c>
      <c r="T188" s="51" t="n">
        <v>5</v>
      </c>
      <c r="U188" s="51" t="n">
        <v>0</v>
      </c>
      <c r="V188" s="51" t="n">
        <v>0</v>
      </c>
      <c r="W188" s="51" t="n">
        <v>0</v>
      </c>
      <c r="X188" s="51" t="n">
        <v>0.671140939597315</v>
      </c>
    </row>
    <row r="189">
      <c r="A189" s="51" t="inlineStr">
        <is>
          <t>Lignin</t>
        </is>
      </c>
      <c r="B189" s="51" t="n">
        <v>0</v>
      </c>
      <c r="C189" s="51" t="n">
        <v>0</v>
      </c>
      <c r="D189" s="51" t="n">
        <v>100</v>
      </c>
      <c r="E189" s="51" t="n">
        <v>74.413547453817</v>
      </c>
      <c r="F189" s="51" t="n">
        <v>7.93957117369227</v>
      </c>
      <c r="G189" s="51" t="n">
        <v>16.0485850317427</v>
      </c>
      <c r="H189" s="51" t="n">
        <v>46.9552486099622</v>
      </c>
      <c r="I189" s="51" t="n">
        <v>44.8534837562515</v>
      </c>
      <c r="J189" s="51" t="n">
        <v>5.81999479571385</v>
      </c>
      <c r="K189" s="51" t="n">
        <v>1</v>
      </c>
      <c r="L189" s="51" t="n">
        <v>5</v>
      </c>
      <c r="M189" s="51" t="n">
        <v>0</v>
      </c>
      <c r="N189" s="51" t="n">
        <v>1</v>
      </c>
      <c r="O189" s="51" t="n">
        <v>4</v>
      </c>
      <c r="P189" s="51" t="n">
        <v>120</v>
      </c>
      <c r="Q189" s="51" t="n">
        <v>5</v>
      </c>
      <c r="R189" s="51" t="n">
        <v>1800</v>
      </c>
      <c r="S189" s="51" t="n">
        <v>0</v>
      </c>
      <c r="T189" s="51" t="n">
        <v>5</v>
      </c>
      <c r="U189" s="51" t="n">
        <v>0</v>
      </c>
      <c r="V189" s="51" t="n">
        <v>0</v>
      </c>
      <c r="W189" s="51" t="n">
        <v>0</v>
      </c>
      <c r="X189" s="51" t="n">
        <v>0.7092198581560279</v>
      </c>
    </row>
    <row r="190">
      <c r="A190" s="51" t="inlineStr">
        <is>
          <t>Lignin</t>
        </is>
      </c>
      <c r="B190" s="51" t="n">
        <v>0</v>
      </c>
      <c r="C190" s="51" t="n">
        <v>0</v>
      </c>
      <c r="D190" s="51" t="n">
        <v>100</v>
      </c>
      <c r="E190" s="51" t="n">
        <v>74.413547453817</v>
      </c>
      <c r="F190" s="51" t="n">
        <v>7.93957117369227</v>
      </c>
      <c r="G190" s="51" t="n">
        <v>16.0485850317427</v>
      </c>
      <c r="H190" s="51" t="n">
        <v>46.9552486099622</v>
      </c>
      <c r="I190" s="51" t="n">
        <v>44.8534837562515</v>
      </c>
      <c r="J190" s="51" t="n">
        <v>5.81999479571385</v>
      </c>
      <c r="K190" s="51" t="n">
        <v>1</v>
      </c>
      <c r="L190" s="51" t="n">
        <v>5</v>
      </c>
      <c r="M190" s="51" t="n">
        <v>1</v>
      </c>
      <c r="N190" s="51" t="n">
        <v>1</v>
      </c>
      <c r="O190" s="51" t="n">
        <v>4</v>
      </c>
      <c r="P190" s="51" t="n">
        <v>60</v>
      </c>
      <c r="Q190" s="51" t="n">
        <v>10</v>
      </c>
      <c r="R190" s="51" t="n">
        <v>800</v>
      </c>
      <c r="S190" s="51" t="n">
        <v>1</v>
      </c>
      <c r="T190" s="51" t="n">
        <v>5</v>
      </c>
      <c r="U190" s="51" t="n">
        <v>480</v>
      </c>
      <c r="V190" s="51" t="n">
        <v>10</v>
      </c>
      <c r="W190" s="51" t="n">
        <v>1300</v>
      </c>
      <c r="X190" s="51" t="n">
        <v>0.62</v>
      </c>
    </row>
    <row r="191">
      <c r="A191" s="51" t="inlineStr">
        <is>
          <t>Lotus seedpod</t>
        </is>
      </c>
      <c r="B191" s="51" t="n">
        <v>32</v>
      </c>
      <c r="C191" s="51" t="n">
        <v>22</v>
      </c>
      <c r="D191" s="51" t="n">
        <v>18</v>
      </c>
      <c r="E191" s="51" t="n">
        <v>74.0843415740194</v>
      </c>
      <c r="F191" s="51" t="n">
        <v>5.41395436606743</v>
      </c>
      <c r="G191" s="51" t="n">
        <v>20.3226845536871</v>
      </c>
      <c r="H191" s="51" t="n">
        <v>44.2768101943862</v>
      </c>
      <c r="I191" s="51" t="n">
        <v>42.4266732942664</v>
      </c>
      <c r="J191" s="51" t="n">
        <v>4.60876937937635</v>
      </c>
      <c r="K191" s="51" t="n">
        <v>4</v>
      </c>
      <c r="L191" s="51" t="n">
        <v>1</v>
      </c>
      <c r="M191" s="51" t="n">
        <v>0</v>
      </c>
      <c r="N191" s="51" t="n">
        <v>1</v>
      </c>
      <c r="O191" s="51" t="n">
        <v>4</v>
      </c>
      <c r="P191" s="51" t="n">
        <v>120</v>
      </c>
      <c r="Q191" s="51" t="n">
        <v>3.01</v>
      </c>
      <c r="R191" s="51" t="n">
        <v>1000</v>
      </c>
      <c r="S191" s="51" t="n">
        <v>0</v>
      </c>
      <c r="T191" s="51" t="n">
        <v>5</v>
      </c>
      <c r="U191" s="51" t="n">
        <v>0</v>
      </c>
      <c r="V191" s="51" t="n">
        <v>0</v>
      </c>
      <c r="W191" s="51" t="n">
        <v>0</v>
      </c>
      <c r="X191" s="51" t="n">
        <v>0.408163265306122</v>
      </c>
    </row>
    <row r="192">
      <c r="A192" s="51" t="inlineStr">
        <is>
          <t>Lotus seedpod</t>
        </is>
      </c>
      <c r="B192" s="51" t="n">
        <v>32</v>
      </c>
      <c r="C192" s="51" t="n">
        <v>22</v>
      </c>
      <c r="D192" s="51" t="n">
        <v>18</v>
      </c>
      <c r="E192" s="51" t="n">
        <v>74.0843415740194</v>
      </c>
      <c r="F192" s="51" t="n">
        <v>5.41395436606743</v>
      </c>
      <c r="G192" s="51" t="n">
        <v>20.3226845536871</v>
      </c>
      <c r="H192" s="51" t="n">
        <v>44.2768101943862</v>
      </c>
      <c r="I192" s="51" t="n">
        <v>42.4266732942664</v>
      </c>
      <c r="J192" s="51" t="n">
        <v>4.60876937937635</v>
      </c>
      <c r="K192" s="51" t="n">
        <v>4</v>
      </c>
      <c r="L192" s="51" t="n">
        <v>1</v>
      </c>
      <c r="M192" s="51" t="n">
        <v>0</v>
      </c>
      <c r="N192" s="51" t="n">
        <v>1</v>
      </c>
      <c r="O192" s="51" t="n">
        <v>4</v>
      </c>
      <c r="P192" s="51" t="n">
        <v>120</v>
      </c>
      <c r="Q192" s="51" t="n">
        <v>4.59</v>
      </c>
      <c r="R192" s="51" t="n">
        <v>1200</v>
      </c>
      <c r="S192" s="51" t="n">
        <v>0</v>
      </c>
      <c r="T192" s="51" t="n">
        <v>5</v>
      </c>
      <c r="U192" s="51" t="n">
        <v>0</v>
      </c>
      <c r="V192" s="51" t="n">
        <v>0</v>
      </c>
      <c r="W192" s="51" t="n">
        <v>0</v>
      </c>
      <c r="X192" s="51" t="n">
        <v>0.492610837438424</v>
      </c>
    </row>
    <row r="193">
      <c r="A193" s="51" t="inlineStr">
        <is>
          <t>Lotus seedpod</t>
        </is>
      </c>
      <c r="B193" s="51" t="n">
        <v>32</v>
      </c>
      <c r="C193" s="51" t="n">
        <v>22</v>
      </c>
      <c r="D193" s="51" t="n">
        <v>18</v>
      </c>
      <c r="E193" s="51" t="n">
        <v>74.0843415740194</v>
      </c>
      <c r="F193" s="51" t="n">
        <v>5.41395436606743</v>
      </c>
      <c r="G193" s="51" t="n">
        <v>20.3226845536871</v>
      </c>
      <c r="H193" s="51" t="n">
        <v>44.2768101943862</v>
      </c>
      <c r="I193" s="51" t="n">
        <v>42.4266732942664</v>
      </c>
      <c r="J193" s="51" t="n">
        <v>4.60876937937635</v>
      </c>
      <c r="K193" s="51" t="n">
        <v>4</v>
      </c>
      <c r="L193" s="51" t="n">
        <v>1</v>
      </c>
      <c r="M193" s="51" t="n">
        <v>0</v>
      </c>
      <c r="N193" s="51" t="n">
        <v>1</v>
      </c>
      <c r="O193" s="51" t="n">
        <v>4</v>
      </c>
      <c r="P193" s="51" t="n">
        <v>120</v>
      </c>
      <c r="Q193" s="51" t="n">
        <v>5</v>
      </c>
      <c r="R193" s="51" t="n">
        <v>1400</v>
      </c>
      <c r="S193" s="51" t="n">
        <v>0</v>
      </c>
      <c r="T193" s="51" t="n">
        <v>5</v>
      </c>
      <c r="U193" s="51" t="n">
        <v>0</v>
      </c>
      <c r="V193" s="51" t="n">
        <v>0</v>
      </c>
      <c r="W193" s="51" t="n">
        <v>0</v>
      </c>
      <c r="X193" s="51" t="n">
        <v>0.558659217877095</v>
      </c>
    </row>
    <row r="194">
      <c r="A194" s="51" t="inlineStr">
        <is>
          <t>Macadamia nutshell</t>
        </is>
      </c>
      <c r="B194" s="51" t="n">
        <v>29.5</v>
      </c>
      <c r="C194" s="51" t="n">
        <v>30</v>
      </c>
      <c r="D194" s="51" t="n">
        <v>40.1</v>
      </c>
      <c r="E194" s="51" t="n">
        <v>76.25</v>
      </c>
      <c r="F194" s="51" t="n">
        <v>0.36</v>
      </c>
      <c r="G194" s="51" t="n">
        <v>23.4</v>
      </c>
      <c r="H194" s="51" t="n">
        <v>49.7</v>
      </c>
      <c r="I194" s="51" t="n">
        <v>35.2</v>
      </c>
      <c r="J194" s="51" t="n">
        <v>6.2</v>
      </c>
      <c r="K194" s="51" t="n">
        <v>4</v>
      </c>
      <c r="L194" s="51" t="n">
        <v>5</v>
      </c>
      <c r="M194" s="51" t="n">
        <v>0</v>
      </c>
      <c r="N194" s="51" t="n">
        <v>1</v>
      </c>
      <c r="O194" s="51" t="n">
        <v>4</v>
      </c>
      <c r="P194" s="51" t="n">
        <v>60</v>
      </c>
      <c r="Q194" s="51" t="n">
        <v>4.60597616628273</v>
      </c>
      <c r="R194" s="51" t="n">
        <v>700</v>
      </c>
      <c r="S194" s="51" t="n">
        <v>0</v>
      </c>
      <c r="T194" s="51" t="n">
        <v>5</v>
      </c>
      <c r="U194" s="51" t="n">
        <v>0</v>
      </c>
      <c r="V194" s="51" t="n">
        <v>0</v>
      </c>
      <c r="W194" s="51" t="n">
        <v>0</v>
      </c>
      <c r="X194" s="51" t="n">
        <v>0.429184549356223</v>
      </c>
    </row>
    <row r="195">
      <c r="A195" s="51" t="inlineStr">
        <is>
          <t>Macadamia nutshell</t>
        </is>
      </c>
      <c r="B195" s="51" t="n">
        <v>29.5</v>
      </c>
      <c r="C195" s="51" t="n">
        <v>30</v>
      </c>
      <c r="D195" s="51" t="n">
        <v>40.1</v>
      </c>
      <c r="E195" s="51" t="n">
        <v>76.25</v>
      </c>
      <c r="F195" s="51" t="n">
        <v>0.36</v>
      </c>
      <c r="G195" s="51" t="n">
        <v>23.4</v>
      </c>
      <c r="H195" s="51" t="n">
        <v>49.7</v>
      </c>
      <c r="I195" s="51" t="n">
        <v>35.2</v>
      </c>
      <c r="J195" s="51" t="n">
        <v>6.2</v>
      </c>
      <c r="K195" s="51" t="n">
        <v>4</v>
      </c>
      <c r="L195" s="51" t="n">
        <v>5</v>
      </c>
      <c r="M195" s="51" t="n">
        <v>0</v>
      </c>
      <c r="N195" s="51" t="n">
        <v>1</v>
      </c>
      <c r="O195" s="51" t="n">
        <v>4</v>
      </c>
      <c r="P195" s="51" t="n">
        <v>60</v>
      </c>
      <c r="Q195" s="51" t="n">
        <v>3.82264384841064</v>
      </c>
      <c r="R195" s="51" t="n">
        <v>900</v>
      </c>
      <c r="S195" s="51" t="n">
        <v>0</v>
      </c>
      <c r="T195" s="51" t="n">
        <v>5</v>
      </c>
      <c r="U195" s="51" t="n">
        <v>0</v>
      </c>
      <c r="V195" s="51" t="n">
        <v>0</v>
      </c>
      <c r="W195" s="51" t="n">
        <v>0</v>
      </c>
      <c r="X195" s="51" t="n">
        <v>0.347222222222222</v>
      </c>
    </row>
    <row r="196">
      <c r="A196" s="51" t="inlineStr">
        <is>
          <t>Macadamia nutshell</t>
        </is>
      </c>
      <c r="B196" s="51" t="n">
        <v>29.5</v>
      </c>
      <c r="C196" s="51" t="n">
        <v>30</v>
      </c>
      <c r="D196" s="51" t="n">
        <v>40.1</v>
      </c>
      <c r="E196" s="51" t="n">
        <v>76.25</v>
      </c>
      <c r="F196" s="51" t="n">
        <v>0.36</v>
      </c>
      <c r="G196" s="51" t="n">
        <v>23.4</v>
      </c>
      <c r="H196" s="51" t="n">
        <v>49.7</v>
      </c>
      <c r="I196" s="51" t="n">
        <v>35.2</v>
      </c>
      <c r="J196" s="51" t="n">
        <v>6.2</v>
      </c>
      <c r="K196" s="51" t="n">
        <v>4</v>
      </c>
      <c r="L196" s="51" t="n">
        <v>5</v>
      </c>
      <c r="M196" s="51" t="n">
        <v>0</v>
      </c>
      <c r="N196" s="51" t="n">
        <v>1</v>
      </c>
      <c r="O196" s="51" t="n">
        <v>4</v>
      </c>
      <c r="P196" s="51" t="n">
        <v>60</v>
      </c>
      <c r="Q196" s="51" t="n">
        <v>3.90589524272461</v>
      </c>
      <c r="R196" s="51" t="n">
        <v>1100</v>
      </c>
      <c r="S196" s="51" t="n">
        <v>0</v>
      </c>
      <c r="T196" s="51" t="n">
        <v>5</v>
      </c>
      <c r="U196" s="51" t="n">
        <v>0</v>
      </c>
      <c r="V196" s="51" t="n">
        <v>0</v>
      </c>
      <c r="W196" s="51" t="n">
        <v>0</v>
      </c>
      <c r="X196" s="51" t="n">
        <v>0.347222222222222</v>
      </c>
    </row>
    <row r="197">
      <c r="A197" s="51" t="inlineStr">
        <is>
          <t>Mangosteen shell</t>
        </is>
      </c>
      <c r="B197" s="51" t="n">
        <v>26.22</v>
      </c>
      <c r="C197" s="51" t="n">
        <v>15.39</v>
      </c>
      <c r="D197" s="51" t="n">
        <v>48.52</v>
      </c>
      <c r="E197" s="51" t="n">
        <v>62.28</v>
      </c>
      <c r="F197" s="51" t="n">
        <v>1.85</v>
      </c>
      <c r="G197" s="51" t="n">
        <v>32.29</v>
      </c>
      <c r="H197" s="51" t="n">
        <v>48.81</v>
      </c>
      <c r="I197" s="51" t="n">
        <v>42.7</v>
      </c>
      <c r="J197" s="51" t="n">
        <v>5.73</v>
      </c>
      <c r="K197" s="51" t="n">
        <v>4</v>
      </c>
      <c r="L197" s="51" t="n">
        <v>5</v>
      </c>
      <c r="M197" s="51" t="n">
        <v>0</v>
      </c>
      <c r="N197" s="51" t="n">
        <v>1</v>
      </c>
      <c r="O197" s="51" t="n">
        <v>4</v>
      </c>
      <c r="P197" s="51" t="n">
        <v>120</v>
      </c>
      <c r="Q197" s="51" t="n">
        <v>3</v>
      </c>
      <c r="R197" s="51" t="n">
        <v>800</v>
      </c>
      <c r="S197" s="51" t="n">
        <v>0</v>
      </c>
      <c r="T197" s="51" t="n">
        <v>5</v>
      </c>
      <c r="U197" s="51" t="n">
        <v>0</v>
      </c>
      <c r="V197" s="51" t="n">
        <v>0</v>
      </c>
      <c r="W197" s="51" t="n">
        <v>0</v>
      </c>
      <c r="X197" s="51" t="n">
        <v>0.492</v>
      </c>
    </row>
    <row r="198">
      <c r="A198" s="51" t="inlineStr">
        <is>
          <t>Mangosteen shell</t>
        </is>
      </c>
      <c r="B198" s="51" t="n">
        <v>26.22</v>
      </c>
      <c r="C198" s="51" t="n">
        <v>15.39</v>
      </c>
      <c r="D198" s="51" t="n">
        <v>48.52</v>
      </c>
      <c r="E198" s="51" t="n">
        <v>62.28</v>
      </c>
      <c r="F198" s="51" t="n">
        <v>1.85</v>
      </c>
      <c r="G198" s="51" t="n">
        <v>32.29</v>
      </c>
      <c r="H198" s="51" t="n">
        <v>48.81</v>
      </c>
      <c r="I198" s="51" t="n">
        <v>42.7</v>
      </c>
      <c r="J198" s="51" t="n">
        <v>5.73</v>
      </c>
      <c r="K198" s="51" t="n">
        <v>4</v>
      </c>
      <c r="L198" s="51" t="n">
        <v>5</v>
      </c>
      <c r="M198" s="51" t="n">
        <v>0</v>
      </c>
      <c r="N198" s="51" t="n">
        <v>1</v>
      </c>
      <c r="O198" s="51" t="n">
        <v>4</v>
      </c>
      <c r="P198" s="51" t="n">
        <v>120</v>
      </c>
      <c r="Q198" s="51" t="n">
        <v>3</v>
      </c>
      <c r="R198" s="51" t="n">
        <v>900</v>
      </c>
      <c r="S198" s="51" t="n">
        <v>0</v>
      </c>
      <c r="T198" s="51" t="n">
        <v>5</v>
      </c>
      <c r="U198" s="51" t="n">
        <v>0</v>
      </c>
      <c r="V198" s="51" t="n">
        <v>0</v>
      </c>
      <c r="W198" s="51" t="n">
        <v>0</v>
      </c>
      <c r="X198" s="51" t="n">
        <v>0.507</v>
      </c>
    </row>
    <row r="199">
      <c r="A199" s="51" t="inlineStr">
        <is>
          <t>Mangosteen shell</t>
        </is>
      </c>
      <c r="B199" s="51" t="n">
        <v>26.22</v>
      </c>
      <c r="C199" s="51" t="n">
        <v>15.39</v>
      </c>
      <c r="D199" s="51" t="n">
        <v>48.52</v>
      </c>
      <c r="E199" s="51" t="n">
        <v>62.28</v>
      </c>
      <c r="F199" s="51" t="n">
        <v>1.85</v>
      </c>
      <c r="G199" s="51" t="n">
        <v>32.29</v>
      </c>
      <c r="H199" s="51" t="n">
        <v>48.81</v>
      </c>
      <c r="I199" s="51" t="n">
        <v>42.7</v>
      </c>
      <c r="J199" s="51" t="n">
        <v>5.73</v>
      </c>
      <c r="K199" s="51" t="n">
        <v>4</v>
      </c>
      <c r="L199" s="51" t="n">
        <v>5</v>
      </c>
      <c r="M199" s="51" t="n">
        <v>0</v>
      </c>
      <c r="N199" s="51" t="n">
        <v>1</v>
      </c>
      <c r="O199" s="51" t="n">
        <v>4</v>
      </c>
      <c r="P199" s="51" t="n">
        <v>120</v>
      </c>
      <c r="Q199" s="51" t="n">
        <v>3</v>
      </c>
      <c r="R199" s="51" t="n">
        <v>1000</v>
      </c>
      <c r="S199" s="51" t="n">
        <v>0</v>
      </c>
      <c r="T199" s="51" t="n">
        <v>5</v>
      </c>
      <c r="U199" s="51" t="n">
        <v>0</v>
      </c>
      <c r="V199" s="51" t="n">
        <v>0</v>
      </c>
      <c r="W199" s="51" t="n">
        <v>0</v>
      </c>
      <c r="X199" s="51" t="n">
        <v>0.534</v>
      </c>
    </row>
    <row r="200">
      <c r="A200" s="51" t="inlineStr">
        <is>
          <t>Mangosteen shell</t>
        </is>
      </c>
      <c r="B200" s="51" t="n">
        <v>26.22</v>
      </c>
      <c r="C200" s="51" t="n">
        <v>15.39</v>
      </c>
      <c r="D200" s="51" t="n">
        <v>48.52</v>
      </c>
      <c r="E200" s="51" t="n">
        <v>62.28</v>
      </c>
      <c r="F200" s="51" t="n">
        <v>1.85</v>
      </c>
      <c r="G200" s="51" t="n">
        <v>32.29</v>
      </c>
      <c r="H200" s="51" t="n">
        <v>48.81</v>
      </c>
      <c r="I200" s="51" t="n">
        <v>42.7</v>
      </c>
      <c r="J200" s="51" t="n">
        <v>5.73</v>
      </c>
      <c r="K200" s="51" t="n">
        <v>4</v>
      </c>
      <c r="L200" s="51" t="n">
        <v>5</v>
      </c>
      <c r="M200" s="51" t="n">
        <v>0</v>
      </c>
      <c r="N200" s="51" t="n">
        <v>1</v>
      </c>
      <c r="O200" s="51" t="n">
        <v>4</v>
      </c>
      <c r="P200" s="51" t="n">
        <v>120</v>
      </c>
      <c r="Q200" s="51" t="n">
        <v>3</v>
      </c>
      <c r="R200" s="51" t="n">
        <v>1100</v>
      </c>
      <c r="S200" s="51" t="n">
        <v>0</v>
      </c>
      <c r="T200" s="51" t="n">
        <v>5</v>
      </c>
      <c r="U200" s="51" t="n">
        <v>0</v>
      </c>
      <c r="V200" s="51" t="n">
        <v>0</v>
      </c>
      <c r="W200" s="51" t="n">
        <v>0</v>
      </c>
      <c r="X200" s="51" t="n">
        <v>0.569</v>
      </c>
    </row>
    <row r="201">
      <c r="A201" s="51" t="inlineStr">
        <is>
          <t>Mangosteen shell</t>
        </is>
      </c>
      <c r="B201" s="51" t="n">
        <v>26.22</v>
      </c>
      <c r="C201" s="51" t="n">
        <v>15.39</v>
      </c>
      <c r="D201" s="51" t="n">
        <v>48.52</v>
      </c>
      <c r="E201" s="51" t="n">
        <v>62.28</v>
      </c>
      <c r="F201" s="51" t="n">
        <v>1.85</v>
      </c>
      <c r="G201" s="51" t="n">
        <v>32.29</v>
      </c>
      <c r="H201" s="51" t="n">
        <v>48.81</v>
      </c>
      <c r="I201" s="51" t="n">
        <v>42.7</v>
      </c>
      <c r="J201" s="51" t="n">
        <v>5.73</v>
      </c>
      <c r="K201" s="51" t="n">
        <v>4</v>
      </c>
      <c r="L201" s="51" t="n">
        <v>5</v>
      </c>
      <c r="M201" s="51" t="n">
        <v>0</v>
      </c>
      <c r="N201" s="51" t="n">
        <v>1</v>
      </c>
      <c r="O201" s="51" t="n">
        <v>4</v>
      </c>
      <c r="P201" s="51" t="n">
        <v>120</v>
      </c>
      <c r="Q201" s="51" t="n">
        <v>3</v>
      </c>
      <c r="R201" s="51" t="n">
        <v>1200</v>
      </c>
      <c r="S201" s="51" t="n">
        <v>0</v>
      </c>
      <c r="T201" s="51" t="n">
        <v>5</v>
      </c>
      <c r="U201" s="51" t="n">
        <v>0</v>
      </c>
      <c r="V201" s="51" t="n">
        <v>0</v>
      </c>
      <c r="W201" s="51" t="n">
        <v>0</v>
      </c>
      <c r="X201" s="51" t="n">
        <v>0.584</v>
      </c>
    </row>
    <row r="202">
      <c r="A202" s="51" t="inlineStr">
        <is>
          <t>Mangosteen shell</t>
        </is>
      </c>
      <c r="B202" s="51" t="n">
        <v>26.22</v>
      </c>
      <c r="C202" s="51" t="n">
        <v>15.39</v>
      </c>
      <c r="D202" s="51" t="n">
        <v>48.52</v>
      </c>
      <c r="E202" s="51" t="n">
        <v>62.28</v>
      </c>
      <c r="F202" s="51" t="n">
        <v>1.85</v>
      </c>
      <c r="G202" s="51" t="n">
        <v>32.29</v>
      </c>
      <c r="H202" s="51" t="n">
        <v>48.81</v>
      </c>
      <c r="I202" s="51" t="n">
        <v>42.7</v>
      </c>
      <c r="J202" s="51" t="n">
        <v>5.73</v>
      </c>
      <c r="K202" s="51" t="n">
        <v>4</v>
      </c>
      <c r="L202" s="51" t="n">
        <v>5</v>
      </c>
      <c r="M202" s="51" t="n">
        <v>0</v>
      </c>
      <c r="N202" s="51" t="n">
        <v>1</v>
      </c>
      <c r="O202" s="51" t="n">
        <v>4</v>
      </c>
      <c r="P202" s="51" t="n">
        <v>120</v>
      </c>
      <c r="Q202" s="51" t="n">
        <v>3</v>
      </c>
      <c r="R202" s="51" t="n">
        <v>1300</v>
      </c>
      <c r="S202" s="51" t="n">
        <v>0</v>
      </c>
      <c r="T202" s="51" t="n">
        <v>5</v>
      </c>
      <c r="U202" s="51" t="n">
        <v>0</v>
      </c>
      <c r="V202" s="51" t="n">
        <v>0</v>
      </c>
      <c r="W202" s="51" t="n">
        <v>0</v>
      </c>
      <c r="X202" s="51" t="n">
        <v>0.598</v>
      </c>
    </row>
    <row r="203">
      <c r="A203" s="51" t="inlineStr">
        <is>
          <t>Mangosteen shell</t>
        </is>
      </c>
      <c r="B203" s="51" t="n">
        <v>26.22</v>
      </c>
      <c r="C203" s="51" t="n">
        <v>15.39</v>
      </c>
      <c r="D203" s="51" t="n">
        <v>48.52</v>
      </c>
      <c r="E203" s="51" t="n">
        <v>62.28</v>
      </c>
      <c r="F203" s="51" t="n">
        <v>1.85</v>
      </c>
      <c r="G203" s="51" t="n">
        <v>32.29</v>
      </c>
      <c r="H203" s="51" t="n">
        <v>48.81</v>
      </c>
      <c r="I203" s="51" t="n">
        <v>42.7</v>
      </c>
      <c r="J203" s="51" t="n">
        <v>5.73</v>
      </c>
      <c r="K203" s="51" t="n">
        <v>4</v>
      </c>
      <c r="L203" s="51" t="n">
        <v>5</v>
      </c>
      <c r="M203" s="51" t="n">
        <v>0</v>
      </c>
      <c r="N203" s="51" t="n">
        <v>1</v>
      </c>
      <c r="O203" s="51" t="n">
        <v>4</v>
      </c>
      <c r="P203" s="51" t="n">
        <v>120</v>
      </c>
      <c r="Q203" s="51" t="n">
        <v>3</v>
      </c>
      <c r="R203" s="51" t="n">
        <v>1400</v>
      </c>
      <c r="S203" s="51" t="n">
        <v>0</v>
      </c>
      <c r="T203" s="51" t="n">
        <v>5</v>
      </c>
      <c r="U203" s="51" t="n">
        <v>0</v>
      </c>
      <c r="V203" s="51" t="n">
        <v>0</v>
      </c>
      <c r="W203" s="51" t="n">
        <v>0</v>
      </c>
      <c r="X203" s="51" t="n">
        <v>0.624</v>
      </c>
    </row>
    <row r="204">
      <c r="A204" s="51" t="inlineStr">
        <is>
          <t>Mangosteen shell</t>
        </is>
      </c>
      <c r="B204" s="51" t="n">
        <v>26.22</v>
      </c>
      <c r="C204" s="51" t="n">
        <v>15.39</v>
      </c>
      <c r="D204" s="51" t="n">
        <v>48.52</v>
      </c>
      <c r="E204" s="51" t="n">
        <v>62.28</v>
      </c>
      <c r="F204" s="51" t="n">
        <v>1.85</v>
      </c>
      <c r="G204" s="51" t="n">
        <v>32.29</v>
      </c>
      <c r="H204" s="51" t="n">
        <v>48.81</v>
      </c>
      <c r="I204" s="51" t="n">
        <v>42.7</v>
      </c>
      <c r="J204" s="51" t="n">
        <v>5.73</v>
      </c>
      <c r="K204" s="51" t="n">
        <v>4</v>
      </c>
      <c r="L204" s="51" t="n">
        <v>5</v>
      </c>
      <c r="M204" s="51" t="n">
        <v>0</v>
      </c>
      <c r="N204" s="51" t="n">
        <v>1</v>
      </c>
      <c r="O204" s="51" t="n">
        <v>4</v>
      </c>
      <c r="P204" s="51" t="n">
        <v>120</v>
      </c>
      <c r="Q204" s="51" t="n">
        <v>3</v>
      </c>
      <c r="R204" s="51" t="n">
        <v>1500</v>
      </c>
      <c r="S204" s="51" t="n">
        <v>0</v>
      </c>
      <c r="T204" s="51" t="n">
        <v>5</v>
      </c>
      <c r="U204" s="51" t="n">
        <v>0</v>
      </c>
      <c r="V204" s="51" t="n">
        <v>0</v>
      </c>
      <c r="W204" s="51" t="n">
        <v>0</v>
      </c>
      <c r="X204" s="51" t="n">
        <v>0.666</v>
      </c>
    </row>
    <row r="205">
      <c r="A205" s="51" t="inlineStr">
        <is>
          <t>Mangosteen shell</t>
        </is>
      </c>
      <c r="B205" s="51" t="n">
        <v>26.22</v>
      </c>
      <c r="C205" s="51" t="n">
        <v>15.39</v>
      </c>
      <c r="D205" s="51" t="n">
        <v>48.52</v>
      </c>
      <c r="E205" s="51" t="n">
        <v>62.28</v>
      </c>
      <c r="F205" s="51" t="n">
        <v>1.85</v>
      </c>
      <c r="G205" s="51" t="n">
        <v>32.29</v>
      </c>
      <c r="H205" s="51" t="n">
        <v>48.81</v>
      </c>
      <c r="I205" s="51" t="n">
        <v>42.7</v>
      </c>
      <c r="J205" s="51" t="n">
        <v>5.73</v>
      </c>
      <c r="K205" s="51" t="n">
        <v>4</v>
      </c>
      <c r="L205" s="51" t="n">
        <v>5</v>
      </c>
      <c r="M205" s="51" t="n">
        <v>0</v>
      </c>
      <c r="N205" s="51" t="n">
        <v>1</v>
      </c>
      <c r="O205" s="51" t="n">
        <v>4</v>
      </c>
      <c r="P205" s="51" t="n">
        <v>120</v>
      </c>
      <c r="Q205" s="51" t="n">
        <v>3</v>
      </c>
      <c r="R205" s="51" t="n">
        <v>1600</v>
      </c>
      <c r="S205" s="51" t="n">
        <v>0</v>
      </c>
      <c r="T205" s="51" t="n">
        <v>5</v>
      </c>
      <c r="U205" s="51" t="n">
        <v>0</v>
      </c>
      <c r="V205" s="51" t="n">
        <v>0</v>
      </c>
      <c r="W205" s="51" t="n">
        <v>0</v>
      </c>
      <c r="X205" s="51" t="n">
        <v>0.668</v>
      </c>
    </row>
    <row r="206">
      <c r="A206" s="51" t="inlineStr">
        <is>
          <t>Maple tree</t>
        </is>
      </c>
      <c r="B206" s="51" t="n">
        <v>44.6</v>
      </c>
      <c r="C206" s="51" t="n">
        <v>33.1</v>
      </c>
      <c r="D206" s="51" t="n">
        <v>22</v>
      </c>
      <c r="E206" s="51" t="n">
        <v>65.3</v>
      </c>
      <c r="F206" s="51" t="n">
        <v>23.93</v>
      </c>
      <c r="G206" s="51" t="n">
        <v>10.77</v>
      </c>
      <c r="H206" s="51" t="n">
        <v>40.7772766274009</v>
      </c>
      <c r="I206" s="51" t="n">
        <v>42.7278234767693</v>
      </c>
      <c r="J206" s="51" t="n">
        <v>5.48432106271556</v>
      </c>
      <c r="K206" s="51" t="n">
        <v>1</v>
      </c>
      <c r="L206" s="51" t="n">
        <v>5</v>
      </c>
      <c r="M206" s="51" t="n">
        <v>0</v>
      </c>
      <c r="N206" s="51" t="n">
        <v>1</v>
      </c>
      <c r="O206" s="51" t="n">
        <v>4</v>
      </c>
      <c r="P206" s="51" t="n">
        <v>84.6380867969646</v>
      </c>
      <c r="Q206" s="51" t="n">
        <v>4.61026208136205</v>
      </c>
      <c r="R206" s="51" t="n">
        <v>1400</v>
      </c>
      <c r="S206" s="51" t="n">
        <v>0</v>
      </c>
      <c r="T206" s="51" t="n">
        <v>5</v>
      </c>
      <c r="U206" s="51" t="n">
        <v>0</v>
      </c>
      <c r="V206" s="51" t="n">
        <v>0</v>
      </c>
      <c r="W206" s="51" t="n">
        <v>0</v>
      </c>
      <c r="X206" s="51" t="n">
        <v>0.58</v>
      </c>
    </row>
    <row r="207">
      <c r="A207" s="51" t="inlineStr">
        <is>
          <t>Miscanthus</t>
        </is>
      </c>
      <c r="B207" s="51" t="n">
        <v>36.96</v>
      </c>
      <c r="C207" s="51" t="n">
        <v>22.12</v>
      </c>
      <c r="D207" s="51" t="n">
        <v>23.3</v>
      </c>
      <c r="E207" s="51" t="n">
        <v>83.09999999999999</v>
      </c>
      <c r="F207" s="51" t="n">
        <v>1.48</v>
      </c>
      <c r="G207" s="51" t="n">
        <v>5.92</v>
      </c>
      <c r="H207" s="51" t="n">
        <v>45.51</v>
      </c>
      <c r="I207" s="51" t="n">
        <v>37.8</v>
      </c>
      <c r="J207" s="51" t="n">
        <v>5.29</v>
      </c>
      <c r="K207" s="51" t="n">
        <v>4</v>
      </c>
      <c r="L207" s="51" t="n">
        <v>5</v>
      </c>
      <c r="M207" s="51" t="n">
        <v>0</v>
      </c>
      <c r="N207" s="51" t="n">
        <v>1</v>
      </c>
      <c r="O207" s="51" t="n">
        <v>4</v>
      </c>
      <c r="P207" s="51" t="n">
        <v>60</v>
      </c>
      <c r="Q207" s="51" t="n">
        <v>3.3</v>
      </c>
      <c r="R207" s="51" t="n">
        <v>1000</v>
      </c>
      <c r="S207" s="51" t="n">
        <v>0</v>
      </c>
      <c r="T207" s="51" t="n">
        <v>5</v>
      </c>
      <c r="U207" s="51" t="n">
        <v>0</v>
      </c>
      <c r="V207" s="51" t="n">
        <v>0</v>
      </c>
      <c r="W207" s="51" t="n">
        <v>0</v>
      </c>
      <c r="X207" s="51" t="n">
        <v>0.275482093663912</v>
      </c>
    </row>
    <row r="208">
      <c r="A208" s="51" t="inlineStr">
        <is>
          <t>Miscanthus</t>
        </is>
      </c>
      <c r="B208" s="51" t="n">
        <v>36.96</v>
      </c>
      <c r="C208" s="51" t="n">
        <v>22.12</v>
      </c>
      <c r="D208" s="51" t="n">
        <v>23.3</v>
      </c>
      <c r="E208" s="51" t="n">
        <v>83.09999999999999</v>
      </c>
      <c r="F208" s="51" t="n">
        <v>1.48</v>
      </c>
      <c r="G208" s="51" t="n">
        <v>5.92</v>
      </c>
      <c r="H208" s="51" t="n">
        <v>45.51</v>
      </c>
      <c r="I208" s="51" t="n">
        <v>37.8</v>
      </c>
      <c r="J208" s="51" t="n">
        <v>5.29</v>
      </c>
      <c r="K208" s="51" t="n">
        <v>4</v>
      </c>
      <c r="L208" s="51" t="n">
        <v>5</v>
      </c>
      <c r="M208" s="51" t="n">
        <v>0</v>
      </c>
      <c r="N208" s="51" t="n">
        <v>1</v>
      </c>
      <c r="O208" s="51" t="n">
        <v>4</v>
      </c>
      <c r="P208" s="51" t="n">
        <v>60</v>
      </c>
      <c r="Q208" s="51" t="n">
        <v>3.3</v>
      </c>
      <c r="R208" s="51" t="n">
        <v>1200</v>
      </c>
      <c r="S208" s="51" t="n">
        <v>0</v>
      </c>
      <c r="T208" s="51" t="n">
        <v>5</v>
      </c>
      <c r="U208" s="51" t="n">
        <v>0</v>
      </c>
      <c r="V208" s="51" t="n">
        <v>0</v>
      </c>
      <c r="W208" s="51" t="n">
        <v>0</v>
      </c>
      <c r="X208" s="51" t="n">
        <v>0.403225806451613</v>
      </c>
    </row>
    <row r="209">
      <c r="A209" s="51" t="inlineStr">
        <is>
          <t>Miscanthus</t>
        </is>
      </c>
      <c r="B209" s="51" t="n">
        <v>36.96</v>
      </c>
      <c r="C209" s="51" t="n">
        <v>22.12</v>
      </c>
      <c r="D209" s="51" t="n">
        <v>23.3</v>
      </c>
      <c r="E209" s="51" t="n">
        <v>83.09999999999999</v>
      </c>
      <c r="F209" s="51" t="n">
        <v>1.48</v>
      </c>
      <c r="G209" s="51" t="n">
        <v>5.92</v>
      </c>
      <c r="H209" s="51" t="n">
        <v>45.51</v>
      </c>
      <c r="I209" s="51" t="n">
        <v>37.8</v>
      </c>
      <c r="J209" s="51" t="n">
        <v>5.29</v>
      </c>
      <c r="K209" s="51" t="n">
        <v>4</v>
      </c>
      <c r="L209" s="51" t="n">
        <v>5</v>
      </c>
      <c r="M209" s="51" t="n">
        <v>0</v>
      </c>
      <c r="N209" s="51" t="n">
        <v>1</v>
      </c>
      <c r="O209" s="51" t="n">
        <v>4</v>
      </c>
      <c r="P209" s="51" t="n">
        <v>60</v>
      </c>
      <c r="Q209" s="51" t="n">
        <v>3.3</v>
      </c>
      <c r="R209" s="51" t="n">
        <v>1400</v>
      </c>
      <c r="S209" s="51" t="n">
        <v>0</v>
      </c>
      <c r="T209" s="51" t="n">
        <v>5</v>
      </c>
      <c r="U209" s="51" t="n">
        <v>0</v>
      </c>
      <c r="V209" s="51" t="n">
        <v>0</v>
      </c>
      <c r="W209" s="51" t="n">
        <v>0</v>
      </c>
      <c r="X209" s="51" t="n">
        <v>0.458715596330275</v>
      </c>
    </row>
    <row r="210">
      <c r="A210" s="51" t="inlineStr">
        <is>
          <t>Oatmeal</t>
        </is>
      </c>
      <c r="B210" s="51" t="n">
        <v>40.1</v>
      </c>
      <c r="C210" s="51" t="n">
        <v>25.1</v>
      </c>
      <c r="D210" s="51" t="n">
        <v>26.1</v>
      </c>
      <c r="E210" s="51" t="n">
        <v>76.09999999999999</v>
      </c>
      <c r="F210" s="51" t="n">
        <v>6.1</v>
      </c>
      <c r="G210" s="51" t="n">
        <v>16.1</v>
      </c>
      <c r="H210" s="51" t="n">
        <v>48.17</v>
      </c>
      <c r="I210" s="51" t="n">
        <v>45.55</v>
      </c>
      <c r="J210" s="51" t="n">
        <v>6.23</v>
      </c>
      <c r="K210" s="51" t="n">
        <v>4</v>
      </c>
      <c r="L210" s="51" t="n">
        <v>7</v>
      </c>
      <c r="M210" s="51" t="n">
        <v>1</v>
      </c>
      <c r="N210" s="51" t="n">
        <v>0</v>
      </c>
      <c r="O210" s="51" t="n">
        <v>4</v>
      </c>
      <c r="P210" s="51" t="n">
        <v>720</v>
      </c>
      <c r="Q210" s="51" t="n">
        <v>4.82703000006722</v>
      </c>
      <c r="R210" s="51" t="n">
        <v>200</v>
      </c>
      <c r="S210" s="51" t="n">
        <v>1</v>
      </c>
      <c r="T210" s="51" t="n">
        <v>5</v>
      </c>
      <c r="U210" s="51" t="n">
        <v>83.9885341923579</v>
      </c>
      <c r="V210" s="51" t="n">
        <v>2.59923561282386</v>
      </c>
      <c r="W210" s="51" t="n">
        <v>300</v>
      </c>
      <c r="X210" s="51" t="n">
        <v>0.41</v>
      </c>
    </row>
    <row r="211">
      <c r="A211" s="51" t="inlineStr">
        <is>
          <t>Oatmeal</t>
        </is>
      </c>
      <c r="B211" s="51" t="n">
        <v>40.1</v>
      </c>
      <c r="C211" s="51" t="n">
        <v>25.1</v>
      </c>
      <c r="D211" s="51" t="n">
        <v>26.1</v>
      </c>
      <c r="E211" s="51" t="n">
        <v>76.09999999999999</v>
      </c>
      <c r="F211" s="51" t="n">
        <v>6.1</v>
      </c>
      <c r="G211" s="51" t="n">
        <v>16.1</v>
      </c>
      <c r="H211" s="51" t="n">
        <v>48.17</v>
      </c>
      <c r="I211" s="51" t="n">
        <v>45.55</v>
      </c>
      <c r="J211" s="51" t="n">
        <v>6.23</v>
      </c>
      <c r="K211" s="51" t="n">
        <v>4</v>
      </c>
      <c r="L211" s="51" t="n">
        <v>7</v>
      </c>
      <c r="M211" s="51" t="n">
        <v>1</v>
      </c>
      <c r="N211" s="51" t="n">
        <v>0</v>
      </c>
      <c r="O211" s="51" t="n">
        <v>4</v>
      </c>
      <c r="P211" s="51" t="n">
        <v>720</v>
      </c>
      <c r="Q211" s="51" t="n">
        <v>4.82703000006722</v>
      </c>
      <c r="R211" s="51" t="n">
        <v>200</v>
      </c>
      <c r="S211" s="51" t="n">
        <v>1</v>
      </c>
      <c r="T211" s="51" t="n">
        <v>5</v>
      </c>
      <c r="U211" s="51" t="n">
        <v>98.5535695446636</v>
      </c>
      <c r="V211" s="51" t="n">
        <v>3.57023796964424</v>
      </c>
      <c r="W211" s="51" t="n">
        <v>500</v>
      </c>
      <c r="X211" s="51" t="n">
        <v>0.67</v>
      </c>
    </row>
    <row r="212">
      <c r="A212" s="51" t="inlineStr">
        <is>
          <t>Oatmeal</t>
        </is>
      </c>
      <c r="B212" s="51" t="n">
        <v>40.1</v>
      </c>
      <c r="C212" s="51" t="n">
        <v>25.1</v>
      </c>
      <c r="D212" s="51" t="n">
        <v>26.1</v>
      </c>
      <c r="E212" s="51" t="n">
        <v>76.09999999999999</v>
      </c>
      <c r="F212" s="51" t="n">
        <v>6.1</v>
      </c>
      <c r="G212" s="51" t="n">
        <v>16.1</v>
      </c>
      <c r="H212" s="51" t="n">
        <v>48.17</v>
      </c>
      <c r="I212" s="51" t="n">
        <v>45.55</v>
      </c>
      <c r="J212" s="51" t="n">
        <v>6.23</v>
      </c>
      <c r="K212" s="51" t="n">
        <v>4</v>
      </c>
      <c r="L212" s="51" t="n">
        <v>7</v>
      </c>
      <c r="M212" s="51" t="n">
        <v>1</v>
      </c>
      <c r="N212" s="51" t="n">
        <v>0</v>
      </c>
      <c r="O212" s="51" t="n">
        <v>4</v>
      </c>
      <c r="P212" s="51" t="n">
        <v>720</v>
      </c>
      <c r="Q212" s="51" t="n">
        <v>4.82703000006722</v>
      </c>
      <c r="R212" s="51" t="n">
        <v>200</v>
      </c>
      <c r="S212" s="51" t="n">
        <v>1</v>
      </c>
      <c r="T212" s="51" t="n">
        <v>5</v>
      </c>
      <c r="U212" s="51" t="n">
        <v>108.783457731404</v>
      </c>
      <c r="V212" s="51" t="n">
        <v>4.25223051542691</v>
      </c>
      <c r="W212" s="51" t="n">
        <v>700</v>
      </c>
      <c r="X212" s="51" t="n">
        <v>0.84</v>
      </c>
    </row>
    <row r="213">
      <c r="A213" s="51" t="inlineStr">
        <is>
          <t>Oatmeal</t>
        </is>
      </c>
      <c r="B213" s="51" t="n">
        <v>40.1</v>
      </c>
      <c r="C213" s="51" t="n">
        <v>25.1</v>
      </c>
      <c r="D213" s="51" t="n">
        <v>26.1</v>
      </c>
      <c r="E213" s="51" t="n">
        <v>76.09999999999999</v>
      </c>
      <c r="F213" s="51" t="n">
        <v>6.1</v>
      </c>
      <c r="G213" s="51" t="n">
        <v>16.1</v>
      </c>
      <c r="H213" s="51" t="n">
        <v>48.17</v>
      </c>
      <c r="I213" s="51" t="n">
        <v>45.55</v>
      </c>
      <c r="J213" s="51" t="n">
        <v>6.23</v>
      </c>
      <c r="K213" s="51" t="n">
        <v>4</v>
      </c>
      <c r="L213" s="51" t="n">
        <v>7</v>
      </c>
      <c r="M213" s="51" t="n">
        <v>1</v>
      </c>
      <c r="N213" s="51" t="n">
        <v>0</v>
      </c>
      <c r="O213" s="51" t="n">
        <v>4</v>
      </c>
      <c r="P213" s="51" t="n">
        <v>720</v>
      </c>
      <c r="Q213" s="51" t="n">
        <v>4.82703000006722</v>
      </c>
      <c r="R213" s="51" t="n">
        <v>200</v>
      </c>
      <c r="S213" s="51" t="n">
        <v>1</v>
      </c>
      <c r="T213" s="51" t="n">
        <v>5</v>
      </c>
      <c r="U213" s="51" t="n">
        <v>120</v>
      </c>
      <c r="V213" s="51" t="n">
        <v>5</v>
      </c>
      <c r="W213" s="51" t="n">
        <v>900</v>
      </c>
      <c r="X213" s="51" t="n">
        <v>0.91</v>
      </c>
    </row>
    <row r="214">
      <c r="A214" s="51" t="inlineStr">
        <is>
          <t>Olive Shells</t>
        </is>
      </c>
      <c r="B214" s="51" t="n">
        <v>53.5</v>
      </c>
      <c r="C214" s="51" t="n">
        <v>22.3</v>
      </c>
      <c r="D214" s="51" t="n">
        <v>22.5</v>
      </c>
      <c r="E214" s="51" t="n">
        <v>89.3</v>
      </c>
      <c r="F214" s="51" t="n">
        <v>0.6</v>
      </c>
      <c r="G214" s="51" t="n">
        <v>10</v>
      </c>
      <c r="H214" s="51" t="n">
        <v>49.5</v>
      </c>
      <c r="I214" s="51" t="n">
        <v>40.7</v>
      </c>
      <c r="J214" s="51" t="n">
        <v>6.4</v>
      </c>
      <c r="K214" s="51" t="n">
        <v>4</v>
      </c>
      <c r="L214" s="51" t="n">
        <v>5</v>
      </c>
      <c r="M214" s="51" t="n">
        <v>0</v>
      </c>
      <c r="N214" s="51" t="n">
        <v>1</v>
      </c>
      <c r="O214" s="51" t="n">
        <v>4</v>
      </c>
      <c r="P214" s="51" t="n">
        <v>120</v>
      </c>
      <c r="Q214" s="51" t="n">
        <v>5</v>
      </c>
      <c r="R214" s="51" t="n">
        <v>1200</v>
      </c>
      <c r="S214" s="51" t="n">
        <v>0</v>
      </c>
      <c r="T214" s="51" t="n">
        <v>5</v>
      </c>
      <c r="U214" s="51" t="n">
        <v>0</v>
      </c>
      <c r="V214" s="51" t="n">
        <v>0</v>
      </c>
      <c r="W214" s="51" t="n">
        <v>0</v>
      </c>
      <c r="X214" s="51" t="n">
        <v>0.381679389312977</v>
      </c>
    </row>
    <row r="215">
      <c r="A215" s="51" t="inlineStr">
        <is>
          <t>Olive Shells</t>
        </is>
      </c>
      <c r="B215" s="51" t="n">
        <v>53.5</v>
      </c>
      <c r="C215" s="51" t="n">
        <v>22.3</v>
      </c>
      <c r="D215" s="51" t="n">
        <v>22.5</v>
      </c>
      <c r="E215" s="51" t="n">
        <v>89.3</v>
      </c>
      <c r="F215" s="51" t="n">
        <v>0.6</v>
      </c>
      <c r="G215" s="51" t="n">
        <v>10</v>
      </c>
      <c r="H215" s="51" t="n">
        <v>49.5</v>
      </c>
      <c r="I215" s="51" t="n">
        <v>40.7</v>
      </c>
      <c r="J215" s="51" t="n">
        <v>6.4</v>
      </c>
      <c r="K215" s="51" t="n">
        <v>4</v>
      </c>
      <c r="L215" s="51" t="n">
        <v>5</v>
      </c>
      <c r="M215" s="51" t="n">
        <v>0</v>
      </c>
      <c r="N215" s="51" t="n">
        <v>1</v>
      </c>
      <c r="O215" s="51" t="n">
        <v>4</v>
      </c>
      <c r="P215" s="51" t="n">
        <v>120</v>
      </c>
      <c r="Q215" s="51" t="n">
        <v>5</v>
      </c>
      <c r="R215" s="51" t="n">
        <v>1300</v>
      </c>
      <c r="S215" s="51" t="n">
        <v>0</v>
      </c>
      <c r="T215" s="51" t="n">
        <v>5</v>
      </c>
      <c r="U215" s="51" t="n">
        <v>0</v>
      </c>
      <c r="V215" s="51" t="n">
        <v>0</v>
      </c>
      <c r="W215" s="51" t="n">
        <v>0</v>
      </c>
      <c r="X215" s="51" t="n">
        <v>0.558659217877095</v>
      </c>
    </row>
    <row r="216">
      <c r="A216" s="51" t="inlineStr">
        <is>
          <t>Olive Shells</t>
        </is>
      </c>
      <c r="B216" s="51" t="n">
        <v>53.5</v>
      </c>
      <c r="C216" s="51" t="n">
        <v>22.3</v>
      </c>
      <c r="D216" s="51" t="n">
        <v>22.5</v>
      </c>
      <c r="E216" s="51" t="n">
        <v>89.3</v>
      </c>
      <c r="F216" s="51" t="n">
        <v>0.6</v>
      </c>
      <c r="G216" s="51" t="n">
        <v>10</v>
      </c>
      <c r="H216" s="51" t="n">
        <v>49.5</v>
      </c>
      <c r="I216" s="51" t="n">
        <v>40.7</v>
      </c>
      <c r="J216" s="51" t="n">
        <v>6.4</v>
      </c>
      <c r="K216" s="51" t="n">
        <v>4</v>
      </c>
      <c r="L216" s="51" t="n">
        <v>5</v>
      </c>
      <c r="M216" s="51" t="n">
        <v>0</v>
      </c>
      <c r="N216" s="51" t="n">
        <v>1</v>
      </c>
      <c r="O216" s="51" t="n">
        <v>4</v>
      </c>
      <c r="P216" s="51" t="n">
        <v>120</v>
      </c>
      <c r="Q216" s="51" t="n">
        <v>5</v>
      </c>
      <c r="R216" s="51" t="n">
        <v>1400</v>
      </c>
      <c r="S216" s="51" t="n">
        <v>0</v>
      </c>
      <c r="T216" s="51" t="n">
        <v>5</v>
      </c>
      <c r="U216" s="51" t="n">
        <v>0</v>
      </c>
      <c r="V216" s="51" t="n">
        <v>0</v>
      </c>
      <c r="W216" s="51" t="n">
        <v>0</v>
      </c>
      <c r="X216" s="51" t="n">
        <v>0.578034682080925</v>
      </c>
    </row>
    <row r="217">
      <c r="A217" s="51" t="inlineStr">
        <is>
          <t>Olive Shells</t>
        </is>
      </c>
      <c r="B217" s="51" t="n">
        <v>53.5</v>
      </c>
      <c r="C217" s="51" t="n">
        <v>22.3</v>
      </c>
      <c r="D217" s="51" t="n">
        <v>22.5</v>
      </c>
      <c r="E217" s="51" t="n">
        <v>89.3</v>
      </c>
      <c r="F217" s="51" t="n">
        <v>0.6</v>
      </c>
      <c r="G217" s="51" t="n">
        <v>10</v>
      </c>
      <c r="H217" s="51" t="n">
        <v>49.5</v>
      </c>
      <c r="I217" s="51" t="n">
        <v>40.7</v>
      </c>
      <c r="J217" s="51" t="n">
        <v>6.4</v>
      </c>
      <c r="K217" s="51" t="n">
        <v>4</v>
      </c>
      <c r="L217" s="51" t="n">
        <v>5</v>
      </c>
      <c r="M217" s="51" t="n">
        <v>1</v>
      </c>
      <c r="N217" s="51" t="n">
        <v>1</v>
      </c>
      <c r="O217" s="51" t="n">
        <v>4</v>
      </c>
      <c r="P217" s="51" t="n">
        <v>120</v>
      </c>
      <c r="Q217" s="51" t="n">
        <v>5</v>
      </c>
      <c r="R217" s="51" t="n">
        <v>300</v>
      </c>
      <c r="S217" s="51" t="n">
        <v>1</v>
      </c>
      <c r="T217" s="51" t="n">
        <v>5</v>
      </c>
      <c r="U217" s="51" t="n">
        <v>120</v>
      </c>
      <c r="V217" s="51" t="n">
        <v>5</v>
      </c>
      <c r="W217" s="51" t="n">
        <v>1300</v>
      </c>
      <c r="X217" s="51" t="n">
        <v>0.476190476190476</v>
      </c>
    </row>
    <row r="218">
      <c r="A218" s="51" t="inlineStr">
        <is>
          <t>Olive Shells</t>
        </is>
      </c>
      <c r="B218" s="51" t="n">
        <v>53.5</v>
      </c>
      <c r="C218" s="51" t="n">
        <v>22.3</v>
      </c>
      <c r="D218" s="51" t="n">
        <v>22.5</v>
      </c>
      <c r="E218" s="51" t="n">
        <v>89.3</v>
      </c>
      <c r="F218" s="51" t="n">
        <v>0.6</v>
      </c>
      <c r="G218" s="51" t="n">
        <v>10</v>
      </c>
      <c r="H218" s="51" t="n">
        <v>49.5</v>
      </c>
      <c r="I218" s="51" t="n">
        <v>40.7</v>
      </c>
      <c r="J218" s="51" t="n">
        <v>6.4</v>
      </c>
      <c r="K218" s="51" t="n">
        <v>4</v>
      </c>
      <c r="L218" s="51" t="n">
        <v>5</v>
      </c>
      <c r="M218" s="51" t="n">
        <v>1</v>
      </c>
      <c r="N218" s="51" t="n">
        <v>1</v>
      </c>
      <c r="O218" s="51" t="n">
        <v>4</v>
      </c>
      <c r="P218" s="51" t="n">
        <v>120</v>
      </c>
      <c r="Q218" s="51" t="n">
        <v>5</v>
      </c>
      <c r="R218" s="51" t="n">
        <v>300</v>
      </c>
      <c r="S218" s="51" t="n">
        <v>1</v>
      </c>
      <c r="T218" s="51" t="n">
        <v>5</v>
      </c>
      <c r="U218" s="51" t="n">
        <v>120</v>
      </c>
      <c r="V218" s="51" t="n">
        <v>5</v>
      </c>
      <c r="W218" s="51" t="n">
        <v>1300</v>
      </c>
      <c r="X218" s="51" t="n">
        <v>0.568181818181818</v>
      </c>
    </row>
    <row r="219">
      <c r="A219" s="51" t="inlineStr">
        <is>
          <t>Olive Shells</t>
        </is>
      </c>
      <c r="B219" s="51" t="n">
        <v>53.5</v>
      </c>
      <c r="C219" s="51" t="n">
        <v>22.3</v>
      </c>
      <c r="D219" s="51" t="n">
        <v>22.5</v>
      </c>
      <c r="E219" s="51" t="n">
        <v>89.3</v>
      </c>
      <c r="F219" s="51" t="n">
        <v>0.6</v>
      </c>
      <c r="G219" s="51" t="n">
        <v>10</v>
      </c>
      <c r="H219" s="51" t="n">
        <v>49.5</v>
      </c>
      <c r="I219" s="51" t="n">
        <v>40.7</v>
      </c>
      <c r="J219" s="51" t="n">
        <v>6.4</v>
      </c>
      <c r="K219" s="51" t="n">
        <v>4</v>
      </c>
      <c r="L219" s="51" t="n">
        <v>5</v>
      </c>
      <c r="M219" s="51" t="n">
        <v>1</v>
      </c>
      <c r="N219" s="51" t="n">
        <v>1</v>
      </c>
      <c r="O219" s="51" t="n">
        <v>4</v>
      </c>
      <c r="P219" s="51" t="n">
        <v>120</v>
      </c>
      <c r="Q219" s="51" t="n">
        <v>5</v>
      </c>
      <c r="R219" s="51" t="n">
        <v>300</v>
      </c>
      <c r="S219" s="51" t="n">
        <v>1</v>
      </c>
      <c r="T219" s="51" t="n">
        <v>5</v>
      </c>
      <c r="U219" s="51" t="n">
        <v>120</v>
      </c>
      <c r="V219" s="51" t="n">
        <v>5</v>
      </c>
      <c r="W219" s="51" t="n">
        <v>1300</v>
      </c>
      <c r="X219" s="51" t="n">
        <v>0.495049504950495</v>
      </c>
    </row>
    <row r="220">
      <c r="A220" s="51" t="inlineStr">
        <is>
          <t>Olive stone</t>
        </is>
      </c>
      <c r="B220" s="51" t="n">
        <v>53.5</v>
      </c>
      <c r="C220" s="51" t="n">
        <v>22.3</v>
      </c>
      <c r="D220" s="51" t="n">
        <v>22.5</v>
      </c>
      <c r="E220" s="51" t="n">
        <v>89.3</v>
      </c>
      <c r="F220" s="51" t="n">
        <v>0.6</v>
      </c>
      <c r="G220" s="51" t="n">
        <v>10</v>
      </c>
      <c r="H220" s="51" t="n">
        <v>49.5</v>
      </c>
      <c r="I220" s="51" t="n">
        <v>40.7</v>
      </c>
      <c r="J220" s="51" t="n">
        <v>6.4</v>
      </c>
      <c r="K220" s="51" t="n">
        <v>4</v>
      </c>
      <c r="L220" s="51" t="n">
        <v>5</v>
      </c>
      <c r="M220" s="51" t="n">
        <v>0</v>
      </c>
      <c r="N220" s="51" t="n">
        <v>1</v>
      </c>
      <c r="O220" s="51" t="n">
        <v>4</v>
      </c>
      <c r="P220" s="51" t="n">
        <v>137.489591355137</v>
      </c>
      <c r="Q220" s="51" t="n">
        <v>3.86069473845149</v>
      </c>
      <c r="R220" s="51" t="n">
        <v>800</v>
      </c>
      <c r="S220" s="51" t="n">
        <v>0</v>
      </c>
      <c r="T220" s="51" t="n">
        <v>5</v>
      </c>
      <c r="U220" s="51" t="n">
        <v>0</v>
      </c>
      <c r="V220" s="51" t="n">
        <v>0</v>
      </c>
      <c r="W220" s="51" t="n">
        <v>0</v>
      </c>
      <c r="X220" s="51" t="n">
        <v>0.275482093663912</v>
      </c>
    </row>
    <row r="221">
      <c r="A221" s="51" t="inlineStr">
        <is>
          <t>Olive stone</t>
        </is>
      </c>
      <c r="B221" s="51" t="n">
        <v>53.5</v>
      </c>
      <c r="C221" s="51" t="n">
        <v>22.3</v>
      </c>
      <c r="D221" s="51" t="n">
        <v>22.5</v>
      </c>
      <c r="E221" s="51" t="n">
        <v>89.3</v>
      </c>
      <c r="F221" s="51" t="n">
        <v>0.6</v>
      </c>
      <c r="G221" s="51" t="n">
        <v>10</v>
      </c>
      <c r="H221" s="51" t="n">
        <v>49.5</v>
      </c>
      <c r="I221" s="51" t="n">
        <v>40.7</v>
      </c>
      <c r="J221" s="51" t="n">
        <v>6.4</v>
      </c>
      <c r="K221" s="51" t="n">
        <v>4</v>
      </c>
      <c r="L221" s="51" t="n">
        <v>5</v>
      </c>
      <c r="M221" s="51" t="n">
        <v>0</v>
      </c>
      <c r="N221" s="51" t="n">
        <v>1</v>
      </c>
      <c r="O221" s="51" t="n">
        <v>4</v>
      </c>
      <c r="P221" s="51" t="n">
        <v>120</v>
      </c>
      <c r="Q221" s="51" t="n">
        <v>3.75279065400462</v>
      </c>
      <c r="R221" s="51" t="n">
        <v>1000</v>
      </c>
      <c r="S221" s="51" t="n">
        <v>0</v>
      </c>
      <c r="T221" s="51" t="n">
        <v>5</v>
      </c>
      <c r="U221" s="51" t="n">
        <v>0</v>
      </c>
      <c r="V221" s="51" t="n">
        <v>0</v>
      </c>
      <c r="W221" s="51" t="n">
        <v>0</v>
      </c>
      <c r="X221" s="51" t="n">
        <v>0.265957446808511</v>
      </c>
    </row>
    <row r="222">
      <c r="A222" s="51" t="inlineStr">
        <is>
          <t>Olive stone</t>
        </is>
      </c>
      <c r="B222" s="51" t="n">
        <v>53.5</v>
      </c>
      <c r="C222" s="51" t="n">
        <v>22.3</v>
      </c>
      <c r="D222" s="51" t="n">
        <v>22.5</v>
      </c>
      <c r="E222" s="51" t="n">
        <v>89.3</v>
      </c>
      <c r="F222" s="51" t="n">
        <v>0.6</v>
      </c>
      <c r="G222" s="51" t="n">
        <v>10</v>
      </c>
      <c r="H222" s="51" t="n">
        <v>49.5</v>
      </c>
      <c r="I222" s="51" t="n">
        <v>40.7</v>
      </c>
      <c r="J222" s="51" t="n">
        <v>6.4</v>
      </c>
      <c r="K222" s="51" t="n">
        <v>4</v>
      </c>
      <c r="L222" s="51" t="n">
        <v>5</v>
      </c>
      <c r="M222" s="51" t="n">
        <v>0</v>
      </c>
      <c r="N222" s="51" t="n">
        <v>1</v>
      </c>
      <c r="O222" s="51" t="n">
        <v>4</v>
      </c>
      <c r="P222" s="51" t="n">
        <v>120.214539526483</v>
      </c>
      <c r="Q222" s="51" t="n">
        <v>4.99616646936785</v>
      </c>
      <c r="R222" s="51" t="n">
        <v>1200</v>
      </c>
      <c r="S222" s="51" t="n">
        <v>0</v>
      </c>
      <c r="T222" s="51" t="n">
        <v>5</v>
      </c>
      <c r="U222" s="51" t="n">
        <v>0</v>
      </c>
      <c r="V222" s="51" t="n">
        <v>0</v>
      </c>
      <c r="W222" s="51" t="n">
        <v>0</v>
      </c>
      <c r="X222" s="51" t="n">
        <v>0.279329608938547</v>
      </c>
    </row>
    <row r="223">
      <c r="A223" s="51" t="inlineStr">
        <is>
          <t>Olive stone</t>
        </is>
      </c>
      <c r="B223" s="51" t="n">
        <v>53.5</v>
      </c>
      <c r="C223" s="51" t="n">
        <v>22.3</v>
      </c>
      <c r="D223" s="51" t="n">
        <v>22.5</v>
      </c>
      <c r="E223" s="51" t="n">
        <v>89.3</v>
      </c>
      <c r="F223" s="51" t="n">
        <v>0.6</v>
      </c>
      <c r="G223" s="51" t="n">
        <v>10</v>
      </c>
      <c r="H223" s="51" t="n">
        <v>49.5</v>
      </c>
      <c r="I223" s="51" t="n">
        <v>40.7</v>
      </c>
      <c r="J223" s="51" t="n">
        <v>6.4</v>
      </c>
      <c r="K223" s="51" t="n">
        <v>4</v>
      </c>
      <c r="L223" s="51" t="n">
        <v>5</v>
      </c>
      <c r="M223" s="51" t="n">
        <v>0</v>
      </c>
      <c r="N223" s="51" t="n">
        <v>1</v>
      </c>
      <c r="O223" s="51" t="n">
        <v>4</v>
      </c>
      <c r="P223" s="51" t="n">
        <v>120.428094065457</v>
      </c>
      <c r="Q223" s="51" t="n">
        <v>4.99696765998497</v>
      </c>
      <c r="R223" s="51" t="n">
        <v>1400</v>
      </c>
      <c r="S223" s="51" t="n">
        <v>0</v>
      </c>
      <c r="T223" s="51" t="n">
        <v>5</v>
      </c>
      <c r="U223" s="51" t="n">
        <v>0</v>
      </c>
      <c r="V223" s="51" t="n">
        <v>0</v>
      </c>
      <c r="W223" s="51" t="n">
        <v>0</v>
      </c>
      <c r="X223" s="51" t="n">
        <v>0.404858299595142</v>
      </c>
    </row>
    <row r="224">
      <c r="A224" s="51" t="inlineStr">
        <is>
          <t>Olive stone</t>
        </is>
      </c>
      <c r="B224" s="51" t="n">
        <v>53.5</v>
      </c>
      <c r="C224" s="51" t="n">
        <v>22.3</v>
      </c>
      <c r="D224" s="51" t="n">
        <v>22.5</v>
      </c>
      <c r="E224" s="51" t="n">
        <v>89.3</v>
      </c>
      <c r="F224" s="51" t="n">
        <v>0.6</v>
      </c>
      <c r="G224" s="51" t="n">
        <v>10</v>
      </c>
      <c r="H224" s="51" t="n">
        <v>49.5</v>
      </c>
      <c r="I224" s="51" t="n">
        <v>40.7</v>
      </c>
      <c r="J224" s="51" t="n">
        <v>6.4</v>
      </c>
      <c r="K224" s="51" t="n">
        <v>4</v>
      </c>
      <c r="L224" s="51" t="n">
        <v>5</v>
      </c>
      <c r="M224" s="51" t="n">
        <v>0</v>
      </c>
      <c r="N224" s="51" t="n">
        <v>1</v>
      </c>
      <c r="O224" s="51" t="n">
        <v>4</v>
      </c>
      <c r="P224" s="51" t="n">
        <v>168.625808773954</v>
      </c>
      <c r="Q224" s="51" t="n">
        <v>4.55885509443803</v>
      </c>
      <c r="R224" s="51" t="n">
        <v>1600</v>
      </c>
      <c r="S224" s="51" t="n">
        <v>0</v>
      </c>
      <c r="T224" s="51" t="n">
        <v>5</v>
      </c>
      <c r="U224" s="51" t="n">
        <v>0</v>
      </c>
      <c r="V224" s="51" t="n">
        <v>0</v>
      </c>
      <c r="W224" s="51" t="n">
        <v>0</v>
      </c>
      <c r="X224" s="51" t="n">
        <v>0.401606425702811</v>
      </c>
    </row>
    <row r="225">
      <c r="A225" s="51" t="inlineStr">
        <is>
          <t>Olive stone</t>
        </is>
      </c>
      <c r="B225" s="51" t="n">
        <v>53.5</v>
      </c>
      <c r="C225" s="51" t="n">
        <v>22.3</v>
      </c>
      <c r="D225" s="51" t="n">
        <v>22.5</v>
      </c>
      <c r="E225" s="51" t="n">
        <v>89.3</v>
      </c>
      <c r="F225" s="51" t="n">
        <v>0.6</v>
      </c>
      <c r="G225" s="51" t="n">
        <v>10</v>
      </c>
      <c r="H225" s="51" t="n">
        <v>49.5</v>
      </c>
      <c r="I225" s="51" t="n">
        <v>40.7</v>
      </c>
      <c r="J225" s="51" t="n">
        <v>6.4</v>
      </c>
      <c r="K225" s="51" t="n">
        <v>4</v>
      </c>
      <c r="L225" s="51" t="n">
        <v>5</v>
      </c>
      <c r="M225" s="51" t="n">
        <v>0</v>
      </c>
      <c r="N225" s="51" t="n">
        <v>1</v>
      </c>
      <c r="O225" s="51" t="n">
        <v>4</v>
      </c>
      <c r="P225" s="51" t="n">
        <v>120</v>
      </c>
      <c r="Q225" s="51" t="n">
        <v>5</v>
      </c>
      <c r="R225" s="51" t="n">
        <v>2000</v>
      </c>
      <c r="S225" s="51" t="n">
        <v>0</v>
      </c>
      <c r="T225" s="51" t="n">
        <v>5</v>
      </c>
      <c r="U225" s="51" t="n">
        <v>0</v>
      </c>
      <c r="V225" s="51" t="n">
        <v>0</v>
      </c>
      <c r="W225" s="51" t="n">
        <v>0</v>
      </c>
      <c r="X225" s="51" t="n">
        <v>0.50761421319797</v>
      </c>
    </row>
    <row r="226">
      <c r="A226" s="51" t="inlineStr">
        <is>
          <t>Orange peel</t>
        </is>
      </c>
      <c r="B226" s="51" t="n">
        <v>25</v>
      </c>
      <c r="C226" s="51" t="n">
        <v>17</v>
      </c>
      <c r="D226" s="51" t="n">
        <v>23.2037784090909</v>
      </c>
      <c r="E226" s="51" t="n">
        <v>79.02</v>
      </c>
      <c r="F226" s="51" t="n">
        <v>3.43</v>
      </c>
      <c r="G226" s="51" t="n">
        <v>17.54</v>
      </c>
      <c r="H226" s="51" t="n">
        <v>46.04</v>
      </c>
      <c r="I226" s="51" t="n">
        <v>36.89</v>
      </c>
      <c r="J226" s="51" t="n">
        <v>5.54</v>
      </c>
      <c r="K226" s="51" t="n">
        <v>6</v>
      </c>
      <c r="L226" s="51" t="n">
        <v>1</v>
      </c>
      <c r="M226" s="51" t="n">
        <v>0</v>
      </c>
      <c r="N226" s="51" t="n">
        <v>1</v>
      </c>
      <c r="O226" s="51" t="n">
        <v>4</v>
      </c>
      <c r="P226" s="51" t="n">
        <v>60</v>
      </c>
      <c r="Q226" s="51" t="n">
        <v>3</v>
      </c>
      <c r="R226" s="51" t="n">
        <v>700</v>
      </c>
      <c r="S226" s="51" t="n">
        <v>0</v>
      </c>
      <c r="T226" s="51" t="n">
        <v>5</v>
      </c>
      <c r="U226" s="51" t="n">
        <v>0</v>
      </c>
      <c r="V226" s="51" t="n">
        <v>0</v>
      </c>
      <c r="W226" s="51" t="n">
        <v>0</v>
      </c>
      <c r="X226" s="51" t="n">
        <v>0.39</v>
      </c>
    </row>
    <row r="227">
      <c r="A227" s="51" t="inlineStr">
        <is>
          <t>Palm Leaves</t>
        </is>
      </c>
      <c r="B227" s="51" t="n">
        <v>40.21</v>
      </c>
      <c r="C227" s="51" t="n">
        <v>12.8</v>
      </c>
      <c r="D227" s="51" t="n">
        <v>32.2</v>
      </c>
      <c r="E227" s="51" t="n">
        <v>77.5</v>
      </c>
      <c r="F227" s="51" t="n">
        <v>12.1</v>
      </c>
      <c r="G227" s="51" t="n">
        <v>6.1</v>
      </c>
      <c r="H227" s="51" t="n">
        <v>50.4</v>
      </c>
      <c r="I227" s="51" t="n">
        <v>41.8</v>
      </c>
      <c r="J227" s="51" t="n">
        <v>6.3</v>
      </c>
      <c r="K227" s="51" t="n">
        <v>1</v>
      </c>
      <c r="L227" s="51" t="n">
        <v>5</v>
      </c>
      <c r="M227" s="51" t="n">
        <v>0</v>
      </c>
      <c r="N227" s="51" t="n">
        <v>1</v>
      </c>
      <c r="O227" s="51" t="n">
        <v>4</v>
      </c>
      <c r="P227" s="51" t="n">
        <v>163.015001750212</v>
      </c>
      <c r="Q227" s="51" t="n">
        <v>4.28621953131119</v>
      </c>
      <c r="R227" s="51" t="n">
        <v>800</v>
      </c>
      <c r="S227" s="51" t="n">
        <v>0</v>
      </c>
      <c r="T227" s="51" t="n">
        <v>5</v>
      </c>
      <c r="U227" s="51" t="n">
        <v>0</v>
      </c>
      <c r="V227" s="51" t="n">
        <v>0</v>
      </c>
      <c r="W227" s="51" t="n">
        <v>0</v>
      </c>
      <c r="X227" s="51" t="n">
        <v>0.317460317460317</v>
      </c>
    </row>
    <row r="228">
      <c r="A228" s="51" t="inlineStr">
        <is>
          <t>Palm Leaves</t>
        </is>
      </c>
      <c r="B228" s="51" t="n">
        <v>40.21</v>
      </c>
      <c r="C228" s="51" t="n">
        <v>12.8</v>
      </c>
      <c r="D228" s="51" t="n">
        <v>32.2</v>
      </c>
      <c r="E228" s="51" t="n">
        <v>77.5</v>
      </c>
      <c r="F228" s="51" t="n">
        <v>12.1</v>
      </c>
      <c r="G228" s="51" t="n">
        <v>6.1</v>
      </c>
      <c r="H228" s="51" t="n">
        <v>50.4</v>
      </c>
      <c r="I228" s="51" t="n">
        <v>41.8</v>
      </c>
      <c r="J228" s="51" t="n">
        <v>6.3</v>
      </c>
      <c r="K228" s="51" t="n">
        <v>1</v>
      </c>
      <c r="L228" s="51" t="n">
        <v>5</v>
      </c>
      <c r="M228" s="51" t="n">
        <v>0</v>
      </c>
      <c r="N228" s="51" t="n">
        <v>1</v>
      </c>
      <c r="O228" s="51" t="n">
        <v>4</v>
      </c>
      <c r="P228" s="51" t="n">
        <v>134.072184301997</v>
      </c>
      <c r="Q228" s="51" t="n">
        <v>4.57813275652454</v>
      </c>
      <c r="R228" s="51" t="n">
        <v>900</v>
      </c>
      <c r="S228" s="51" t="n">
        <v>0</v>
      </c>
      <c r="T228" s="51" t="n">
        <v>5</v>
      </c>
      <c r="U228" s="51" t="n">
        <v>0</v>
      </c>
      <c r="V228" s="51" t="n">
        <v>0</v>
      </c>
      <c r="W228" s="51" t="n">
        <v>0</v>
      </c>
      <c r="X228" s="51" t="n">
        <v>0.357142857142857</v>
      </c>
    </row>
    <row r="229">
      <c r="A229" s="51" t="inlineStr">
        <is>
          <t>Palm Leaves</t>
        </is>
      </c>
      <c r="B229" s="51" t="n">
        <v>40.21</v>
      </c>
      <c r="C229" s="51" t="n">
        <v>12.8</v>
      </c>
      <c r="D229" s="51" t="n">
        <v>32.2</v>
      </c>
      <c r="E229" s="51" t="n">
        <v>77.5</v>
      </c>
      <c r="F229" s="51" t="n">
        <v>12.1</v>
      </c>
      <c r="G229" s="51" t="n">
        <v>6.1</v>
      </c>
      <c r="H229" s="51" t="n">
        <v>50.4</v>
      </c>
      <c r="I229" s="51" t="n">
        <v>41.8</v>
      </c>
      <c r="J229" s="51" t="n">
        <v>6.3</v>
      </c>
      <c r="K229" s="51" t="n">
        <v>1</v>
      </c>
      <c r="L229" s="51" t="n">
        <v>5</v>
      </c>
      <c r="M229" s="51" t="n">
        <v>0</v>
      </c>
      <c r="N229" s="51" t="n">
        <v>1</v>
      </c>
      <c r="O229" s="51" t="n">
        <v>4</v>
      </c>
      <c r="P229" s="51" t="n">
        <v>160.099410465022</v>
      </c>
      <c r="Q229" s="51" t="n">
        <v>3.93067856535702</v>
      </c>
      <c r="R229" s="51" t="n">
        <v>1000</v>
      </c>
      <c r="S229" s="51" t="n">
        <v>0</v>
      </c>
      <c r="T229" s="51" t="n">
        <v>5</v>
      </c>
      <c r="U229" s="51" t="n">
        <v>0</v>
      </c>
      <c r="V229" s="51" t="n">
        <v>0</v>
      </c>
      <c r="W229" s="51" t="n">
        <v>0</v>
      </c>
      <c r="X229" s="51" t="n">
        <v>0.403225806451613</v>
      </c>
    </row>
    <row r="230">
      <c r="A230" s="51" t="inlineStr">
        <is>
          <t>Palm Leaves</t>
        </is>
      </c>
      <c r="B230" s="51" t="n">
        <v>40.21</v>
      </c>
      <c r="C230" s="51" t="n">
        <v>12.8</v>
      </c>
      <c r="D230" s="51" t="n">
        <v>32.2</v>
      </c>
      <c r="E230" s="51" t="n">
        <v>77.5</v>
      </c>
      <c r="F230" s="51" t="n">
        <v>12.1</v>
      </c>
      <c r="G230" s="51" t="n">
        <v>6.1</v>
      </c>
      <c r="H230" s="51" t="n">
        <v>50.4</v>
      </c>
      <c r="I230" s="51" t="n">
        <v>41.8</v>
      </c>
      <c r="J230" s="51" t="n">
        <v>6.3</v>
      </c>
      <c r="K230" s="51" t="n">
        <v>1</v>
      </c>
      <c r="L230" s="51" t="n">
        <v>5</v>
      </c>
      <c r="M230" s="51" t="n">
        <v>0</v>
      </c>
      <c r="N230" s="51" t="n">
        <v>1</v>
      </c>
      <c r="O230" s="51" t="n">
        <v>4</v>
      </c>
      <c r="P230" s="51" t="n">
        <v>209.075400770832</v>
      </c>
      <c r="Q230" s="51" t="n">
        <v>5.63958639288228</v>
      </c>
      <c r="R230" s="51" t="n">
        <v>1100</v>
      </c>
      <c r="S230" s="51" t="n">
        <v>0</v>
      </c>
      <c r="T230" s="51" t="n">
        <v>5</v>
      </c>
      <c r="U230" s="51" t="n">
        <v>0</v>
      </c>
      <c r="V230" s="51" t="n">
        <v>0</v>
      </c>
      <c r="W230" s="51" t="n">
        <v>0</v>
      </c>
      <c r="X230" s="51" t="n">
        <v>0.446428571428571</v>
      </c>
    </row>
    <row r="231">
      <c r="A231" s="51" t="inlineStr">
        <is>
          <t>Palm Leaves</t>
        </is>
      </c>
      <c r="B231" s="51" t="n">
        <v>40.21</v>
      </c>
      <c r="C231" s="51" t="n">
        <v>12.8</v>
      </c>
      <c r="D231" s="51" t="n">
        <v>32.2</v>
      </c>
      <c r="E231" s="51" t="n">
        <v>77.5</v>
      </c>
      <c r="F231" s="51" t="n">
        <v>12.1</v>
      </c>
      <c r="G231" s="51" t="n">
        <v>6.1</v>
      </c>
      <c r="H231" s="51" t="n">
        <v>50.4</v>
      </c>
      <c r="I231" s="51" t="n">
        <v>41.8</v>
      </c>
      <c r="J231" s="51" t="n">
        <v>6.3</v>
      </c>
      <c r="K231" s="51" t="n">
        <v>1</v>
      </c>
      <c r="L231" s="51" t="n">
        <v>5</v>
      </c>
      <c r="M231" s="51" t="n">
        <v>0</v>
      </c>
      <c r="N231" s="51" t="n">
        <v>1</v>
      </c>
      <c r="O231" s="51" t="n">
        <v>4</v>
      </c>
      <c r="P231" s="51" t="n">
        <v>163.01422614834</v>
      </c>
      <c r="Q231" s="51" t="n">
        <v>4.28621836917907</v>
      </c>
      <c r="R231" s="51" t="n">
        <v>800</v>
      </c>
      <c r="S231" s="51" t="n">
        <v>0</v>
      </c>
      <c r="T231" s="51" t="n">
        <v>5</v>
      </c>
      <c r="U231" s="51" t="n">
        <v>0</v>
      </c>
      <c r="V231" s="51" t="n">
        <v>0</v>
      </c>
      <c r="W231" s="51" t="n">
        <v>0</v>
      </c>
      <c r="X231" s="51" t="n">
        <v>0.29673590504451</v>
      </c>
    </row>
    <row r="232">
      <c r="A232" s="51" t="inlineStr">
        <is>
          <t>Palm Leaves</t>
        </is>
      </c>
      <c r="B232" s="51" t="n">
        <v>40.21</v>
      </c>
      <c r="C232" s="51" t="n">
        <v>12.8</v>
      </c>
      <c r="D232" s="51" t="n">
        <v>32.2</v>
      </c>
      <c r="E232" s="51" t="n">
        <v>77.5</v>
      </c>
      <c r="F232" s="51" t="n">
        <v>12.1</v>
      </c>
      <c r="G232" s="51" t="n">
        <v>6.1</v>
      </c>
      <c r="H232" s="51" t="n">
        <v>50.4</v>
      </c>
      <c r="I232" s="51" t="n">
        <v>41.8</v>
      </c>
      <c r="J232" s="51" t="n">
        <v>6.3</v>
      </c>
      <c r="K232" s="51" t="n">
        <v>1</v>
      </c>
      <c r="L232" s="51" t="n">
        <v>5</v>
      </c>
      <c r="M232" s="51" t="n">
        <v>0</v>
      </c>
      <c r="N232" s="51" t="n">
        <v>1</v>
      </c>
      <c r="O232" s="51" t="n">
        <v>4</v>
      </c>
      <c r="P232" s="51" t="n">
        <v>134.072767504394</v>
      </c>
      <c r="Q232" s="51" t="n">
        <v>4.57815004330124</v>
      </c>
      <c r="R232" s="51" t="n">
        <v>900</v>
      </c>
      <c r="S232" s="51" t="n">
        <v>0</v>
      </c>
      <c r="T232" s="51" t="n">
        <v>5</v>
      </c>
      <c r="U232" s="51" t="n">
        <v>0</v>
      </c>
      <c r="V232" s="51" t="n">
        <v>0</v>
      </c>
      <c r="W232" s="51" t="n">
        <v>0</v>
      </c>
      <c r="X232" s="51" t="n">
        <v>0.304878048780488</v>
      </c>
    </row>
    <row r="233">
      <c r="A233" s="51" t="inlineStr">
        <is>
          <t>Palm Leaves</t>
        </is>
      </c>
      <c r="B233" s="51" t="n">
        <v>40.21</v>
      </c>
      <c r="C233" s="51" t="n">
        <v>12.8</v>
      </c>
      <c r="D233" s="51" t="n">
        <v>32.2</v>
      </c>
      <c r="E233" s="51" t="n">
        <v>77.5</v>
      </c>
      <c r="F233" s="51" t="n">
        <v>12.1</v>
      </c>
      <c r="G233" s="51" t="n">
        <v>6.1</v>
      </c>
      <c r="H233" s="51" t="n">
        <v>50.4</v>
      </c>
      <c r="I233" s="51" t="n">
        <v>41.8</v>
      </c>
      <c r="J233" s="51" t="n">
        <v>6.3</v>
      </c>
      <c r="K233" s="51" t="n">
        <v>1</v>
      </c>
      <c r="L233" s="51" t="n">
        <v>5</v>
      </c>
      <c r="M233" s="51" t="n">
        <v>0</v>
      </c>
      <c r="N233" s="51" t="n">
        <v>1</v>
      </c>
      <c r="O233" s="51" t="n">
        <v>4</v>
      </c>
      <c r="P233" s="51" t="n">
        <v>160.094675955423</v>
      </c>
      <c r="Q233" s="51" t="n">
        <v>3.93064268819381</v>
      </c>
      <c r="R233" s="51" t="n">
        <v>1000</v>
      </c>
      <c r="S233" s="51" t="n">
        <v>0</v>
      </c>
      <c r="T233" s="51" t="n">
        <v>5</v>
      </c>
      <c r="U233" s="51" t="n">
        <v>0</v>
      </c>
      <c r="V233" s="51" t="n">
        <v>0</v>
      </c>
      <c r="W233" s="51" t="n">
        <v>0</v>
      </c>
      <c r="X233" s="51" t="n">
        <v>0.313479623824451</v>
      </c>
    </row>
    <row r="234">
      <c r="A234" s="51" t="inlineStr">
        <is>
          <t>Palm Leaves</t>
        </is>
      </c>
      <c r="B234" s="51" t="n">
        <v>40.21</v>
      </c>
      <c r="C234" s="51" t="n">
        <v>12.8</v>
      </c>
      <c r="D234" s="51" t="n">
        <v>32.2</v>
      </c>
      <c r="E234" s="51" t="n">
        <v>77.5</v>
      </c>
      <c r="F234" s="51" t="n">
        <v>12.1</v>
      </c>
      <c r="G234" s="51" t="n">
        <v>6.1</v>
      </c>
      <c r="H234" s="51" t="n">
        <v>50.4</v>
      </c>
      <c r="I234" s="51" t="n">
        <v>41.8</v>
      </c>
      <c r="J234" s="51" t="n">
        <v>6.3</v>
      </c>
      <c r="K234" s="51" t="n">
        <v>1</v>
      </c>
      <c r="L234" s="51" t="n">
        <v>5</v>
      </c>
      <c r="M234" s="51" t="n">
        <v>0</v>
      </c>
      <c r="N234" s="51" t="n">
        <v>1</v>
      </c>
      <c r="O234" s="51" t="n">
        <v>4</v>
      </c>
      <c r="P234" s="51" t="n">
        <v>209.075899687891</v>
      </c>
      <c r="Q234" s="51" t="n">
        <v>5.63961291817826</v>
      </c>
      <c r="R234" s="51" t="n">
        <v>1100</v>
      </c>
      <c r="S234" s="51" t="n">
        <v>0</v>
      </c>
      <c r="T234" s="51" t="n">
        <v>5</v>
      </c>
      <c r="U234" s="51" t="n">
        <v>0</v>
      </c>
      <c r="V234" s="51" t="n">
        <v>0</v>
      </c>
      <c r="W234" s="51" t="n">
        <v>0</v>
      </c>
      <c r="X234" s="51" t="n">
        <v>0.324675324675325</v>
      </c>
    </row>
    <row r="235">
      <c r="A235" s="51" t="inlineStr">
        <is>
          <t>Paulownia wood</t>
        </is>
      </c>
      <c r="B235" s="51" t="n">
        <v>44.25</v>
      </c>
      <c r="C235" s="51" t="n">
        <v>24.8</v>
      </c>
      <c r="D235" s="51" t="n">
        <v>22.61</v>
      </c>
      <c r="E235" s="51" t="n">
        <v>71.8</v>
      </c>
      <c r="F235" s="51" t="n">
        <v>1.06</v>
      </c>
      <c r="G235" s="51" t="n">
        <v>20.6</v>
      </c>
      <c r="H235" s="51" t="n">
        <v>44.73</v>
      </c>
      <c r="I235" s="51" t="n">
        <v>48.28</v>
      </c>
      <c r="J235" s="51" t="n">
        <v>6.1</v>
      </c>
      <c r="K235" s="51" t="n">
        <v>1</v>
      </c>
      <c r="L235" s="51" t="n">
        <v>5</v>
      </c>
      <c r="M235" s="51" t="n">
        <v>1</v>
      </c>
      <c r="N235" s="51" t="n">
        <v>1</v>
      </c>
      <c r="O235" s="51" t="n">
        <v>4</v>
      </c>
      <c r="P235" s="51" t="n">
        <v>120</v>
      </c>
      <c r="Q235" s="51" t="n">
        <v>5</v>
      </c>
      <c r="R235" s="51" t="n">
        <v>600</v>
      </c>
      <c r="S235" s="51" t="n">
        <v>1</v>
      </c>
      <c r="T235" s="51" t="n">
        <v>5</v>
      </c>
      <c r="U235" s="51" t="n">
        <v>120</v>
      </c>
      <c r="V235" s="51" t="n">
        <v>5</v>
      </c>
      <c r="W235" s="51" t="n">
        <v>1000</v>
      </c>
      <c r="X235" s="51" t="n">
        <v>0.837</v>
      </c>
    </row>
    <row r="236">
      <c r="A236" s="51" t="inlineStr">
        <is>
          <t>Paulownia wood</t>
        </is>
      </c>
      <c r="B236" s="51" t="n">
        <v>44.25</v>
      </c>
      <c r="C236" s="51" t="n">
        <v>24.8</v>
      </c>
      <c r="D236" s="51" t="n">
        <v>22.61</v>
      </c>
      <c r="E236" s="51" t="n">
        <v>71.8</v>
      </c>
      <c r="F236" s="51" t="n">
        <v>1.06</v>
      </c>
      <c r="G236" s="51" t="n">
        <v>20.6</v>
      </c>
      <c r="H236" s="51" t="n">
        <v>44.73</v>
      </c>
      <c r="I236" s="51" t="n">
        <v>48.28</v>
      </c>
      <c r="J236" s="51" t="n">
        <v>6.1</v>
      </c>
      <c r="K236" s="51" t="n">
        <v>1</v>
      </c>
      <c r="L236" s="51" t="n">
        <v>5</v>
      </c>
      <c r="M236" s="51" t="n">
        <v>1</v>
      </c>
      <c r="N236" s="51" t="n">
        <v>1</v>
      </c>
      <c r="O236" s="51" t="n">
        <v>4</v>
      </c>
      <c r="P236" s="51" t="n">
        <v>120</v>
      </c>
      <c r="Q236" s="51" t="n">
        <v>5</v>
      </c>
      <c r="R236" s="51" t="n">
        <v>600</v>
      </c>
      <c r="S236" s="51" t="n">
        <v>1</v>
      </c>
      <c r="T236" s="51" t="n">
        <v>5</v>
      </c>
      <c r="U236" s="51" t="n">
        <v>120</v>
      </c>
      <c r="V236" s="51" t="n">
        <v>5</v>
      </c>
      <c r="W236" s="51" t="n">
        <v>1100</v>
      </c>
      <c r="X236" s="51" t="n">
        <v>0.899</v>
      </c>
    </row>
    <row r="237">
      <c r="A237" s="51" t="inlineStr">
        <is>
          <t>Paulownia wood</t>
        </is>
      </c>
      <c r="B237" s="51" t="n">
        <v>44.25</v>
      </c>
      <c r="C237" s="51" t="n">
        <v>24.8</v>
      </c>
      <c r="D237" s="51" t="n">
        <v>22.61</v>
      </c>
      <c r="E237" s="51" t="n">
        <v>71.8</v>
      </c>
      <c r="F237" s="51" t="n">
        <v>1.06</v>
      </c>
      <c r="G237" s="51" t="n">
        <v>20.6</v>
      </c>
      <c r="H237" s="51" t="n">
        <v>44.73</v>
      </c>
      <c r="I237" s="51" t="n">
        <v>48.28</v>
      </c>
      <c r="J237" s="51" t="n">
        <v>6.1</v>
      </c>
      <c r="K237" s="51" t="n">
        <v>1</v>
      </c>
      <c r="L237" s="51" t="n">
        <v>5</v>
      </c>
      <c r="M237" s="51" t="n">
        <v>1</v>
      </c>
      <c r="N237" s="51" t="n">
        <v>1</v>
      </c>
      <c r="O237" s="51" t="n">
        <v>4</v>
      </c>
      <c r="P237" s="51" t="n">
        <v>120</v>
      </c>
      <c r="Q237" s="51" t="n">
        <v>5</v>
      </c>
      <c r="R237" s="51" t="n">
        <v>600</v>
      </c>
      <c r="S237" s="51" t="n">
        <v>1</v>
      </c>
      <c r="T237" s="51" t="n">
        <v>5</v>
      </c>
      <c r="U237" s="51" t="n">
        <v>120</v>
      </c>
      <c r="V237" s="51" t="n">
        <v>5</v>
      </c>
      <c r="W237" s="51" t="n">
        <v>1200</v>
      </c>
      <c r="X237" s="51" t="n">
        <v>0.95</v>
      </c>
    </row>
    <row r="238">
      <c r="A238" s="51" t="inlineStr">
        <is>
          <t>Paulownia wood</t>
        </is>
      </c>
      <c r="B238" s="51" t="n">
        <v>44.25</v>
      </c>
      <c r="C238" s="51" t="n">
        <v>24.8</v>
      </c>
      <c r="D238" s="51" t="n">
        <v>22.61</v>
      </c>
      <c r="E238" s="51" t="n">
        <v>71.8</v>
      </c>
      <c r="F238" s="51" t="n">
        <v>1.06</v>
      </c>
      <c r="G238" s="51" t="n">
        <v>20.6</v>
      </c>
      <c r="H238" s="51" t="n">
        <v>44.73</v>
      </c>
      <c r="I238" s="51" t="n">
        <v>48.28</v>
      </c>
      <c r="J238" s="51" t="n">
        <v>6.1</v>
      </c>
      <c r="K238" s="51" t="n">
        <v>1</v>
      </c>
      <c r="L238" s="51" t="n">
        <v>5</v>
      </c>
      <c r="M238" s="51" t="n">
        <v>1</v>
      </c>
      <c r="N238" s="51" t="n">
        <v>1</v>
      </c>
      <c r="O238" s="51" t="n">
        <v>4</v>
      </c>
      <c r="P238" s="51" t="n">
        <v>120</v>
      </c>
      <c r="Q238" s="51" t="n">
        <v>5</v>
      </c>
      <c r="R238" s="51" t="n">
        <v>600</v>
      </c>
      <c r="S238" s="51" t="n">
        <v>1</v>
      </c>
      <c r="T238" s="51" t="n">
        <v>5</v>
      </c>
      <c r="U238" s="51" t="n">
        <v>120</v>
      </c>
      <c r="V238" s="51" t="n">
        <v>5</v>
      </c>
      <c r="W238" s="51" t="n">
        <v>1300</v>
      </c>
      <c r="X238" s="51" t="n">
        <v>0.952</v>
      </c>
    </row>
    <row r="239">
      <c r="A239" s="51" t="inlineStr">
        <is>
          <t>Paulownia wood</t>
        </is>
      </c>
      <c r="B239" s="51" t="n">
        <v>44.25</v>
      </c>
      <c r="C239" s="51" t="n">
        <v>24.8</v>
      </c>
      <c r="D239" s="51" t="n">
        <v>22.61</v>
      </c>
      <c r="E239" s="51" t="n">
        <v>71.8</v>
      </c>
      <c r="F239" s="51" t="n">
        <v>1.06</v>
      </c>
      <c r="G239" s="51" t="n">
        <v>20.6</v>
      </c>
      <c r="H239" s="51" t="n">
        <v>44.73</v>
      </c>
      <c r="I239" s="51" t="n">
        <v>48.28</v>
      </c>
      <c r="J239" s="51" t="n">
        <v>6.1</v>
      </c>
      <c r="K239" s="51" t="n">
        <v>1</v>
      </c>
      <c r="L239" s="51" t="n">
        <v>5</v>
      </c>
      <c r="M239" s="51" t="n">
        <v>1</v>
      </c>
      <c r="N239" s="51" t="n">
        <v>1</v>
      </c>
      <c r="O239" s="51" t="n">
        <v>4</v>
      </c>
      <c r="P239" s="51" t="n">
        <v>120</v>
      </c>
      <c r="Q239" s="51" t="n">
        <v>5</v>
      </c>
      <c r="R239" s="51" t="n">
        <v>600</v>
      </c>
      <c r="S239" s="51" t="n">
        <v>1</v>
      </c>
      <c r="T239" s="51" t="n">
        <v>5</v>
      </c>
      <c r="U239" s="51" t="n">
        <v>120</v>
      </c>
      <c r="V239" s="51" t="n">
        <v>5</v>
      </c>
      <c r="W239" s="51" t="n">
        <v>1400</v>
      </c>
      <c r="X239" s="51" t="n">
        <v>0.975</v>
      </c>
    </row>
    <row r="240">
      <c r="A240" s="51" t="inlineStr">
        <is>
          <t>Peanut shell</t>
        </is>
      </c>
      <c r="B240" s="51" t="n">
        <v>45.01</v>
      </c>
      <c r="C240" s="51" t="n">
        <v>26.812</v>
      </c>
      <c r="D240" s="51" t="n">
        <v>33.6</v>
      </c>
      <c r="E240" s="51" t="n">
        <v>75.56999999999999</v>
      </c>
      <c r="F240" s="51" t="n">
        <v>4.759</v>
      </c>
      <c r="G240" s="51" t="n">
        <v>19.665</v>
      </c>
      <c r="H240" s="51" t="n">
        <v>52.96</v>
      </c>
      <c r="I240" s="51" t="n">
        <v>40.2</v>
      </c>
      <c r="J240" s="51" t="n">
        <v>6.24</v>
      </c>
      <c r="K240" s="51" t="n">
        <v>6</v>
      </c>
      <c r="L240" s="51" t="n">
        <v>2</v>
      </c>
      <c r="M240" s="51" t="n">
        <v>0</v>
      </c>
      <c r="N240" s="51" t="n">
        <v>1</v>
      </c>
      <c r="O240" s="51" t="n">
        <v>4</v>
      </c>
      <c r="P240" s="51" t="n">
        <v>120</v>
      </c>
      <c r="Q240" s="51" t="n">
        <v>3</v>
      </c>
      <c r="R240" s="51" t="n">
        <v>600</v>
      </c>
      <c r="S240" s="51" t="n">
        <v>0</v>
      </c>
      <c r="T240" s="51" t="n">
        <v>5</v>
      </c>
      <c r="U240" s="51" t="n">
        <v>0</v>
      </c>
      <c r="V240" s="51" t="n">
        <v>0</v>
      </c>
      <c r="W240" s="51" t="n">
        <v>0</v>
      </c>
      <c r="X240" s="51" t="n">
        <v>0.39</v>
      </c>
    </row>
    <row r="241">
      <c r="A241" s="51" t="inlineStr">
        <is>
          <t>Peanut shell</t>
        </is>
      </c>
      <c r="B241" s="51" t="n">
        <v>45.01</v>
      </c>
      <c r="C241" s="51" t="n">
        <v>26.812</v>
      </c>
      <c r="D241" s="51" t="n">
        <v>33.6</v>
      </c>
      <c r="E241" s="51" t="n">
        <v>75.56999999999999</v>
      </c>
      <c r="F241" s="51" t="n">
        <v>4.759</v>
      </c>
      <c r="G241" s="51" t="n">
        <v>19.665</v>
      </c>
      <c r="H241" s="51" t="n">
        <v>52.96</v>
      </c>
      <c r="I241" s="51" t="n">
        <v>40.2</v>
      </c>
      <c r="J241" s="51" t="n">
        <v>6.24</v>
      </c>
      <c r="K241" s="51" t="n">
        <v>4</v>
      </c>
      <c r="L241" s="51" t="n">
        <v>1</v>
      </c>
      <c r="M241" s="51" t="n">
        <v>1</v>
      </c>
      <c r="N241" s="51" t="n">
        <v>1</v>
      </c>
      <c r="O241" s="51" t="n">
        <v>4</v>
      </c>
      <c r="P241" s="51" t="n">
        <v>120</v>
      </c>
      <c r="Q241" s="51" t="n">
        <v>3</v>
      </c>
      <c r="R241" s="51" t="n">
        <v>400</v>
      </c>
      <c r="S241" s="51" t="n">
        <v>1</v>
      </c>
      <c r="T241" s="51" t="n">
        <v>5</v>
      </c>
      <c r="U241" s="51" t="n">
        <v>120</v>
      </c>
      <c r="V241" s="51" t="n">
        <v>5</v>
      </c>
      <c r="W241" s="51" t="n">
        <v>1000</v>
      </c>
      <c r="X241" s="51" t="n">
        <v>0.91</v>
      </c>
    </row>
    <row r="242">
      <c r="A242" s="51" t="inlineStr">
        <is>
          <t>Peanut skin</t>
        </is>
      </c>
      <c r="B242" s="51" t="n">
        <v>30</v>
      </c>
      <c r="C242" s="51" t="n">
        <v>20</v>
      </c>
      <c r="D242" s="51" t="n">
        <v>32</v>
      </c>
      <c r="E242" s="51" t="n">
        <v>91.1234636008052</v>
      </c>
      <c r="F242" s="51" t="n">
        <v>3.3762596239109</v>
      </c>
      <c r="G242" s="51" t="n">
        <v>6.54667673662726</v>
      </c>
      <c r="H242" s="51" t="n">
        <v>47.932180099592</v>
      </c>
      <c r="I242" s="51" t="n">
        <v>37.6322970463217</v>
      </c>
      <c r="J242" s="51" t="n">
        <v>6.63185556970333</v>
      </c>
      <c r="K242" s="51" t="n">
        <v>4</v>
      </c>
      <c r="L242" s="51" t="n">
        <v>1</v>
      </c>
      <c r="M242" s="51" t="n">
        <v>1</v>
      </c>
      <c r="N242" s="51" t="n">
        <v>0</v>
      </c>
      <c r="O242" s="51" t="n">
        <v>0</v>
      </c>
      <c r="P242" s="51" t="n">
        <v>1440</v>
      </c>
      <c r="Q242" s="51" t="n">
        <v>7.8870511400989</v>
      </c>
      <c r="R242" s="51" t="n">
        <v>180</v>
      </c>
      <c r="S242" s="51" t="n">
        <v>1</v>
      </c>
      <c r="T242" s="51" t="n">
        <v>3</v>
      </c>
      <c r="U242" s="51" t="n">
        <v>136.551498143092</v>
      </c>
      <c r="V242" s="51" t="n">
        <v>5</v>
      </c>
      <c r="W242" s="51" t="n">
        <v>800</v>
      </c>
      <c r="X242" s="51" t="n">
        <v>0.64</v>
      </c>
    </row>
    <row r="243">
      <c r="A243" s="51" t="inlineStr">
        <is>
          <t>Peanut skin</t>
        </is>
      </c>
      <c r="B243" s="51" t="n">
        <v>30</v>
      </c>
      <c r="C243" s="51" t="n">
        <v>20</v>
      </c>
      <c r="D243" s="51" t="n">
        <v>32</v>
      </c>
      <c r="E243" s="51" t="n">
        <v>91.1234636008052</v>
      </c>
      <c r="F243" s="51" t="n">
        <v>3.3762596239109</v>
      </c>
      <c r="G243" s="51" t="n">
        <v>6.54667673662726</v>
      </c>
      <c r="H243" s="51" t="n">
        <v>47.932180099592</v>
      </c>
      <c r="I243" s="51" t="n">
        <v>37.6322970463217</v>
      </c>
      <c r="J243" s="51" t="n">
        <v>6.63185556970333</v>
      </c>
      <c r="K243" s="51" t="n">
        <v>4</v>
      </c>
      <c r="L243" s="51" t="n">
        <v>1</v>
      </c>
      <c r="M243" s="51" t="n">
        <v>1</v>
      </c>
      <c r="N243" s="51" t="n">
        <v>0</v>
      </c>
      <c r="O243" s="51" t="n">
        <v>0</v>
      </c>
      <c r="P243" s="51" t="n">
        <v>1440</v>
      </c>
      <c r="Q243" s="51" t="n">
        <v>7.8870510891412</v>
      </c>
      <c r="R243" s="51" t="n">
        <v>180</v>
      </c>
      <c r="S243" s="51" t="n">
        <v>1</v>
      </c>
      <c r="T243" s="51" t="n">
        <v>3</v>
      </c>
      <c r="U243" s="51" t="n">
        <v>136.55149784038</v>
      </c>
      <c r="V243" s="51" t="n">
        <v>5</v>
      </c>
      <c r="W243" s="51" t="n">
        <v>800</v>
      </c>
      <c r="X243" s="51" t="n">
        <v>0.62</v>
      </c>
    </row>
    <row r="244">
      <c r="A244" s="51" t="inlineStr">
        <is>
          <t>Peanut skin</t>
        </is>
      </c>
      <c r="B244" s="51" t="n">
        <v>30</v>
      </c>
      <c r="C244" s="51" t="n">
        <v>20</v>
      </c>
      <c r="D244" s="51" t="n">
        <v>32</v>
      </c>
      <c r="E244" s="51" t="n">
        <v>80.9271174329636</v>
      </c>
      <c r="F244" s="51" t="n">
        <v>1.77115568943812</v>
      </c>
      <c r="G244" s="51" t="n">
        <v>12.0030241448214</v>
      </c>
      <c r="H244" s="51" t="n">
        <v>47.315694875911</v>
      </c>
      <c r="I244" s="51" t="n">
        <v>40.6592614783233</v>
      </c>
      <c r="J244" s="51" t="n">
        <v>5.60651877949662</v>
      </c>
      <c r="K244" s="51" t="n">
        <v>6</v>
      </c>
      <c r="L244" s="51" t="n">
        <v>7</v>
      </c>
      <c r="M244" s="51" t="n">
        <v>1</v>
      </c>
      <c r="N244" s="51" t="n">
        <v>0</v>
      </c>
      <c r="O244" s="51" t="n">
        <v>0</v>
      </c>
      <c r="P244" s="51" t="n">
        <v>120</v>
      </c>
      <c r="Q244" s="51" t="n">
        <v>4.70229216350397</v>
      </c>
      <c r="R244" s="51" t="n">
        <v>180</v>
      </c>
      <c r="S244" s="51" t="n">
        <v>1</v>
      </c>
      <c r="T244" s="51" t="n">
        <v>1</v>
      </c>
      <c r="U244" s="51" t="n">
        <v>87.4650418715151</v>
      </c>
      <c r="V244" s="51" t="n">
        <v>5</v>
      </c>
      <c r="W244" s="51" t="n">
        <v>700</v>
      </c>
      <c r="X244" s="51" t="n">
        <v>1.05</v>
      </c>
    </row>
    <row r="245">
      <c r="A245" s="51" t="inlineStr">
        <is>
          <t>Peanut skin</t>
        </is>
      </c>
      <c r="B245" s="51" t="n">
        <v>30</v>
      </c>
      <c r="C245" s="51" t="n">
        <v>20</v>
      </c>
      <c r="D245" s="51" t="n">
        <v>32</v>
      </c>
      <c r="E245" s="51" t="n">
        <v>80.9271164679195</v>
      </c>
      <c r="F245" s="51" t="n">
        <v>1.77115587323173</v>
      </c>
      <c r="G245" s="51" t="n">
        <v>12.0030248317692</v>
      </c>
      <c r="H245" s="51" t="n">
        <v>47.3156954119233</v>
      </c>
      <c r="I245" s="51" t="n">
        <v>40.6592603015941</v>
      </c>
      <c r="J245" s="51" t="n">
        <v>5.60651878561166</v>
      </c>
      <c r="K245" s="51" t="n">
        <v>6</v>
      </c>
      <c r="L245" s="51" t="n">
        <v>7</v>
      </c>
      <c r="M245" s="51" t="n">
        <v>1</v>
      </c>
      <c r="N245" s="51" t="n">
        <v>0</v>
      </c>
      <c r="O245" s="51" t="n">
        <v>0</v>
      </c>
      <c r="P245" s="51" t="n">
        <v>120</v>
      </c>
      <c r="Q245" s="51" t="n">
        <v>4.70229169078214</v>
      </c>
      <c r="R245" s="51" t="n">
        <v>180</v>
      </c>
      <c r="S245" s="51" t="n">
        <v>1</v>
      </c>
      <c r="T245" s="51" t="n">
        <v>1</v>
      </c>
      <c r="U245" s="51" t="n">
        <v>87.46503576762601</v>
      </c>
      <c r="V245" s="51" t="n">
        <v>5</v>
      </c>
      <c r="W245" s="51" t="n">
        <v>700</v>
      </c>
      <c r="X245" s="51" t="n">
        <v>1.09</v>
      </c>
    </row>
    <row r="246">
      <c r="A246" s="51" t="inlineStr">
        <is>
          <t>Peanut skin</t>
        </is>
      </c>
      <c r="B246" s="51" t="n">
        <v>30</v>
      </c>
      <c r="C246" s="51" t="n">
        <v>20</v>
      </c>
      <c r="D246" s="51" t="n">
        <v>32</v>
      </c>
      <c r="E246" s="51" t="n">
        <v>80.9271153687925</v>
      </c>
      <c r="F246" s="51" t="n">
        <v>1.7711560829768</v>
      </c>
      <c r="G246" s="51" t="n">
        <v>12.0030256157619</v>
      </c>
      <c r="H246" s="51" t="n">
        <v>47.3156960220477</v>
      </c>
      <c r="I246" s="51" t="n">
        <v>40.6592589609787</v>
      </c>
      <c r="J246" s="51" t="n">
        <v>5.60639276276291</v>
      </c>
      <c r="K246" s="51" t="n">
        <v>6</v>
      </c>
      <c r="L246" s="51" t="n">
        <v>7</v>
      </c>
      <c r="M246" s="51" t="n">
        <v>1</v>
      </c>
      <c r="N246" s="51" t="n">
        <v>0</v>
      </c>
      <c r="O246" s="51" t="n">
        <v>0</v>
      </c>
      <c r="P246" s="51" t="n">
        <v>120</v>
      </c>
      <c r="Q246" s="51" t="n">
        <v>4.70229118661714</v>
      </c>
      <c r="R246" s="51" t="n">
        <v>180</v>
      </c>
      <c r="S246" s="51" t="n">
        <v>1</v>
      </c>
      <c r="T246" s="51" t="n">
        <v>1</v>
      </c>
      <c r="U246" s="51" t="n">
        <v>87.4650295013756</v>
      </c>
      <c r="V246" s="51" t="n">
        <v>5</v>
      </c>
      <c r="W246" s="51" t="n">
        <v>700</v>
      </c>
      <c r="X246" s="51" t="n">
        <v>1.13</v>
      </c>
    </row>
    <row r="247">
      <c r="A247" s="51" t="inlineStr">
        <is>
          <t>Peat moss</t>
        </is>
      </c>
      <c r="B247" s="51" t="n">
        <v>55</v>
      </c>
      <c r="C247" s="51" t="n">
        <v>65</v>
      </c>
      <c r="D247" s="51" t="n">
        <v>3</v>
      </c>
      <c r="E247" s="51" t="n">
        <v>69.2</v>
      </c>
      <c r="F247" s="51" t="n">
        <v>5.16</v>
      </c>
      <c r="G247" s="51" t="n">
        <v>25.3</v>
      </c>
      <c r="H247" s="51" t="n">
        <v>53.6</v>
      </c>
      <c r="I247" s="51" t="n">
        <v>32.9</v>
      </c>
      <c r="J247" s="51" t="n">
        <v>5.7</v>
      </c>
      <c r="K247" s="51" t="n">
        <v>4</v>
      </c>
      <c r="L247" s="51" t="n">
        <v>2</v>
      </c>
      <c r="M247" s="51" t="n">
        <v>0</v>
      </c>
      <c r="N247" s="51" t="n">
        <v>1</v>
      </c>
      <c r="O247" s="51" t="n">
        <v>4</v>
      </c>
      <c r="P247" s="51" t="n">
        <v>60</v>
      </c>
      <c r="Q247" s="51" t="n">
        <v>5</v>
      </c>
      <c r="R247" s="51" t="n">
        <v>600</v>
      </c>
      <c r="S247" s="51" t="n">
        <v>0</v>
      </c>
      <c r="T247" s="51" t="n">
        <v>5</v>
      </c>
      <c r="U247" s="51" t="n">
        <v>0</v>
      </c>
      <c r="V247" s="51" t="n">
        <v>0</v>
      </c>
      <c r="W247" s="51" t="n">
        <v>0</v>
      </c>
      <c r="X247" s="51" t="n">
        <v>0.51</v>
      </c>
    </row>
    <row r="248">
      <c r="A248" s="51" t="inlineStr">
        <is>
          <t>Peat moss</t>
        </is>
      </c>
      <c r="B248" s="51" t="n">
        <v>55</v>
      </c>
      <c r="C248" s="51" t="n">
        <v>65</v>
      </c>
      <c r="D248" s="51" t="n">
        <v>3</v>
      </c>
      <c r="E248" s="51" t="n">
        <v>69.2</v>
      </c>
      <c r="F248" s="51" t="n">
        <v>5.16</v>
      </c>
      <c r="G248" s="51" t="n">
        <v>25.3</v>
      </c>
      <c r="H248" s="51" t="n">
        <v>53.6</v>
      </c>
      <c r="I248" s="51" t="n">
        <v>32.9</v>
      </c>
      <c r="J248" s="51" t="n">
        <v>5.7</v>
      </c>
      <c r="K248" s="51" t="n">
        <v>4</v>
      </c>
      <c r="L248" s="51" t="n">
        <v>2</v>
      </c>
      <c r="M248" s="51" t="n">
        <v>0</v>
      </c>
      <c r="N248" s="51" t="n">
        <v>1</v>
      </c>
      <c r="O248" s="51" t="n">
        <v>4</v>
      </c>
      <c r="P248" s="51" t="n">
        <v>60</v>
      </c>
      <c r="Q248" s="51" t="n">
        <v>5</v>
      </c>
      <c r="R248" s="51" t="n">
        <v>900</v>
      </c>
      <c r="S248" s="51" t="n">
        <v>0</v>
      </c>
      <c r="T248" s="51" t="n">
        <v>5</v>
      </c>
      <c r="U248" s="51" t="n">
        <v>0</v>
      </c>
      <c r="V248" s="51" t="n">
        <v>0</v>
      </c>
      <c r="W248" s="51" t="n">
        <v>0</v>
      </c>
      <c r="X248" s="51" t="n">
        <v>0.76</v>
      </c>
    </row>
    <row r="249">
      <c r="A249" s="51" t="inlineStr">
        <is>
          <t>Peat moss</t>
        </is>
      </c>
      <c r="B249" s="51" t="n">
        <v>55</v>
      </c>
      <c r="C249" s="51" t="n">
        <v>65</v>
      </c>
      <c r="D249" s="51" t="n">
        <v>3</v>
      </c>
      <c r="E249" s="51" t="n">
        <v>69.2</v>
      </c>
      <c r="F249" s="51" t="n">
        <v>5.16</v>
      </c>
      <c r="G249" s="51" t="n">
        <v>25.3</v>
      </c>
      <c r="H249" s="51" t="n">
        <v>53.6</v>
      </c>
      <c r="I249" s="51" t="n">
        <v>32.9</v>
      </c>
      <c r="J249" s="51" t="n">
        <v>5.7</v>
      </c>
      <c r="K249" s="51" t="n">
        <v>4</v>
      </c>
      <c r="L249" s="51" t="n">
        <v>2</v>
      </c>
      <c r="M249" s="51" t="n">
        <v>0</v>
      </c>
      <c r="N249" s="51" t="n">
        <v>1</v>
      </c>
      <c r="O249" s="51" t="n">
        <v>4</v>
      </c>
      <c r="P249" s="51" t="n">
        <v>60</v>
      </c>
      <c r="Q249" s="51" t="n">
        <v>5</v>
      </c>
      <c r="R249" s="51" t="n">
        <v>1100</v>
      </c>
      <c r="S249" s="51" t="n">
        <v>0</v>
      </c>
      <c r="T249" s="51" t="n">
        <v>5</v>
      </c>
      <c r="U249" s="51" t="n">
        <v>0</v>
      </c>
      <c r="V249" s="51" t="n">
        <v>0</v>
      </c>
      <c r="W249" s="51" t="n">
        <v>0</v>
      </c>
      <c r="X249" s="51" t="n">
        <v>0.87</v>
      </c>
    </row>
    <row r="250">
      <c r="A250" s="51" t="inlineStr">
        <is>
          <t>Peat moss</t>
        </is>
      </c>
      <c r="B250" s="51" t="n">
        <v>55</v>
      </c>
      <c r="C250" s="51" t="n">
        <v>65</v>
      </c>
      <c r="D250" s="51" t="n">
        <v>3</v>
      </c>
      <c r="E250" s="51" t="n">
        <v>69.2</v>
      </c>
      <c r="F250" s="51" t="n">
        <v>5.16</v>
      </c>
      <c r="G250" s="51" t="n">
        <v>25.3</v>
      </c>
      <c r="H250" s="51" t="n">
        <v>53.6</v>
      </c>
      <c r="I250" s="51" t="n">
        <v>32.9</v>
      </c>
      <c r="J250" s="51" t="n">
        <v>5.7</v>
      </c>
      <c r="K250" s="51" t="n">
        <v>4</v>
      </c>
      <c r="L250" s="51" t="n">
        <v>2</v>
      </c>
      <c r="M250" s="51" t="n">
        <v>0</v>
      </c>
      <c r="N250" s="51" t="n">
        <v>1</v>
      </c>
      <c r="O250" s="51" t="n">
        <v>4</v>
      </c>
      <c r="P250" s="51" t="n">
        <v>60</v>
      </c>
      <c r="Q250" s="51" t="n">
        <v>5</v>
      </c>
      <c r="R250" s="51" t="n">
        <v>1400</v>
      </c>
      <c r="S250" s="51" t="n">
        <v>0</v>
      </c>
      <c r="T250" s="51" t="n">
        <v>5</v>
      </c>
      <c r="U250" s="51" t="n">
        <v>0</v>
      </c>
      <c r="V250" s="51" t="n">
        <v>0</v>
      </c>
      <c r="W250" s="51" t="n">
        <v>0</v>
      </c>
      <c r="X250" s="51" t="n">
        <v>0.89</v>
      </c>
    </row>
    <row r="251">
      <c r="A251" s="51" t="inlineStr">
        <is>
          <t>Peat moss</t>
        </is>
      </c>
      <c r="B251" s="51" t="n">
        <v>55</v>
      </c>
      <c r="C251" s="51" t="n">
        <v>65</v>
      </c>
      <c r="D251" s="51" t="n">
        <v>3</v>
      </c>
      <c r="E251" s="51" t="n">
        <v>69.2</v>
      </c>
      <c r="F251" s="51" t="n">
        <v>5.16</v>
      </c>
      <c r="G251" s="51" t="n">
        <v>25.3</v>
      </c>
      <c r="H251" s="51" t="n">
        <v>53.6</v>
      </c>
      <c r="I251" s="51" t="n">
        <v>32.9</v>
      </c>
      <c r="J251" s="51" t="n">
        <v>5.7</v>
      </c>
      <c r="K251" s="51" t="n">
        <v>4</v>
      </c>
      <c r="L251" s="51" t="n">
        <v>2</v>
      </c>
      <c r="M251" s="51" t="n">
        <v>1</v>
      </c>
      <c r="N251" s="51" t="n">
        <v>1</v>
      </c>
      <c r="O251" s="51" t="n">
        <v>4</v>
      </c>
      <c r="P251" s="51" t="n">
        <v>60</v>
      </c>
      <c r="Q251" s="51" t="n">
        <v>5</v>
      </c>
      <c r="R251" s="51" t="n">
        <v>600</v>
      </c>
      <c r="S251" s="51" t="n">
        <v>1</v>
      </c>
      <c r="T251" s="51" t="n">
        <v>6</v>
      </c>
      <c r="U251" s="51" t="n">
        <v>3</v>
      </c>
      <c r="V251" s="51" t="n">
        <v>5</v>
      </c>
      <c r="W251" s="51" t="n">
        <v>300</v>
      </c>
      <c r="X251" s="51" t="n">
        <v>0.47</v>
      </c>
    </row>
    <row r="252">
      <c r="A252" s="51" t="inlineStr">
        <is>
          <t>Peat moss</t>
        </is>
      </c>
      <c r="B252" s="51" t="n">
        <v>55</v>
      </c>
      <c r="C252" s="51" t="n">
        <v>65</v>
      </c>
      <c r="D252" s="51" t="n">
        <v>3</v>
      </c>
      <c r="E252" s="51" t="n">
        <v>69.2</v>
      </c>
      <c r="F252" s="51" t="n">
        <v>5.16</v>
      </c>
      <c r="G252" s="51" t="n">
        <v>25.3</v>
      </c>
      <c r="H252" s="51" t="n">
        <v>53.6</v>
      </c>
      <c r="I252" s="51" t="n">
        <v>32.9</v>
      </c>
      <c r="J252" s="51" t="n">
        <v>5.7</v>
      </c>
      <c r="K252" s="51" t="n">
        <v>4</v>
      </c>
      <c r="L252" s="51" t="n">
        <v>2</v>
      </c>
      <c r="M252" s="51" t="n">
        <v>1</v>
      </c>
      <c r="N252" s="51" t="n">
        <v>1</v>
      </c>
      <c r="O252" s="51" t="n">
        <v>4</v>
      </c>
      <c r="P252" s="51" t="n">
        <v>60</v>
      </c>
      <c r="Q252" s="51" t="n">
        <v>5</v>
      </c>
      <c r="R252" s="51" t="n">
        <v>900</v>
      </c>
      <c r="S252" s="51" t="n">
        <v>1</v>
      </c>
      <c r="T252" s="51" t="n">
        <v>6</v>
      </c>
      <c r="U252" s="51" t="n">
        <v>3</v>
      </c>
      <c r="V252" s="51" t="n">
        <v>5</v>
      </c>
      <c r="W252" s="51" t="n">
        <v>300</v>
      </c>
      <c r="X252" s="51" t="n">
        <v>0.71</v>
      </c>
    </row>
    <row r="253">
      <c r="A253" s="51" t="inlineStr">
        <is>
          <t>Peat moss</t>
        </is>
      </c>
      <c r="B253" s="51" t="n">
        <v>55</v>
      </c>
      <c r="C253" s="51" t="n">
        <v>65</v>
      </c>
      <c r="D253" s="51" t="n">
        <v>3</v>
      </c>
      <c r="E253" s="51" t="n">
        <v>69.2</v>
      </c>
      <c r="F253" s="51" t="n">
        <v>5.16</v>
      </c>
      <c r="G253" s="51" t="n">
        <v>25.3</v>
      </c>
      <c r="H253" s="51" t="n">
        <v>53.6</v>
      </c>
      <c r="I253" s="51" t="n">
        <v>32.9</v>
      </c>
      <c r="J253" s="51" t="n">
        <v>5.7</v>
      </c>
      <c r="K253" s="51" t="n">
        <v>4</v>
      </c>
      <c r="L253" s="51" t="n">
        <v>2</v>
      </c>
      <c r="M253" s="51" t="n">
        <v>1</v>
      </c>
      <c r="N253" s="51" t="n">
        <v>1</v>
      </c>
      <c r="O253" s="51" t="n">
        <v>4</v>
      </c>
      <c r="P253" s="51" t="n">
        <v>60</v>
      </c>
      <c r="Q253" s="51" t="n">
        <v>5</v>
      </c>
      <c r="R253" s="51" t="n">
        <v>1100</v>
      </c>
      <c r="S253" s="51" t="n">
        <v>1</v>
      </c>
      <c r="T253" s="51" t="n">
        <v>6</v>
      </c>
      <c r="U253" s="51" t="n">
        <v>3</v>
      </c>
      <c r="V253" s="51" t="n">
        <v>5</v>
      </c>
      <c r="W253" s="51" t="n">
        <v>300</v>
      </c>
      <c r="X253" s="51" t="n">
        <v>0.86</v>
      </c>
    </row>
    <row r="254">
      <c r="A254" s="51" t="inlineStr">
        <is>
          <t>Peat moss</t>
        </is>
      </c>
      <c r="B254" s="51" t="n">
        <v>55</v>
      </c>
      <c r="C254" s="51" t="n">
        <v>65</v>
      </c>
      <c r="D254" s="51" t="n">
        <v>3</v>
      </c>
      <c r="E254" s="51" t="n">
        <v>69.2</v>
      </c>
      <c r="F254" s="51" t="n">
        <v>5.16</v>
      </c>
      <c r="G254" s="51" t="n">
        <v>25.3</v>
      </c>
      <c r="H254" s="51" t="n">
        <v>53.6</v>
      </c>
      <c r="I254" s="51" t="n">
        <v>32.9</v>
      </c>
      <c r="J254" s="51" t="n">
        <v>5.7</v>
      </c>
      <c r="K254" s="51" t="n">
        <v>4</v>
      </c>
      <c r="L254" s="51" t="n">
        <v>2</v>
      </c>
      <c r="M254" s="51" t="n">
        <v>1</v>
      </c>
      <c r="N254" s="51" t="n">
        <v>1</v>
      </c>
      <c r="O254" s="51" t="n">
        <v>4</v>
      </c>
      <c r="P254" s="51" t="n">
        <v>60</v>
      </c>
      <c r="Q254" s="51" t="n">
        <v>5</v>
      </c>
      <c r="R254" s="51" t="n">
        <v>1400</v>
      </c>
      <c r="S254" s="51" t="n">
        <v>1</v>
      </c>
      <c r="T254" s="51" t="n">
        <v>6</v>
      </c>
      <c r="U254" s="51" t="n">
        <v>3</v>
      </c>
      <c r="V254" s="51" t="n">
        <v>5</v>
      </c>
      <c r="W254" s="51" t="n">
        <v>300</v>
      </c>
      <c r="X254" s="51" t="n">
        <v>0.91</v>
      </c>
    </row>
    <row r="255">
      <c r="A255" s="51" t="inlineStr">
        <is>
          <t>Pine</t>
        </is>
      </c>
      <c r="B255" s="51" t="n">
        <v>32.09</v>
      </c>
      <c r="C255" s="51" t="n">
        <v>14.22</v>
      </c>
      <c r="D255" s="51" t="n">
        <v>31.15</v>
      </c>
      <c r="E255" s="51" t="n">
        <v>83.3</v>
      </c>
      <c r="F255" s="51" t="n">
        <v>1.3</v>
      </c>
      <c r="G255" s="51" t="n">
        <v>15.4</v>
      </c>
      <c r="H255" s="51" t="n">
        <v>52.2</v>
      </c>
      <c r="I255" s="51" t="n">
        <v>41.7</v>
      </c>
      <c r="J255" s="51" t="n">
        <v>6</v>
      </c>
      <c r="K255" s="51" t="n">
        <v>4</v>
      </c>
      <c r="L255" s="51" t="n">
        <v>5</v>
      </c>
      <c r="M255" s="51" t="n">
        <v>0</v>
      </c>
      <c r="N255" s="51" t="n">
        <v>1</v>
      </c>
      <c r="O255" s="51" t="n">
        <v>4</v>
      </c>
      <c r="P255" s="51" t="n">
        <v>60</v>
      </c>
      <c r="Q255" s="51" t="n">
        <v>3.3</v>
      </c>
      <c r="R255" s="51" t="n">
        <v>1000</v>
      </c>
      <c r="S255" s="51" t="n">
        <v>0</v>
      </c>
      <c r="T255" s="51" t="n">
        <v>5</v>
      </c>
      <c r="U255" s="51" t="n">
        <v>0</v>
      </c>
      <c r="V255" s="51" t="n">
        <v>0</v>
      </c>
      <c r="W255" s="51" t="n">
        <v>0</v>
      </c>
      <c r="X255" s="51" t="n">
        <v>0.43859649122807</v>
      </c>
    </row>
    <row r="256">
      <c r="A256" s="51" t="inlineStr">
        <is>
          <t>Pine</t>
        </is>
      </c>
      <c r="B256" s="51" t="n">
        <v>32.09</v>
      </c>
      <c r="C256" s="51" t="n">
        <v>14.22</v>
      </c>
      <c r="D256" s="51" t="n">
        <v>31.15</v>
      </c>
      <c r="E256" s="51" t="n">
        <v>83.3</v>
      </c>
      <c r="F256" s="51" t="n">
        <v>1.3</v>
      </c>
      <c r="G256" s="51" t="n">
        <v>15.4</v>
      </c>
      <c r="H256" s="51" t="n">
        <v>52.2</v>
      </c>
      <c r="I256" s="51" t="n">
        <v>41.7</v>
      </c>
      <c r="J256" s="51" t="n">
        <v>6</v>
      </c>
      <c r="K256" s="51" t="n">
        <v>4</v>
      </c>
      <c r="L256" s="51" t="n">
        <v>5</v>
      </c>
      <c r="M256" s="51" t="n">
        <v>0</v>
      </c>
      <c r="N256" s="51" t="n">
        <v>1</v>
      </c>
      <c r="O256" s="51" t="n">
        <v>4</v>
      </c>
      <c r="P256" s="51" t="n">
        <v>60</v>
      </c>
      <c r="Q256" s="51" t="n">
        <v>3.3</v>
      </c>
      <c r="R256" s="51" t="n">
        <v>1000</v>
      </c>
      <c r="S256" s="51" t="n">
        <v>0</v>
      </c>
      <c r="T256" s="51" t="n">
        <v>5</v>
      </c>
      <c r="U256" s="51" t="n">
        <v>0</v>
      </c>
      <c r="V256" s="51" t="n">
        <v>0</v>
      </c>
      <c r="W256" s="51" t="n">
        <v>0</v>
      </c>
      <c r="X256" s="51" t="n">
        <v>0.43859649122807</v>
      </c>
    </row>
    <row r="257">
      <c r="A257" s="51" t="inlineStr">
        <is>
          <t>Pine</t>
        </is>
      </c>
      <c r="B257" s="51" t="n">
        <v>32.09</v>
      </c>
      <c r="C257" s="51" t="n">
        <v>14.22</v>
      </c>
      <c r="D257" s="51" t="n">
        <v>31.15</v>
      </c>
      <c r="E257" s="51" t="n">
        <v>83.3</v>
      </c>
      <c r="F257" s="51" t="n">
        <v>1.3</v>
      </c>
      <c r="G257" s="51" t="n">
        <v>15.4</v>
      </c>
      <c r="H257" s="51" t="n">
        <v>52.2</v>
      </c>
      <c r="I257" s="51" t="n">
        <v>41.7</v>
      </c>
      <c r="J257" s="51" t="n">
        <v>6</v>
      </c>
      <c r="K257" s="51" t="n">
        <v>4</v>
      </c>
      <c r="L257" s="51" t="n">
        <v>5</v>
      </c>
      <c r="M257" s="51" t="n">
        <v>0</v>
      </c>
      <c r="N257" s="51" t="n">
        <v>1</v>
      </c>
      <c r="O257" s="51" t="n">
        <v>4</v>
      </c>
      <c r="P257" s="51" t="n">
        <v>60</v>
      </c>
      <c r="Q257" s="51" t="n">
        <v>3.3</v>
      </c>
      <c r="R257" s="51" t="n">
        <v>1200</v>
      </c>
      <c r="S257" s="51" t="n">
        <v>0</v>
      </c>
      <c r="T257" s="51" t="n">
        <v>5</v>
      </c>
      <c r="U257" s="51" t="n">
        <v>0</v>
      </c>
      <c r="V257" s="51" t="n">
        <v>0</v>
      </c>
      <c r="W257" s="51" t="n">
        <v>0</v>
      </c>
      <c r="X257" s="51" t="n">
        <v>0.448430493273543</v>
      </c>
    </row>
    <row r="258">
      <c r="A258" s="51" t="inlineStr">
        <is>
          <t>Pine</t>
        </is>
      </c>
      <c r="B258" s="51" t="n">
        <v>32.09</v>
      </c>
      <c r="C258" s="51" t="n">
        <v>14.22</v>
      </c>
      <c r="D258" s="51" t="n">
        <v>31.15</v>
      </c>
      <c r="E258" s="51" t="n">
        <v>83.3</v>
      </c>
      <c r="F258" s="51" t="n">
        <v>1.3</v>
      </c>
      <c r="G258" s="51" t="n">
        <v>15.4</v>
      </c>
      <c r="H258" s="51" t="n">
        <v>52.2</v>
      </c>
      <c r="I258" s="51" t="n">
        <v>41.7</v>
      </c>
      <c r="J258" s="51" t="n">
        <v>6</v>
      </c>
      <c r="K258" s="51" t="n">
        <v>4</v>
      </c>
      <c r="L258" s="51" t="n">
        <v>5</v>
      </c>
      <c r="M258" s="51" t="n">
        <v>0</v>
      </c>
      <c r="N258" s="51" t="n">
        <v>1</v>
      </c>
      <c r="O258" s="51" t="n">
        <v>4</v>
      </c>
      <c r="P258" s="51" t="n">
        <v>60</v>
      </c>
      <c r="Q258" s="51" t="n">
        <v>3.3</v>
      </c>
      <c r="R258" s="51" t="n">
        <v>1200</v>
      </c>
      <c r="S258" s="51" t="n">
        <v>0</v>
      </c>
      <c r="T258" s="51" t="n">
        <v>5</v>
      </c>
      <c r="U258" s="51" t="n">
        <v>0</v>
      </c>
      <c r="V258" s="51" t="n">
        <v>0</v>
      </c>
      <c r="W258" s="51" t="n">
        <v>0</v>
      </c>
      <c r="X258" s="51" t="n">
        <v>0.448430493273543</v>
      </c>
    </row>
    <row r="259">
      <c r="A259" s="51" t="inlineStr">
        <is>
          <t>Pine</t>
        </is>
      </c>
      <c r="B259" s="51" t="n">
        <v>32.09</v>
      </c>
      <c r="C259" s="51" t="n">
        <v>14.22</v>
      </c>
      <c r="D259" s="51" t="n">
        <v>31.15</v>
      </c>
      <c r="E259" s="51" t="n">
        <v>83.3</v>
      </c>
      <c r="F259" s="51" t="n">
        <v>1.3</v>
      </c>
      <c r="G259" s="51" t="n">
        <v>15.4</v>
      </c>
      <c r="H259" s="51" t="n">
        <v>52.2</v>
      </c>
      <c r="I259" s="51" t="n">
        <v>41.7</v>
      </c>
      <c r="J259" s="51" t="n">
        <v>6</v>
      </c>
      <c r="K259" s="51" t="n">
        <v>4</v>
      </c>
      <c r="L259" s="51" t="n">
        <v>5</v>
      </c>
      <c r="M259" s="51" t="n">
        <v>0</v>
      </c>
      <c r="N259" s="51" t="n">
        <v>1</v>
      </c>
      <c r="O259" s="51" t="n">
        <v>4</v>
      </c>
      <c r="P259" s="51" t="n">
        <v>60</v>
      </c>
      <c r="Q259" s="51" t="n">
        <v>3.3</v>
      </c>
      <c r="R259" s="51" t="n">
        <v>1400</v>
      </c>
      <c r="S259" s="51" t="n">
        <v>0</v>
      </c>
      <c r="T259" s="51" t="n">
        <v>5</v>
      </c>
      <c r="U259" s="51" t="n">
        <v>0</v>
      </c>
      <c r="V259" s="51" t="n">
        <v>0</v>
      </c>
      <c r="W259" s="51" t="n">
        <v>0</v>
      </c>
      <c r="X259" s="51" t="n">
        <v>0.490196078431373</v>
      </c>
    </row>
    <row r="260">
      <c r="A260" s="51" t="inlineStr">
        <is>
          <t>Pine</t>
        </is>
      </c>
      <c r="B260" s="51" t="n">
        <v>32.09</v>
      </c>
      <c r="C260" s="51" t="n">
        <v>14.22</v>
      </c>
      <c r="D260" s="51" t="n">
        <v>31.15</v>
      </c>
      <c r="E260" s="51" t="n">
        <v>83.3</v>
      </c>
      <c r="F260" s="51" t="n">
        <v>1.3</v>
      </c>
      <c r="G260" s="51" t="n">
        <v>15.4</v>
      </c>
      <c r="H260" s="51" t="n">
        <v>52.2</v>
      </c>
      <c r="I260" s="51" t="n">
        <v>41.7</v>
      </c>
      <c r="J260" s="51" t="n">
        <v>6</v>
      </c>
      <c r="K260" s="51" t="n">
        <v>4</v>
      </c>
      <c r="L260" s="51" t="n">
        <v>5</v>
      </c>
      <c r="M260" s="51" t="n">
        <v>0</v>
      </c>
      <c r="N260" s="51" t="n">
        <v>1</v>
      </c>
      <c r="O260" s="51" t="n">
        <v>4</v>
      </c>
      <c r="P260" s="51" t="n">
        <v>60</v>
      </c>
      <c r="Q260" s="51" t="n">
        <v>3.3</v>
      </c>
      <c r="R260" s="51" t="n">
        <v>1400</v>
      </c>
      <c r="S260" s="51" t="n">
        <v>0</v>
      </c>
      <c r="T260" s="51" t="n">
        <v>5</v>
      </c>
      <c r="U260" s="51" t="n">
        <v>0</v>
      </c>
      <c r="V260" s="51" t="n">
        <v>0</v>
      </c>
      <c r="W260" s="51" t="n">
        <v>0</v>
      </c>
      <c r="X260" s="51" t="n">
        <v>0.490196078431373</v>
      </c>
    </row>
    <row r="261">
      <c r="A261" s="51" t="inlineStr">
        <is>
          <t>Pinecone</t>
        </is>
      </c>
      <c r="B261" s="51" t="n">
        <v>32.91</v>
      </c>
      <c r="C261" s="51" t="n">
        <v>22.92</v>
      </c>
      <c r="D261" s="51" t="n">
        <v>30</v>
      </c>
      <c r="E261" s="51" t="n">
        <v>80.34999999999999</v>
      </c>
      <c r="F261" s="51" t="n">
        <v>1.41</v>
      </c>
      <c r="G261" s="51" t="n">
        <v>10.27</v>
      </c>
      <c r="H261" s="51" t="n">
        <v>48.62</v>
      </c>
      <c r="I261" s="51" t="n">
        <v>38.45</v>
      </c>
      <c r="J261" s="51" t="n">
        <v>5.31</v>
      </c>
      <c r="K261" s="51" t="n">
        <v>6</v>
      </c>
      <c r="L261" s="51" t="n">
        <v>7</v>
      </c>
      <c r="M261" s="51" t="n">
        <v>1</v>
      </c>
      <c r="N261" s="51" t="n">
        <v>1</v>
      </c>
      <c r="O261" s="51" t="n">
        <v>4</v>
      </c>
      <c r="P261" s="51" t="n">
        <v>120</v>
      </c>
      <c r="Q261" s="51" t="n">
        <v>2.65882942644671</v>
      </c>
      <c r="R261" s="51" t="n">
        <v>500</v>
      </c>
      <c r="S261" s="51" t="n">
        <v>1</v>
      </c>
      <c r="T261" s="51" t="n">
        <v>0</v>
      </c>
      <c r="U261" s="51" t="n">
        <v>120</v>
      </c>
      <c r="V261" s="51" t="n">
        <v>5</v>
      </c>
      <c r="W261" s="51" t="n">
        <v>500</v>
      </c>
      <c r="X261" s="51" t="n">
        <v>0.37</v>
      </c>
    </row>
    <row r="262">
      <c r="A262" s="51" t="inlineStr">
        <is>
          <t>Pinecone</t>
        </is>
      </c>
      <c r="B262" s="51" t="n">
        <v>32.91</v>
      </c>
      <c r="C262" s="51" t="n">
        <v>22.92</v>
      </c>
      <c r="D262" s="51" t="n">
        <v>30</v>
      </c>
      <c r="E262" s="51" t="n">
        <v>80.34999999999999</v>
      </c>
      <c r="F262" s="51" t="n">
        <v>1.41</v>
      </c>
      <c r="G262" s="51" t="n">
        <v>10.27</v>
      </c>
      <c r="H262" s="51" t="n">
        <v>48.62</v>
      </c>
      <c r="I262" s="51" t="n">
        <v>38.45</v>
      </c>
      <c r="J262" s="51" t="n">
        <v>5.31</v>
      </c>
      <c r="K262" s="51" t="n">
        <v>6</v>
      </c>
      <c r="L262" s="51" t="n">
        <v>7</v>
      </c>
      <c r="M262" s="51" t="n">
        <v>1</v>
      </c>
      <c r="N262" s="51" t="n">
        <v>1</v>
      </c>
      <c r="O262" s="51" t="n">
        <v>4</v>
      </c>
      <c r="P262" s="51" t="n">
        <v>120</v>
      </c>
      <c r="Q262" s="51" t="n">
        <v>2.36280896338916</v>
      </c>
      <c r="R262" s="51" t="n">
        <v>500</v>
      </c>
      <c r="S262" s="51" t="n">
        <v>1</v>
      </c>
      <c r="T262" s="51" t="n">
        <v>0</v>
      </c>
      <c r="U262" s="51" t="n">
        <v>120</v>
      </c>
      <c r="V262" s="51" t="n">
        <v>5</v>
      </c>
      <c r="W262" s="51" t="n">
        <v>800</v>
      </c>
      <c r="X262" s="51" t="n">
        <v>0.33</v>
      </c>
    </row>
    <row r="263">
      <c r="A263" s="51" t="inlineStr">
        <is>
          <t>Pinecone</t>
        </is>
      </c>
      <c r="B263" s="51" t="n">
        <v>32.91</v>
      </c>
      <c r="C263" s="51" t="n">
        <v>22.92</v>
      </c>
      <c r="D263" s="51" t="n">
        <v>30</v>
      </c>
      <c r="E263" s="51" t="n">
        <v>80.34999999999999</v>
      </c>
      <c r="F263" s="51" t="n">
        <v>1.41</v>
      </c>
      <c r="G263" s="51" t="n">
        <v>10.27</v>
      </c>
      <c r="H263" s="51" t="n">
        <v>48.62</v>
      </c>
      <c r="I263" s="51" t="n">
        <v>38.45</v>
      </c>
      <c r="J263" s="51" t="n">
        <v>5.31</v>
      </c>
      <c r="K263" s="51" t="n">
        <v>6</v>
      </c>
      <c r="L263" s="51" t="n">
        <v>7</v>
      </c>
      <c r="M263" s="51" t="n">
        <v>1</v>
      </c>
      <c r="N263" s="51" t="n">
        <v>1</v>
      </c>
      <c r="O263" s="51" t="n">
        <v>4</v>
      </c>
      <c r="P263" s="51" t="n">
        <v>120</v>
      </c>
      <c r="Q263" s="51" t="n">
        <v>2.67475822611061</v>
      </c>
      <c r="R263" s="51" t="n">
        <v>500</v>
      </c>
      <c r="S263" s="51" t="n">
        <v>1</v>
      </c>
      <c r="T263" s="51" t="n">
        <v>0</v>
      </c>
      <c r="U263" s="51" t="n">
        <v>120</v>
      </c>
      <c r="V263" s="51" t="n">
        <v>5</v>
      </c>
      <c r="W263" s="51" t="n">
        <v>850</v>
      </c>
      <c r="X263" s="51" t="n">
        <v>0.33</v>
      </c>
    </row>
    <row r="264">
      <c r="A264" s="51" t="inlineStr">
        <is>
          <t>Pinecone</t>
        </is>
      </c>
      <c r="B264" s="51" t="n">
        <v>32.91</v>
      </c>
      <c r="C264" s="51" t="n">
        <v>22.92</v>
      </c>
      <c r="D264" s="51" t="n">
        <v>30</v>
      </c>
      <c r="E264" s="51" t="n">
        <v>80.34999999999999</v>
      </c>
      <c r="F264" s="51" t="n">
        <v>1.41</v>
      </c>
      <c r="G264" s="51" t="n">
        <v>10.27</v>
      </c>
      <c r="H264" s="51" t="n">
        <v>48.62</v>
      </c>
      <c r="I264" s="51" t="n">
        <v>38.45</v>
      </c>
      <c r="J264" s="51" t="n">
        <v>5.31</v>
      </c>
      <c r="K264" s="51" t="n">
        <v>6</v>
      </c>
      <c r="L264" s="51" t="n">
        <v>7</v>
      </c>
      <c r="M264" s="51" t="n">
        <v>1</v>
      </c>
      <c r="N264" s="51" t="n">
        <v>1</v>
      </c>
      <c r="O264" s="51" t="n">
        <v>4</v>
      </c>
      <c r="P264" s="51" t="n">
        <v>120</v>
      </c>
      <c r="Q264" s="51" t="n">
        <v>3.82459821671435</v>
      </c>
      <c r="R264" s="51" t="n">
        <v>500</v>
      </c>
      <c r="S264" s="51" t="n">
        <v>1</v>
      </c>
      <c r="T264" s="51" t="n">
        <v>0</v>
      </c>
      <c r="U264" s="51" t="n">
        <v>120</v>
      </c>
      <c r="V264" s="51" t="n">
        <v>5</v>
      </c>
      <c r="W264" s="51" t="n">
        <v>900</v>
      </c>
      <c r="X264" s="51" t="n">
        <v>0.34</v>
      </c>
    </row>
    <row r="265">
      <c r="A265" s="51" t="inlineStr">
        <is>
          <t>Pinecone</t>
        </is>
      </c>
      <c r="B265" s="51" t="n">
        <v>32.91</v>
      </c>
      <c r="C265" s="51" t="n">
        <v>22.92</v>
      </c>
      <c r="D265" s="51" t="n">
        <v>30</v>
      </c>
      <c r="E265" s="51" t="n">
        <v>80.34999999999999</v>
      </c>
      <c r="F265" s="51" t="n">
        <v>1.41</v>
      </c>
      <c r="G265" s="51" t="n">
        <v>10.27</v>
      </c>
      <c r="H265" s="51" t="n">
        <v>48.62</v>
      </c>
      <c r="I265" s="51" t="n">
        <v>38.45</v>
      </c>
      <c r="J265" s="51" t="n">
        <v>5.31</v>
      </c>
      <c r="K265" s="51" t="n">
        <v>6</v>
      </c>
      <c r="L265" s="51" t="n">
        <v>7</v>
      </c>
      <c r="M265" s="51" t="n">
        <v>1</v>
      </c>
      <c r="N265" s="51" t="n">
        <v>1</v>
      </c>
      <c r="O265" s="51" t="n">
        <v>4</v>
      </c>
      <c r="P265" s="51" t="n">
        <v>120</v>
      </c>
      <c r="Q265" s="51" t="n">
        <v>3.89250407972177</v>
      </c>
      <c r="R265" s="51" t="n">
        <v>500</v>
      </c>
      <c r="S265" s="51" t="n">
        <v>1</v>
      </c>
      <c r="T265" s="51" t="n">
        <v>0</v>
      </c>
      <c r="U265" s="51" t="n">
        <v>120</v>
      </c>
      <c r="V265" s="51" t="n">
        <v>5</v>
      </c>
      <c r="W265" s="51" t="n">
        <v>1000</v>
      </c>
      <c r="X265" s="51" t="n">
        <v>0.37</v>
      </c>
    </row>
    <row r="266">
      <c r="A266" s="51" t="inlineStr">
        <is>
          <t>Pinecone</t>
        </is>
      </c>
      <c r="B266" s="51" t="n">
        <v>32.91</v>
      </c>
      <c r="C266" s="51" t="n">
        <v>22.92</v>
      </c>
      <c r="D266" s="51" t="n">
        <v>30</v>
      </c>
      <c r="E266" s="51" t="n">
        <v>80.34999999999999</v>
      </c>
      <c r="F266" s="51" t="n">
        <v>1.41</v>
      </c>
      <c r="G266" s="51" t="n">
        <v>10.27</v>
      </c>
      <c r="H266" s="51" t="n">
        <v>48.62</v>
      </c>
      <c r="I266" s="51" t="n">
        <v>38.45</v>
      </c>
      <c r="J266" s="51" t="n">
        <v>5.31</v>
      </c>
      <c r="K266" s="51" t="n">
        <v>6</v>
      </c>
      <c r="L266" s="51" t="n">
        <v>7</v>
      </c>
      <c r="M266" s="51" t="n">
        <v>1</v>
      </c>
      <c r="N266" s="51" t="n">
        <v>1</v>
      </c>
      <c r="O266" s="51" t="n">
        <v>4</v>
      </c>
      <c r="P266" s="51" t="n">
        <v>120</v>
      </c>
      <c r="Q266" s="51" t="n">
        <v>4.40889202393268</v>
      </c>
      <c r="R266" s="51" t="n">
        <v>500</v>
      </c>
      <c r="S266" s="51" t="n">
        <v>1</v>
      </c>
      <c r="T266" s="51" t="n">
        <v>0</v>
      </c>
      <c r="U266" s="51" t="n">
        <v>120</v>
      </c>
      <c r="V266" s="51" t="n">
        <v>5</v>
      </c>
      <c r="W266" s="51" t="n">
        <v>1200</v>
      </c>
      <c r="X266" s="51" t="n">
        <v>0.46</v>
      </c>
    </row>
    <row r="267">
      <c r="A267" s="51" t="inlineStr">
        <is>
          <t>Pinecone</t>
        </is>
      </c>
      <c r="B267" s="51" t="n">
        <v>32.91</v>
      </c>
      <c r="C267" s="51" t="n">
        <v>22.92</v>
      </c>
      <c r="D267" s="51" t="n">
        <v>30</v>
      </c>
      <c r="E267" s="51" t="n">
        <v>80.34999999999999</v>
      </c>
      <c r="F267" s="51" t="n">
        <v>1.41</v>
      </c>
      <c r="G267" s="51" t="n">
        <v>10.27</v>
      </c>
      <c r="H267" s="51" t="n">
        <v>48.62</v>
      </c>
      <c r="I267" s="51" t="n">
        <v>38.45</v>
      </c>
      <c r="J267" s="51" t="n">
        <v>5.31</v>
      </c>
      <c r="K267" s="51" t="n">
        <v>6</v>
      </c>
      <c r="L267" s="51" t="n">
        <v>7</v>
      </c>
      <c r="M267" s="51" t="n">
        <v>1</v>
      </c>
      <c r="N267" s="51" t="n">
        <v>1</v>
      </c>
      <c r="O267" s="51" t="n">
        <v>4</v>
      </c>
      <c r="P267" s="51" t="n">
        <v>120</v>
      </c>
      <c r="Q267" s="51" t="n">
        <v>4.40889163961223</v>
      </c>
      <c r="R267" s="51" t="n">
        <v>500</v>
      </c>
      <c r="S267" s="51" t="n">
        <v>1</v>
      </c>
      <c r="T267" s="51" t="n">
        <v>0</v>
      </c>
      <c r="U267" s="51" t="n">
        <v>120</v>
      </c>
      <c r="V267" s="51" t="n">
        <v>5</v>
      </c>
      <c r="W267" s="51" t="n">
        <v>1400</v>
      </c>
      <c r="X267" s="51" t="n">
        <v>0.53</v>
      </c>
    </row>
    <row r="268">
      <c r="A268" s="51" t="inlineStr">
        <is>
          <t>Pinecone</t>
        </is>
      </c>
      <c r="B268" s="51" t="n">
        <v>32.91</v>
      </c>
      <c r="C268" s="51" t="n">
        <v>22.92</v>
      </c>
      <c r="D268" s="51" t="n">
        <v>30</v>
      </c>
      <c r="E268" s="51" t="n">
        <v>80.34999999999999</v>
      </c>
      <c r="F268" s="51" t="n">
        <v>1.41</v>
      </c>
      <c r="G268" s="51" t="n">
        <v>10.27</v>
      </c>
      <c r="H268" s="51" t="n">
        <v>48.62</v>
      </c>
      <c r="I268" s="51" t="n">
        <v>38.45</v>
      </c>
      <c r="J268" s="51" t="n">
        <v>5.31</v>
      </c>
      <c r="K268" s="51" t="n">
        <v>6</v>
      </c>
      <c r="L268" s="51" t="n">
        <v>7</v>
      </c>
      <c r="M268" s="51" t="n">
        <v>1</v>
      </c>
      <c r="N268" s="51" t="n">
        <v>1</v>
      </c>
      <c r="O268" s="51" t="n">
        <v>4</v>
      </c>
      <c r="P268" s="51" t="n">
        <v>120</v>
      </c>
      <c r="Q268" s="51" t="n">
        <v>4.22240660994657</v>
      </c>
      <c r="R268" s="51" t="n">
        <v>500</v>
      </c>
      <c r="S268" s="51" t="n">
        <v>1</v>
      </c>
      <c r="T268" s="51" t="n">
        <v>0</v>
      </c>
      <c r="U268" s="51" t="n">
        <v>120</v>
      </c>
      <c r="V268" s="51" t="n">
        <v>5</v>
      </c>
      <c r="W268" s="51" t="n">
        <v>1600</v>
      </c>
      <c r="X268" s="51" t="n">
        <v>0.6</v>
      </c>
    </row>
    <row r="269">
      <c r="A269" s="51" t="inlineStr">
        <is>
          <t>Pistachio shell</t>
        </is>
      </c>
      <c r="B269" s="51" t="n">
        <v>74.56</v>
      </c>
      <c r="C269" s="51" t="n">
        <v>10.33</v>
      </c>
      <c r="D269" s="51" t="n">
        <v>27.02</v>
      </c>
      <c r="E269" s="51" t="n">
        <v>89.31</v>
      </c>
      <c r="F269" s="51" t="n">
        <v>0.33</v>
      </c>
      <c r="G269" s="51" t="n">
        <v>5.46</v>
      </c>
      <c r="H269" s="51" t="n">
        <v>44.58</v>
      </c>
      <c r="I269" s="51" t="n">
        <v>43.75</v>
      </c>
      <c r="J269" s="51" t="n">
        <v>5.68</v>
      </c>
      <c r="K269" s="51" t="n">
        <v>4</v>
      </c>
      <c r="L269" s="51" t="n">
        <v>5</v>
      </c>
      <c r="M269" s="51" t="n">
        <v>0</v>
      </c>
      <c r="N269" s="51" t="n">
        <v>1</v>
      </c>
      <c r="O269" s="51" t="n">
        <v>4</v>
      </c>
      <c r="P269" s="51" t="n">
        <v>120</v>
      </c>
      <c r="Q269" s="51" t="n">
        <v>5</v>
      </c>
      <c r="R269" s="51" t="n">
        <v>700</v>
      </c>
      <c r="S269" s="51" t="n">
        <v>0</v>
      </c>
      <c r="T269" s="51" t="n">
        <v>5</v>
      </c>
      <c r="U269" s="51" t="n">
        <v>0</v>
      </c>
      <c r="V269" s="51" t="n">
        <v>0</v>
      </c>
      <c r="W269" s="51" t="n">
        <v>0</v>
      </c>
      <c r="X269" s="51" t="n">
        <v>0.8100000000000001</v>
      </c>
    </row>
    <row r="270">
      <c r="A270" s="51" t="inlineStr">
        <is>
          <t>Pistachio shell</t>
        </is>
      </c>
      <c r="B270" s="51" t="n">
        <v>74.56</v>
      </c>
      <c r="C270" s="51" t="n">
        <v>10.33</v>
      </c>
      <c r="D270" s="51" t="n">
        <v>27.02</v>
      </c>
      <c r="E270" s="51" t="n">
        <v>89.31</v>
      </c>
      <c r="F270" s="51" t="n">
        <v>0.33</v>
      </c>
      <c r="G270" s="51" t="n">
        <v>5.46</v>
      </c>
      <c r="H270" s="51" t="n">
        <v>44.58</v>
      </c>
      <c r="I270" s="51" t="n">
        <v>43.75</v>
      </c>
      <c r="J270" s="51" t="n">
        <v>5.68</v>
      </c>
      <c r="K270" s="51" t="n">
        <v>4</v>
      </c>
      <c r="L270" s="51" t="n">
        <v>5</v>
      </c>
      <c r="M270" s="51" t="n">
        <v>0</v>
      </c>
      <c r="N270" s="51" t="n">
        <v>1</v>
      </c>
      <c r="O270" s="51" t="n">
        <v>4</v>
      </c>
      <c r="P270" s="51" t="n">
        <v>120</v>
      </c>
      <c r="Q270" s="51" t="n">
        <v>5</v>
      </c>
      <c r="R270" s="51" t="n">
        <v>1000</v>
      </c>
      <c r="S270" s="51" t="n">
        <v>0</v>
      </c>
      <c r="T270" s="51" t="n">
        <v>5</v>
      </c>
      <c r="U270" s="51" t="n">
        <v>0</v>
      </c>
      <c r="V270" s="51" t="n">
        <v>0</v>
      </c>
      <c r="W270" s="51" t="n">
        <v>0</v>
      </c>
      <c r="X270" s="51" t="n">
        <v>0.98</v>
      </c>
    </row>
    <row r="271">
      <c r="A271" s="51" t="inlineStr">
        <is>
          <t>Pistachio shell</t>
        </is>
      </c>
      <c r="B271" s="51" t="n">
        <v>74.56</v>
      </c>
      <c r="C271" s="51" t="n">
        <v>10.33</v>
      </c>
      <c r="D271" s="51" t="n">
        <v>27.02</v>
      </c>
      <c r="E271" s="51" t="n">
        <v>89.31</v>
      </c>
      <c r="F271" s="51" t="n">
        <v>0.33</v>
      </c>
      <c r="G271" s="51" t="n">
        <v>5.46</v>
      </c>
      <c r="H271" s="51" t="n">
        <v>44.58</v>
      </c>
      <c r="I271" s="51" t="n">
        <v>43.75</v>
      </c>
      <c r="J271" s="51" t="n">
        <v>5.68</v>
      </c>
      <c r="K271" s="51" t="n">
        <v>4</v>
      </c>
      <c r="L271" s="51" t="n">
        <v>5</v>
      </c>
      <c r="M271" s="51" t="n">
        <v>0</v>
      </c>
      <c r="N271" s="51" t="n">
        <v>1</v>
      </c>
      <c r="O271" s="51" t="n">
        <v>4</v>
      </c>
      <c r="P271" s="51" t="n">
        <v>120</v>
      </c>
      <c r="Q271" s="51" t="n">
        <v>5</v>
      </c>
      <c r="R271" s="51" t="n">
        <v>1300</v>
      </c>
      <c r="S271" s="51" t="n">
        <v>0</v>
      </c>
      <c r="T271" s="51" t="n">
        <v>5</v>
      </c>
      <c r="U271" s="51" t="n">
        <v>0</v>
      </c>
      <c r="V271" s="51" t="n">
        <v>0</v>
      </c>
      <c r="W271" s="51" t="n">
        <v>0</v>
      </c>
      <c r="X271" s="51" t="n">
        <v>1.05</v>
      </c>
    </row>
    <row r="272">
      <c r="A272" s="51" t="inlineStr">
        <is>
          <t>Pistachio shell</t>
        </is>
      </c>
      <c r="B272" s="51" t="n">
        <v>74.56</v>
      </c>
      <c r="C272" s="51" t="n">
        <v>10.33</v>
      </c>
      <c r="D272" s="51" t="n">
        <v>27.02</v>
      </c>
      <c r="E272" s="51" t="n">
        <v>89.31</v>
      </c>
      <c r="F272" s="51" t="n">
        <v>0.33</v>
      </c>
      <c r="G272" s="51" t="n">
        <v>5.46</v>
      </c>
      <c r="H272" s="51" t="n">
        <v>44.58</v>
      </c>
      <c r="I272" s="51" t="n">
        <v>43.75</v>
      </c>
      <c r="J272" s="51" t="n">
        <v>5.68</v>
      </c>
      <c r="K272" s="51" t="n">
        <v>4</v>
      </c>
      <c r="L272" s="51" t="n">
        <v>5</v>
      </c>
      <c r="M272" s="51" t="n">
        <v>0</v>
      </c>
      <c r="N272" s="51" t="n">
        <v>1</v>
      </c>
      <c r="O272" s="51" t="n">
        <v>4</v>
      </c>
      <c r="P272" s="51" t="n">
        <v>120</v>
      </c>
      <c r="Q272" s="51" t="n">
        <v>5</v>
      </c>
      <c r="R272" s="51" t="n">
        <v>1500</v>
      </c>
      <c r="S272" s="51" t="n">
        <v>0</v>
      </c>
      <c r="T272" s="51" t="n">
        <v>5</v>
      </c>
      <c r="U272" s="51" t="n">
        <v>0</v>
      </c>
      <c r="V272" s="51" t="n">
        <v>0</v>
      </c>
      <c r="W272" s="51" t="n">
        <v>0</v>
      </c>
      <c r="X272" s="51" t="n">
        <v>1.11</v>
      </c>
    </row>
    <row r="273">
      <c r="A273" s="51" t="inlineStr">
        <is>
          <t>Pistachio shells</t>
        </is>
      </c>
      <c r="B273" s="51" t="n">
        <v>74.56</v>
      </c>
      <c r="C273" s="51" t="n">
        <v>10.33</v>
      </c>
      <c r="D273" s="51" t="n">
        <v>27.02</v>
      </c>
      <c r="E273" s="51" t="n">
        <v>89.31</v>
      </c>
      <c r="F273" s="51" t="n">
        <v>0.33</v>
      </c>
      <c r="G273" s="51" t="n">
        <v>5.46</v>
      </c>
      <c r="H273" s="51" t="n">
        <v>44.58</v>
      </c>
      <c r="I273" s="51" t="n">
        <v>43.75</v>
      </c>
      <c r="J273" s="51" t="n">
        <v>5.68</v>
      </c>
      <c r="K273" s="51" t="n">
        <v>5</v>
      </c>
      <c r="L273" s="51" t="n">
        <v>5</v>
      </c>
      <c r="M273" s="51" t="n">
        <v>1</v>
      </c>
      <c r="N273" s="51" t="n">
        <v>0</v>
      </c>
      <c r="O273" s="51" t="n">
        <v>6</v>
      </c>
      <c r="P273" s="51" t="n">
        <v>360</v>
      </c>
      <c r="Q273" s="51" t="n">
        <v>5.67697704193174</v>
      </c>
      <c r="R273" s="51" t="n">
        <v>165</v>
      </c>
      <c r="S273" s="51" t="n">
        <v>1</v>
      </c>
      <c r="T273" s="51" t="n">
        <v>5</v>
      </c>
      <c r="U273" s="51" t="n">
        <v>120</v>
      </c>
      <c r="V273" s="51" t="n">
        <v>5</v>
      </c>
      <c r="W273" s="51" t="n">
        <v>800</v>
      </c>
      <c r="X273" s="51" t="n">
        <v>0.379</v>
      </c>
    </row>
    <row r="274">
      <c r="A274" s="51" t="inlineStr">
        <is>
          <t>Pistachio shells</t>
        </is>
      </c>
      <c r="B274" s="51" t="n">
        <v>74.56</v>
      </c>
      <c r="C274" s="51" t="n">
        <v>10.33</v>
      </c>
      <c r="D274" s="51" t="n">
        <v>27.02</v>
      </c>
      <c r="E274" s="51" t="n">
        <v>89.31</v>
      </c>
      <c r="F274" s="51" t="n">
        <v>0.33</v>
      </c>
      <c r="G274" s="51" t="n">
        <v>5.46</v>
      </c>
      <c r="H274" s="51" t="n">
        <v>44.58</v>
      </c>
      <c r="I274" s="51" t="n">
        <v>43.75</v>
      </c>
      <c r="J274" s="51" t="n">
        <v>5.68</v>
      </c>
      <c r="K274" s="51" t="n">
        <v>5</v>
      </c>
      <c r="L274" s="51" t="n">
        <v>5</v>
      </c>
      <c r="M274" s="51" t="n">
        <v>1</v>
      </c>
      <c r="N274" s="51" t="n">
        <v>0</v>
      </c>
      <c r="O274" s="51" t="n">
        <v>6</v>
      </c>
      <c r="P274" s="51" t="n">
        <v>360</v>
      </c>
      <c r="Q274" s="51" t="n">
        <v>4.98260912057468</v>
      </c>
      <c r="R274" s="51" t="n">
        <v>165</v>
      </c>
      <c r="S274" s="51" t="n">
        <v>1</v>
      </c>
      <c r="T274" s="51" t="n">
        <v>5</v>
      </c>
      <c r="U274" s="51" t="n">
        <v>120</v>
      </c>
      <c r="V274" s="51" t="n">
        <v>5</v>
      </c>
      <c r="W274" s="51" t="n">
        <v>900</v>
      </c>
      <c r="X274" s="51" t="n">
        <v>0.388</v>
      </c>
    </row>
    <row r="275">
      <c r="A275" s="51" t="inlineStr">
        <is>
          <t>Pistachio shells</t>
        </is>
      </c>
      <c r="B275" s="51" t="n">
        <v>74.56</v>
      </c>
      <c r="C275" s="51" t="n">
        <v>10.33</v>
      </c>
      <c r="D275" s="51" t="n">
        <v>27.02</v>
      </c>
      <c r="E275" s="51" t="n">
        <v>89.31</v>
      </c>
      <c r="F275" s="51" t="n">
        <v>0.33</v>
      </c>
      <c r="G275" s="51" t="n">
        <v>5.46</v>
      </c>
      <c r="H275" s="51" t="n">
        <v>44.58</v>
      </c>
      <c r="I275" s="51" t="n">
        <v>43.75</v>
      </c>
      <c r="J275" s="51" t="n">
        <v>5.68</v>
      </c>
      <c r="K275" s="51" t="n">
        <v>5</v>
      </c>
      <c r="L275" s="51" t="n">
        <v>5</v>
      </c>
      <c r="M275" s="51" t="n">
        <v>1</v>
      </c>
      <c r="N275" s="51" t="n">
        <v>0</v>
      </c>
      <c r="O275" s="51" t="n">
        <v>6</v>
      </c>
      <c r="P275" s="51" t="n">
        <v>360</v>
      </c>
      <c r="Q275" s="51" t="n">
        <v>4.3177309966435</v>
      </c>
      <c r="R275" s="51" t="n">
        <v>165</v>
      </c>
      <c r="S275" s="51" t="n">
        <v>1</v>
      </c>
      <c r="T275" s="51" t="n">
        <v>5</v>
      </c>
      <c r="U275" s="51" t="n">
        <v>120</v>
      </c>
      <c r="V275" s="51" t="n">
        <v>5</v>
      </c>
      <c r="W275" s="51" t="n">
        <v>1000</v>
      </c>
      <c r="X275" s="51" t="n">
        <v>0.404</v>
      </c>
    </row>
    <row r="276">
      <c r="A276" s="51" t="inlineStr">
        <is>
          <t>Pistachio shells</t>
        </is>
      </c>
      <c r="B276" s="51" t="n">
        <v>74.56</v>
      </c>
      <c r="C276" s="51" t="n">
        <v>10.33</v>
      </c>
      <c r="D276" s="51" t="n">
        <v>27.02</v>
      </c>
      <c r="E276" s="51" t="n">
        <v>89.31</v>
      </c>
      <c r="F276" s="51" t="n">
        <v>0.33</v>
      </c>
      <c r="G276" s="51" t="n">
        <v>5.46</v>
      </c>
      <c r="H276" s="51" t="n">
        <v>44.58</v>
      </c>
      <c r="I276" s="51" t="n">
        <v>43.75</v>
      </c>
      <c r="J276" s="51" t="n">
        <v>5.68</v>
      </c>
      <c r="K276" s="51" t="n">
        <v>5</v>
      </c>
      <c r="L276" s="51" t="n">
        <v>5</v>
      </c>
      <c r="M276" s="51" t="n">
        <v>1</v>
      </c>
      <c r="N276" s="51" t="n">
        <v>0</v>
      </c>
      <c r="O276" s="51" t="n">
        <v>6</v>
      </c>
      <c r="P276" s="51" t="n">
        <v>360</v>
      </c>
      <c r="Q276" s="51" t="n">
        <v>3.93242588331821</v>
      </c>
      <c r="R276" s="51" t="n">
        <v>165</v>
      </c>
      <c r="S276" s="51" t="n">
        <v>1</v>
      </c>
      <c r="T276" s="51" t="n">
        <v>5</v>
      </c>
      <c r="U276" s="51" t="n">
        <v>120</v>
      </c>
      <c r="V276" s="51" t="n">
        <v>4.27624165592756</v>
      </c>
      <c r="W276" s="51" t="n">
        <v>1100</v>
      </c>
      <c r="X276" s="51" t="n">
        <v>0.406</v>
      </c>
    </row>
    <row r="277">
      <c r="A277" s="51" t="inlineStr">
        <is>
          <t>Platanus</t>
        </is>
      </c>
      <c r="B277" s="51" t="n">
        <v>33.79</v>
      </c>
      <c r="C277" s="51" t="n">
        <v>19.91</v>
      </c>
      <c r="D277" s="51" t="n">
        <v>25.89</v>
      </c>
      <c r="E277" s="51" t="n">
        <v>74.09999999999999</v>
      </c>
      <c r="F277" s="51" t="n">
        <v>3.61</v>
      </c>
      <c r="G277" s="51" t="n">
        <v>22.29</v>
      </c>
      <c r="H277" s="51" t="n">
        <v>47.8</v>
      </c>
      <c r="I277" s="51" t="n">
        <v>40.33</v>
      </c>
      <c r="J277" s="51" t="n">
        <v>6.62</v>
      </c>
      <c r="K277" s="51" t="n">
        <v>0</v>
      </c>
      <c r="L277" s="51" t="n">
        <v>5</v>
      </c>
      <c r="M277" s="51" t="n">
        <v>1</v>
      </c>
      <c r="N277" s="51" t="n">
        <v>1</v>
      </c>
      <c r="O277" s="51" t="n">
        <v>4</v>
      </c>
      <c r="P277" s="51" t="n">
        <v>60</v>
      </c>
      <c r="Q277" s="51" t="n">
        <v>1</v>
      </c>
      <c r="R277" s="51" t="n">
        <v>550</v>
      </c>
      <c r="S277" s="51" t="n">
        <v>1</v>
      </c>
      <c r="T277" s="51" t="n">
        <v>5</v>
      </c>
      <c r="U277" s="51" t="n">
        <v>120</v>
      </c>
      <c r="V277" s="51" t="n">
        <v>10</v>
      </c>
      <c r="W277" s="51" t="n">
        <v>700</v>
      </c>
      <c r="X277" s="51" t="n">
        <v>0.47</v>
      </c>
    </row>
    <row r="278">
      <c r="A278" s="51" t="inlineStr">
        <is>
          <t>Platanus</t>
        </is>
      </c>
      <c r="B278" s="51" t="n">
        <v>33.79</v>
      </c>
      <c r="C278" s="51" t="n">
        <v>19.91</v>
      </c>
      <c r="D278" s="51" t="n">
        <v>25.89</v>
      </c>
      <c r="E278" s="51" t="n">
        <v>74.09999999999999</v>
      </c>
      <c r="F278" s="51" t="n">
        <v>3.61</v>
      </c>
      <c r="G278" s="51" t="n">
        <v>22.29</v>
      </c>
      <c r="H278" s="51" t="n">
        <v>47.8</v>
      </c>
      <c r="I278" s="51" t="n">
        <v>40.33</v>
      </c>
      <c r="J278" s="51" t="n">
        <v>6.62</v>
      </c>
      <c r="K278" s="51" t="n">
        <v>4</v>
      </c>
      <c r="L278" s="51" t="n">
        <v>5</v>
      </c>
      <c r="M278" s="51" t="n">
        <v>1</v>
      </c>
      <c r="N278" s="51" t="n">
        <v>1</v>
      </c>
      <c r="O278" s="51" t="n">
        <v>4</v>
      </c>
      <c r="P278" s="51" t="n">
        <v>60</v>
      </c>
      <c r="Q278" s="51" t="n">
        <v>1</v>
      </c>
      <c r="R278" s="51" t="n">
        <v>550</v>
      </c>
      <c r="S278" s="51" t="n">
        <v>1</v>
      </c>
      <c r="T278" s="51" t="n">
        <v>5</v>
      </c>
      <c r="U278" s="51" t="n">
        <v>120</v>
      </c>
      <c r="V278" s="51" t="n">
        <v>10</v>
      </c>
      <c r="W278" s="51" t="n">
        <v>700</v>
      </c>
      <c r="X278" s="51" t="n">
        <v>0.37</v>
      </c>
    </row>
    <row r="279">
      <c r="A279" s="51" t="inlineStr">
        <is>
          <t>Platanus bark</t>
        </is>
      </c>
      <c r="B279" s="51" t="n">
        <v>33.79</v>
      </c>
      <c r="C279" s="51" t="n">
        <v>19.91</v>
      </c>
      <c r="D279" s="51" t="n">
        <v>25.89</v>
      </c>
      <c r="E279" s="51" t="n">
        <v>74.09999999999999</v>
      </c>
      <c r="F279" s="51" t="n">
        <v>3.61</v>
      </c>
      <c r="G279" s="51" t="n">
        <v>22.29</v>
      </c>
      <c r="H279" s="51" t="n">
        <v>47.8</v>
      </c>
      <c r="I279" s="51" t="n">
        <v>40.33</v>
      </c>
      <c r="J279" s="51" t="n">
        <v>6.62</v>
      </c>
      <c r="K279" s="51" t="n">
        <v>6</v>
      </c>
      <c r="L279" s="51" t="n">
        <v>5</v>
      </c>
      <c r="M279" s="51" t="n">
        <v>0</v>
      </c>
      <c r="N279" s="51" t="n">
        <v>1</v>
      </c>
      <c r="O279" s="51" t="n">
        <v>5</v>
      </c>
      <c r="P279" s="51" t="n">
        <v>81.15290299833519</v>
      </c>
      <c r="Q279" s="51" t="n">
        <v>4.56072835003923</v>
      </c>
      <c r="R279" s="51" t="n">
        <v>700</v>
      </c>
      <c r="S279" s="51" t="n">
        <v>0</v>
      </c>
      <c r="T279" s="51" t="n">
        <v>5</v>
      </c>
      <c r="U279" s="51" t="n">
        <v>0</v>
      </c>
      <c r="V279" s="51" t="n">
        <v>0</v>
      </c>
      <c r="W279" s="51" t="n">
        <v>0</v>
      </c>
      <c r="X279" s="51" t="n">
        <v>0.47</v>
      </c>
    </row>
    <row r="280">
      <c r="A280" s="51" t="inlineStr">
        <is>
          <t>Potato peel</t>
        </is>
      </c>
      <c r="B280" s="51" t="n">
        <v>55.25</v>
      </c>
      <c r="C280" s="51" t="n">
        <v>11.71</v>
      </c>
      <c r="D280" s="51" t="n">
        <v>14.24</v>
      </c>
      <c r="E280" s="51" t="n">
        <v>66.54000000000001</v>
      </c>
      <c r="F280" s="51" t="n">
        <v>8.6</v>
      </c>
      <c r="G280" s="51" t="n">
        <v>16.55</v>
      </c>
      <c r="H280" s="51" t="n">
        <v>43.85</v>
      </c>
      <c r="I280" s="51" t="n">
        <v>46.83</v>
      </c>
      <c r="J280" s="51" t="n">
        <v>5.8</v>
      </c>
      <c r="K280" s="51" t="n">
        <v>4</v>
      </c>
      <c r="L280" s="51" t="n">
        <v>5</v>
      </c>
      <c r="M280" s="51" t="n">
        <v>0</v>
      </c>
      <c r="N280" s="51" t="n">
        <v>1</v>
      </c>
      <c r="O280" s="51" t="n">
        <v>4</v>
      </c>
      <c r="P280" s="51" t="n">
        <v>60</v>
      </c>
      <c r="Q280" s="51" t="n">
        <v>5</v>
      </c>
      <c r="R280" s="51" t="n">
        <v>1300</v>
      </c>
      <c r="S280" s="51" t="n">
        <v>0</v>
      </c>
      <c r="T280" s="51" t="n">
        <v>5</v>
      </c>
      <c r="U280" s="51" t="n">
        <v>0</v>
      </c>
      <c r="V280" s="51" t="n">
        <v>0</v>
      </c>
      <c r="W280" s="51" t="n">
        <v>0</v>
      </c>
      <c r="X280" s="51" t="n">
        <v>0.333333333333333</v>
      </c>
    </row>
    <row r="281">
      <c r="A281" s="51" t="inlineStr">
        <is>
          <t>Potato peel</t>
        </is>
      </c>
      <c r="B281" s="51" t="n">
        <v>55.25</v>
      </c>
      <c r="C281" s="51" t="n">
        <v>11.71</v>
      </c>
      <c r="D281" s="51" t="n">
        <v>14.24</v>
      </c>
      <c r="E281" s="51" t="n">
        <v>66.54000000000001</v>
      </c>
      <c r="F281" s="51" t="n">
        <v>8.6</v>
      </c>
      <c r="G281" s="51" t="n">
        <v>16.55</v>
      </c>
      <c r="H281" s="51" t="n">
        <v>43.85</v>
      </c>
      <c r="I281" s="51" t="n">
        <v>46.83</v>
      </c>
      <c r="J281" s="51" t="n">
        <v>5.8</v>
      </c>
      <c r="K281" s="51" t="n">
        <v>1</v>
      </c>
      <c r="L281" s="51" t="n">
        <v>5</v>
      </c>
      <c r="M281" s="51" t="n">
        <v>0</v>
      </c>
      <c r="N281" s="51" t="n">
        <v>1</v>
      </c>
      <c r="O281" s="51" t="n">
        <v>4</v>
      </c>
      <c r="P281" s="51" t="n">
        <v>60</v>
      </c>
      <c r="Q281" s="51" t="n">
        <v>5</v>
      </c>
      <c r="R281" s="51" t="n">
        <v>1300</v>
      </c>
      <c r="S281" s="51" t="n">
        <v>0</v>
      </c>
      <c r="T281" s="51" t="n">
        <v>5</v>
      </c>
      <c r="U281" s="51" t="n">
        <v>0</v>
      </c>
      <c r="V281" s="51" t="n">
        <v>0</v>
      </c>
      <c r="W281" s="51" t="n">
        <v>0</v>
      </c>
      <c r="X281" s="51" t="n">
        <v>0.5</v>
      </c>
    </row>
    <row r="282">
      <c r="A282" s="51" t="inlineStr">
        <is>
          <t>Rambutan peel</t>
        </is>
      </c>
      <c r="B282" s="51" t="n">
        <v>24.28</v>
      </c>
      <c r="C282" s="51" t="n">
        <v>11.62</v>
      </c>
      <c r="D282" s="51" t="n">
        <v>35.34</v>
      </c>
      <c r="E282" s="51" t="n">
        <v>86.65195631383919</v>
      </c>
      <c r="F282" s="51" t="n">
        <v>2.83612932177522</v>
      </c>
      <c r="G282" s="51" t="n">
        <v>9.65628404749407</v>
      </c>
      <c r="H282" s="51" t="n">
        <v>46.8442033481472</v>
      </c>
      <c r="I282" s="51" t="n">
        <v>42.0073524936207</v>
      </c>
      <c r="J282" s="51" t="n">
        <v>6.21904169592821</v>
      </c>
      <c r="K282" s="51" t="n">
        <v>6</v>
      </c>
      <c r="L282" s="51" t="n">
        <v>6</v>
      </c>
      <c r="M282" s="51" t="n">
        <v>1</v>
      </c>
      <c r="N282" s="51" t="n">
        <v>0</v>
      </c>
      <c r="O282" s="51" t="n">
        <v>1</v>
      </c>
      <c r="P282" s="51" t="n">
        <v>800</v>
      </c>
      <c r="Q282" s="51" t="n">
        <v>4.97156191767415</v>
      </c>
      <c r="R282" s="51" t="n">
        <v>200</v>
      </c>
      <c r="S282" s="51" t="n">
        <v>1</v>
      </c>
      <c r="T282" s="51" t="n">
        <v>5</v>
      </c>
      <c r="U282" s="51" t="n">
        <v>120</v>
      </c>
      <c r="V282" s="51" t="n">
        <v>5</v>
      </c>
      <c r="W282" s="51" t="n">
        <v>1000</v>
      </c>
      <c r="X282" s="51" t="n">
        <v>0.92</v>
      </c>
    </row>
    <row r="283">
      <c r="A283" s="51" t="inlineStr">
        <is>
          <t>Rambutan peel</t>
        </is>
      </c>
      <c r="B283" s="51" t="n">
        <v>24.28</v>
      </c>
      <c r="C283" s="51" t="n">
        <v>11.62</v>
      </c>
      <c r="D283" s="51" t="n">
        <v>35.34</v>
      </c>
      <c r="E283" s="51" t="n">
        <v>86.65195631383919</v>
      </c>
      <c r="F283" s="51" t="n">
        <v>2.83612932177522</v>
      </c>
      <c r="G283" s="51" t="n">
        <v>9.65628404749407</v>
      </c>
      <c r="H283" s="51" t="n">
        <v>46.8442033481472</v>
      </c>
      <c r="I283" s="51" t="n">
        <v>42.0073524936207</v>
      </c>
      <c r="J283" s="51" t="n">
        <v>6.21904169592821</v>
      </c>
      <c r="K283" s="51" t="n">
        <v>6</v>
      </c>
      <c r="L283" s="51" t="n">
        <v>6</v>
      </c>
      <c r="M283" s="51" t="n">
        <v>1</v>
      </c>
      <c r="N283" s="51" t="n">
        <v>0</v>
      </c>
      <c r="O283" s="51" t="n">
        <v>1</v>
      </c>
      <c r="P283" s="51" t="n">
        <v>1000</v>
      </c>
      <c r="Q283" s="51" t="n">
        <v>4.96565733587222</v>
      </c>
      <c r="R283" s="51" t="n">
        <v>200</v>
      </c>
      <c r="S283" s="51" t="n">
        <v>1</v>
      </c>
      <c r="T283" s="51" t="n">
        <v>5</v>
      </c>
      <c r="U283" s="51" t="n">
        <v>120</v>
      </c>
      <c r="V283" s="51" t="n">
        <v>5</v>
      </c>
      <c r="W283" s="51" t="n">
        <v>1000</v>
      </c>
      <c r="X283" s="51" t="n">
        <v>0.85</v>
      </c>
    </row>
    <row r="284">
      <c r="A284" s="51" t="inlineStr">
        <is>
          <t>Rambutan peel</t>
        </is>
      </c>
      <c r="B284" s="51" t="n">
        <v>24.28</v>
      </c>
      <c r="C284" s="51" t="n">
        <v>11.62</v>
      </c>
      <c r="D284" s="51" t="n">
        <v>35.34</v>
      </c>
      <c r="E284" s="51" t="n">
        <v>86.65195631383919</v>
      </c>
      <c r="F284" s="51" t="n">
        <v>2.83612932177522</v>
      </c>
      <c r="G284" s="51" t="n">
        <v>9.65628404749407</v>
      </c>
      <c r="H284" s="51" t="n">
        <v>46.8442033481472</v>
      </c>
      <c r="I284" s="51" t="n">
        <v>42.0073524936207</v>
      </c>
      <c r="J284" s="51" t="n">
        <v>6.21904169592821</v>
      </c>
      <c r="K284" s="51" t="n">
        <v>6</v>
      </c>
      <c r="L284" s="51" t="n">
        <v>6</v>
      </c>
      <c r="M284" s="51" t="n">
        <v>1</v>
      </c>
      <c r="N284" s="51" t="n">
        <v>0</v>
      </c>
      <c r="O284" s="51" t="n">
        <v>1</v>
      </c>
      <c r="P284" s="51" t="n">
        <v>1200</v>
      </c>
      <c r="Q284" s="51" t="n">
        <v>4.96542693031295</v>
      </c>
      <c r="R284" s="51" t="n">
        <v>200</v>
      </c>
      <c r="S284" s="51" t="n">
        <v>1</v>
      </c>
      <c r="T284" s="51" t="n">
        <v>5</v>
      </c>
      <c r="U284" s="51" t="n">
        <v>120</v>
      </c>
      <c r="V284" s="51" t="n">
        <v>5</v>
      </c>
      <c r="W284" s="51" t="n">
        <v>1000</v>
      </c>
      <c r="X284" s="51" t="n">
        <v>0.8100000000000001</v>
      </c>
    </row>
    <row r="285">
      <c r="A285" s="51" t="inlineStr">
        <is>
          <t>Reed straw</t>
        </is>
      </c>
      <c r="B285" s="51" t="n">
        <v>56</v>
      </c>
      <c r="C285" s="51" t="n">
        <v>14.5</v>
      </c>
      <c r="D285" s="51" t="n">
        <v>20.5</v>
      </c>
      <c r="E285" s="51" t="n">
        <v>79.73</v>
      </c>
      <c r="F285" s="51" t="n">
        <v>2</v>
      </c>
      <c r="G285" s="51" t="n">
        <v>14.47</v>
      </c>
      <c r="H285" s="51" t="n">
        <v>45.16</v>
      </c>
      <c r="I285" s="51" t="n">
        <v>48.78</v>
      </c>
      <c r="J285" s="51" t="n">
        <v>5.58</v>
      </c>
      <c r="K285" s="51" t="n">
        <v>6</v>
      </c>
      <c r="L285" s="51" t="n">
        <v>5</v>
      </c>
      <c r="M285" s="51" t="n">
        <v>1</v>
      </c>
      <c r="N285" s="51" t="n">
        <v>0</v>
      </c>
      <c r="O285" s="51" t="n">
        <v>4</v>
      </c>
      <c r="P285" s="51" t="n">
        <v>24</v>
      </c>
      <c r="Q285" s="51" t="n">
        <v>10</v>
      </c>
      <c r="R285" s="51" t="n">
        <v>200</v>
      </c>
      <c r="S285" s="51" t="n">
        <v>1</v>
      </c>
      <c r="T285" s="51" t="n">
        <v>5</v>
      </c>
      <c r="U285" s="51" t="n">
        <v>120</v>
      </c>
      <c r="V285" s="51" t="n">
        <v>5</v>
      </c>
      <c r="W285" s="51" t="n">
        <v>900</v>
      </c>
      <c r="X285" s="51" t="n">
        <v>0.54</v>
      </c>
    </row>
    <row r="286">
      <c r="A286" s="51" t="inlineStr">
        <is>
          <t>Reed straw</t>
        </is>
      </c>
      <c r="B286" s="51" t="n">
        <v>56</v>
      </c>
      <c r="C286" s="51" t="n">
        <v>14.5</v>
      </c>
      <c r="D286" s="51" t="n">
        <v>20.5</v>
      </c>
      <c r="E286" s="51" t="n">
        <v>79.73</v>
      </c>
      <c r="F286" s="51" t="n">
        <v>2</v>
      </c>
      <c r="G286" s="51" t="n">
        <v>14.47</v>
      </c>
      <c r="H286" s="51" t="n">
        <v>45.16</v>
      </c>
      <c r="I286" s="51" t="n">
        <v>48.78</v>
      </c>
      <c r="J286" s="51" t="n">
        <v>5.58</v>
      </c>
      <c r="K286" s="51" t="n">
        <v>6</v>
      </c>
      <c r="L286" s="51" t="n">
        <v>5</v>
      </c>
      <c r="M286" s="51" t="n">
        <v>1</v>
      </c>
      <c r="N286" s="51" t="n">
        <v>0</v>
      </c>
      <c r="O286" s="51" t="n">
        <v>4</v>
      </c>
      <c r="P286" s="51" t="n">
        <v>24</v>
      </c>
      <c r="Q286" s="51" t="n">
        <v>10</v>
      </c>
      <c r="R286" s="51" t="n">
        <v>200</v>
      </c>
      <c r="S286" s="51" t="n">
        <v>1</v>
      </c>
      <c r="T286" s="51" t="n">
        <v>5</v>
      </c>
      <c r="U286" s="51" t="n">
        <v>120</v>
      </c>
      <c r="V286" s="51" t="n">
        <v>5</v>
      </c>
      <c r="W286" s="51" t="n">
        <v>1100</v>
      </c>
      <c r="X286" s="51" t="n">
        <v>0.61</v>
      </c>
    </row>
    <row r="287">
      <c r="A287" s="51" t="inlineStr">
        <is>
          <t>Reed straw</t>
        </is>
      </c>
      <c r="B287" s="51" t="n">
        <v>56</v>
      </c>
      <c r="C287" s="51" t="n">
        <v>14.5</v>
      </c>
      <c r="D287" s="51" t="n">
        <v>20.5</v>
      </c>
      <c r="E287" s="51" t="n">
        <v>79.73</v>
      </c>
      <c r="F287" s="51" t="n">
        <v>2</v>
      </c>
      <c r="G287" s="51" t="n">
        <v>14.47</v>
      </c>
      <c r="H287" s="51" t="n">
        <v>45.16</v>
      </c>
      <c r="I287" s="51" t="n">
        <v>48.78</v>
      </c>
      <c r="J287" s="51" t="n">
        <v>5.58</v>
      </c>
      <c r="K287" s="51" t="n">
        <v>6</v>
      </c>
      <c r="L287" s="51" t="n">
        <v>5</v>
      </c>
      <c r="M287" s="51" t="n">
        <v>1</v>
      </c>
      <c r="N287" s="51" t="n">
        <v>0</v>
      </c>
      <c r="O287" s="51" t="n">
        <v>4</v>
      </c>
      <c r="P287" s="51" t="n">
        <v>24</v>
      </c>
      <c r="Q287" s="51" t="n">
        <v>10</v>
      </c>
      <c r="R287" s="51" t="n">
        <v>200</v>
      </c>
      <c r="S287" s="51" t="n">
        <v>1</v>
      </c>
      <c r="T287" s="51" t="n">
        <v>5</v>
      </c>
      <c r="U287" s="51" t="n">
        <v>120</v>
      </c>
      <c r="V287" s="51" t="n">
        <v>5</v>
      </c>
      <c r="W287" s="51" t="n">
        <v>1300</v>
      </c>
      <c r="X287" s="51" t="n">
        <v>0.66</v>
      </c>
    </row>
    <row r="288">
      <c r="A288" s="51" t="inlineStr">
        <is>
          <t>Reed straw</t>
        </is>
      </c>
      <c r="B288" s="51" t="n">
        <v>56</v>
      </c>
      <c r="C288" s="51" t="n">
        <v>14.5</v>
      </c>
      <c r="D288" s="51" t="n">
        <v>20.5</v>
      </c>
      <c r="E288" s="51" t="n">
        <v>79.73</v>
      </c>
      <c r="F288" s="51" t="n">
        <v>2</v>
      </c>
      <c r="G288" s="51" t="n">
        <v>14.47</v>
      </c>
      <c r="H288" s="51" t="n">
        <v>45.16</v>
      </c>
      <c r="I288" s="51" t="n">
        <v>48.78</v>
      </c>
      <c r="J288" s="51" t="n">
        <v>5.58</v>
      </c>
      <c r="K288" s="51" t="n">
        <v>6</v>
      </c>
      <c r="L288" s="51" t="n">
        <v>5</v>
      </c>
      <c r="M288" s="51" t="n">
        <v>1</v>
      </c>
      <c r="N288" s="51" t="n">
        <v>0</v>
      </c>
      <c r="O288" s="51" t="n">
        <v>4</v>
      </c>
      <c r="P288" s="51" t="n">
        <v>24</v>
      </c>
      <c r="Q288" s="51" t="n">
        <v>10</v>
      </c>
      <c r="R288" s="51" t="n">
        <v>200</v>
      </c>
      <c r="S288" s="51" t="n">
        <v>1</v>
      </c>
      <c r="T288" s="51" t="n">
        <v>5</v>
      </c>
      <c r="U288" s="51" t="n">
        <v>120</v>
      </c>
      <c r="V288" s="51" t="n">
        <v>5</v>
      </c>
      <c r="W288" s="51" t="n">
        <v>1500</v>
      </c>
      <c r="X288" s="51" t="n">
        <v>0.72</v>
      </c>
    </row>
    <row r="289">
      <c r="A289" s="51" t="inlineStr">
        <is>
          <t>Reed straw</t>
        </is>
      </c>
      <c r="B289" s="51" t="n">
        <v>56</v>
      </c>
      <c r="C289" s="51" t="n">
        <v>14.5</v>
      </c>
      <c r="D289" s="51" t="n">
        <v>20.5</v>
      </c>
      <c r="E289" s="51" t="n">
        <v>79.73</v>
      </c>
      <c r="F289" s="51" t="n">
        <v>2</v>
      </c>
      <c r="G289" s="51" t="n">
        <v>14.47</v>
      </c>
      <c r="H289" s="51" t="n">
        <v>45.16</v>
      </c>
      <c r="I289" s="51" t="n">
        <v>48.78</v>
      </c>
      <c r="J289" s="51" t="n">
        <v>5.58</v>
      </c>
      <c r="K289" s="51" t="n">
        <v>2</v>
      </c>
      <c r="L289" s="51" t="n">
        <v>5</v>
      </c>
      <c r="M289" s="51" t="n">
        <v>1</v>
      </c>
      <c r="N289" s="51" t="n">
        <v>1</v>
      </c>
      <c r="O289" s="51" t="n">
        <v>4</v>
      </c>
      <c r="P289" s="51" t="n">
        <v>180</v>
      </c>
      <c r="Q289" s="51" t="n">
        <v>10</v>
      </c>
      <c r="R289" s="51" t="n">
        <v>400</v>
      </c>
      <c r="S289" s="51" t="n">
        <v>1</v>
      </c>
      <c r="T289" s="51" t="n">
        <v>5</v>
      </c>
      <c r="U289" s="51" t="n">
        <v>120</v>
      </c>
      <c r="V289" s="51" t="n">
        <v>5</v>
      </c>
      <c r="W289" s="51" t="n">
        <v>1400</v>
      </c>
      <c r="X289" s="51" t="n">
        <v>0.389105058365759</v>
      </c>
    </row>
    <row r="290">
      <c r="A290" s="51" t="inlineStr">
        <is>
          <t>Reed straw</t>
        </is>
      </c>
      <c r="B290" s="51" t="n">
        <v>56</v>
      </c>
      <c r="C290" s="51" t="n">
        <v>14.5</v>
      </c>
      <c r="D290" s="51" t="n">
        <v>20.5</v>
      </c>
      <c r="E290" s="51" t="n">
        <v>79.73</v>
      </c>
      <c r="F290" s="51" t="n">
        <v>2</v>
      </c>
      <c r="G290" s="51" t="n">
        <v>14.47</v>
      </c>
      <c r="H290" s="51" t="n">
        <v>45.16</v>
      </c>
      <c r="I290" s="51" t="n">
        <v>48.78</v>
      </c>
      <c r="J290" s="51" t="n">
        <v>5.58</v>
      </c>
      <c r="K290" s="51" t="n">
        <v>2</v>
      </c>
      <c r="L290" s="51" t="n">
        <v>5</v>
      </c>
      <c r="M290" s="51" t="n">
        <v>1</v>
      </c>
      <c r="N290" s="51" t="n">
        <v>1</v>
      </c>
      <c r="O290" s="51" t="n">
        <v>4</v>
      </c>
      <c r="P290" s="51" t="n">
        <v>180</v>
      </c>
      <c r="Q290" s="51" t="n">
        <v>10</v>
      </c>
      <c r="R290" s="51" t="n">
        <v>400</v>
      </c>
      <c r="S290" s="51" t="n">
        <v>1</v>
      </c>
      <c r="T290" s="51" t="n">
        <v>5</v>
      </c>
      <c r="U290" s="51" t="n">
        <v>120</v>
      </c>
      <c r="V290" s="51" t="n">
        <v>5</v>
      </c>
      <c r="W290" s="51" t="n">
        <v>1400</v>
      </c>
      <c r="X290" s="51" t="n">
        <v>0.3584229390681</v>
      </c>
    </row>
    <row r="291">
      <c r="A291" s="51" t="inlineStr">
        <is>
          <t>Reed straw</t>
        </is>
      </c>
      <c r="B291" s="51" t="n">
        <v>56</v>
      </c>
      <c r="C291" s="51" t="n">
        <v>14.5</v>
      </c>
      <c r="D291" s="51" t="n">
        <v>20.5</v>
      </c>
      <c r="E291" s="51" t="n">
        <v>79.73</v>
      </c>
      <c r="F291" s="51" t="n">
        <v>2</v>
      </c>
      <c r="G291" s="51" t="n">
        <v>14.47</v>
      </c>
      <c r="H291" s="51" t="n">
        <v>45.16</v>
      </c>
      <c r="I291" s="51" t="n">
        <v>48.78</v>
      </c>
      <c r="J291" s="51" t="n">
        <v>5.58</v>
      </c>
      <c r="K291" s="51" t="n">
        <v>2</v>
      </c>
      <c r="L291" s="51" t="n">
        <v>5</v>
      </c>
      <c r="M291" s="51" t="n">
        <v>1</v>
      </c>
      <c r="N291" s="51" t="n">
        <v>1</v>
      </c>
      <c r="O291" s="51" t="n">
        <v>4</v>
      </c>
      <c r="P291" s="51" t="n">
        <v>180</v>
      </c>
      <c r="Q291" s="51" t="n">
        <v>10</v>
      </c>
      <c r="R291" s="51" t="n">
        <v>400</v>
      </c>
      <c r="S291" s="51" t="n">
        <v>1</v>
      </c>
      <c r="T291" s="51" t="n">
        <v>5</v>
      </c>
      <c r="U291" s="51" t="n">
        <v>120</v>
      </c>
      <c r="V291" s="51" t="n">
        <v>5</v>
      </c>
      <c r="W291" s="51" t="n">
        <v>1400</v>
      </c>
      <c r="X291" s="51" t="n">
        <v>0.367647058823529</v>
      </c>
    </row>
    <row r="292">
      <c r="A292" s="51" t="inlineStr">
        <is>
          <t>Reed straw</t>
        </is>
      </c>
      <c r="B292" s="51" t="n">
        <v>56</v>
      </c>
      <c r="C292" s="51" t="n">
        <v>14.5</v>
      </c>
      <c r="D292" s="51" t="n">
        <v>20.5</v>
      </c>
      <c r="E292" s="51" t="n">
        <v>79.73</v>
      </c>
      <c r="F292" s="51" t="n">
        <v>2</v>
      </c>
      <c r="G292" s="51" t="n">
        <v>14.47</v>
      </c>
      <c r="H292" s="51" t="n">
        <v>45.16</v>
      </c>
      <c r="I292" s="51" t="n">
        <v>48.78</v>
      </c>
      <c r="J292" s="51" t="n">
        <v>5.58</v>
      </c>
      <c r="K292" s="51" t="n">
        <v>2</v>
      </c>
      <c r="L292" s="51" t="n">
        <v>5</v>
      </c>
      <c r="M292" s="51" t="n">
        <v>1</v>
      </c>
      <c r="N292" s="51" t="n">
        <v>1</v>
      </c>
      <c r="O292" s="51" t="n">
        <v>4</v>
      </c>
      <c r="P292" s="51" t="n">
        <v>180</v>
      </c>
      <c r="Q292" s="51" t="n">
        <v>10</v>
      </c>
      <c r="R292" s="51" t="n">
        <v>400</v>
      </c>
      <c r="S292" s="51" t="n">
        <v>1</v>
      </c>
      <c r="T292" s="51" t="n">
        <v>5</v>
      </c>
      <c r="U292" s="51" t="n">
        <v>120</v>
      </c>
      <c r="V292" s="51" t="n">
        <v>5</v>
      </c>
      <c r="W292" s="51" t="n">
        <v>1400</v>
      </c>
      <c r="X292" s="51" t="n">
        <v>0.381679389312977</v>
      </c>
    </row>
    <row r="293">
      <c r="A293" s="51" t="inlineStr">
        <is>
          <t>Reed straw</t>
        </is>
      </c>
      <c r="B293" s="51" t="n">
        <v>56</v>
      </c>
      <c r="C293" s="51" t="n">
        <v>14.5</v>
      </c>
      <c r="D293" s="51" t="n">
        <v>20.5</v>
      </c>
      <c r="E293" s="51" t="n">
        <v>79.73</v>
      </c>
      <c r="F293" s="51" t="n">
        <v>2</v>
      </c>
      <c r="G293" s="51" t="n">
        <v>14.47</v>
      </c>
      <c r="H293" s="51" t="n">
        <v>45.16</v>
      </c>
      <c r="I293" s="51" t="n">
        <v>48.78</v>
      </c>
      <c r="J293" s="51" t="n">
        <v>5.58</v>
      </c>
      <c r="K293" s="51" t="n">
        <v>2</v>
      </c>
      <c r="L293" s="51" t="n">
        <v>5</v>
      </c>
      <c r="M293" s="51" t="n">
        <v>1</v>
      </c>
      <c r="N293" s="51" t="n">
        <v>1</v>
      </c>
      <c r="O293" s="51" t="n">
        <v>4</v>
      </c>
      <c r="P293" s="51" t="n">
        <v>180</v>
      </c>
      <c r="Q293" s="51" t="n">
        <v>10</v>
      </c>
      <c r="R293" s="51" t="n">
        <v>400</v>
      </c>
      <c r="S293" s="51" t="n">
        <v>1</v>
      </c>
      <c r="T293" s="51" t="n">
        <v>5</v>
      </c>
      <c r="U293" s="51" t="n">
        <v>120</v>
      </c>
      <c r="V293" s="51" t="n">
        <v>5</v>
      </c>
      <c r="W293" s="51" t="n">
        <v>1400</v>
      </c>
      <c r="X293" s="51" t="n">
        <v>0.389105058365759</v>
      </c>
    </row>
    <row r="294">
      <c r="A294" s="51" t="inlineStr">
        <is>
          <t>Rice husk</t>
        </is>
      </c>
      <c r="B294" s="51" t="n">
        <v>38.3</v>
      </c>
      <c r="C294" s="51" t="n">
        <v>31.6</v>
      </c>
      <c r="D294" s="51" t="n">
        <v>11.8</v>
      </c>
      <c r="E294" s="51" t="n">
        <v>68.2</v>
      </c>
      <c r="F294" s="51" t="n">
        <v>16.1</v>
      </c>
      <c r="G294" s="51" t="n">
        <v>15.7</v>
      </c>
      <c r="H294" s="51" t="n">
        <v>45.2</v>
      </c>
      <c r="I294" s="51" t="n">
        <v>47.6</v>
      </c>
      <c r="J294" s="51" t="n">
        <v>5.8</v>
      </c>
      <c r="K294" s="51" t="n">
        <v>4</v>
      </c>
      <c r="L294" s="51" t="n">
        <v>1</v>
      </c>
      <c r="M294" s="51" t="n">
        <v>0</v>
      </c>
      <c r="N294" s="51" t="n">
        <v>1</v>
      </c>
      <c r="O294" s="51" t="n">
        <v>4</v>
      </c>
      <c r="P294" s="51" t="n">
        <v>150</v>
      </c>
      <c r="Q294" s="51" t="n">
        <v>3</v>
      </c>
      <c r="R294" s="51" t="n">
        <v>900</v>
      </c>
      <c r="S294" s="51" t="n">
        <v>0</v>
      </c>
      <c r="T294" s="51" t="n">
        <v>5</v>
      </c>
      <c r="U294" s="51" t="n">
        <v>0</v>
      </c>
      <c r="V294" s="51" t="n">
        <v>0</v>
      </c>
      <c r="W294" s="51" t="n">
        <v>0</v>
      </c>
      <c r="X294" s="51" t="n">
        <v>0.98</v>
      </c>
    </row>
    <row r="295">
      <c r="A295" s="51" t="inlineStr">
        <is>
          <t>Rice husk</t>
        </is>
      </c>
      <c r="B295" s="51" t="n">
        <v>38.3</v>
      </c>
      <c r="C295" s="51" t="n">
        <v>31.6</v>
      </c>
      <c r="D295" s="51" t="n">
        <v>11.8</v>
      </c>
      <c r="E295" s="51" t="n">
        <v>68.2</v>
      </c>
      <c r="F295" s="51" t="n">
        <v>16.1</v>
      </c>
      <c r="G295" s="51" t="n">
        <v>15.7</v>
      </c>
      <c r="H295" s="51" t="n">
        <v>45.2</v>
      </c>
      <c r="I295" s="51" t="n">
        <v>47.6</v>
      </c>
      <c r="J295" s="51" t="n">
        <v>5.8</v>
      </c>
      <c r="K295" s="51" t="n">
        <v>4</v>
      </c>
      <c r="L295" s="51" t="n">
        <v>1</v>
      </c>
      <c r="M295" s="51" t="n">
        <v>0</v>
      </c>
      <c r="N295" s="51" t="n">
        <v>1</v>
      </c>
      <c r="O295" s="51" t="n">
        <v>4</v>
      </c>
      <c r="P295" s="51" t="n">
        <v>150</v>
      </c>
      <c r="Q295" s="51" t="n">
        <v>3</v>
      </c>
      <c r="R295" s="51" t="n">
        <v>1300</v>
      </c>
      <c r="S295" s="51" t="n">
        <v>0</v>
      </c>
      <c r="T295" s="51" t="n">
        <v>5</v>
      </c>
      <c r="U295" s="51" t="n">
        <v>0</v>
      </c>
      <c r="V295" s="51" t="n">
        <v>0</v>
      </c>
      <c r="W295" s="51" t="n">
        <v>0</v>
      </c>
      <c r="X295" s="51" t="n">
        <v>1.02</v>
      </c>
    </row>
    <row r="296">
      <c r="A296" s="51" t="inlineStr">
        <is>
          <t>Rice husk</t>
        </is>
      </c>
      <c r="B296" s="51" t="n">
        <v>38.3</v>
      </c>
      <c r="C296" s="51" t="n">
        <v>31.6</v>
      </c>
      <c r="D296" s="51" t="n">
        <v>11.8</v>
      </c>
      <c r="E296" s="51" t="n">
        <v>68.2</v>
      </c>
      <c r="F296" s="51" t="n">
        <v>16.1</v>
      </c>
      <c r="G296" s="51" t="n">
        <v>15.7</v>
      </c>
      <c r="H296" s="51" t="n">
        <v>45.2</v>
      </c>
      <c r="I296" s="51" t="n">
        <v>47.6</v>
      </c>
      <c r="J296" s="51" t="n">
        <v>5.8</v>
      </c>
      <c r="K296" s="51" t="n">
        <v>4</v>
      </c>
      <c r="L296" s="51" t="n">
        <v>1</v>
      </c>
      <c r="M296" s="51" t="n">
        <v>0</v>
      </c>
      <c r="N296" s="51" t="n">
        <v>1</v>
      </c>
      <c r="O296" s="51" t="n">
        <v>4</v>
      </c>
      <c r="P296" s="51" t="n">
        <v>150</v>
      </c>
      <c r="Q296" s="51" t="n">
        <v>3</v>
      </c>
      <c r="R296" s="51" t="n">
        <v>1600</v>
      </c>
      <c r="S296" s="51" t="n">
        <v>0</v>
      </c>
      <c r="T296" s="51" t="n">
        <v>5</v>
      </c>
      <c r="U296" s="51" t="n">
        <v>0</v>
      </c>
      <c r="V296" s="51" t="n">
        <v>0</v>
      </c>
      <c r="W296" s="51" t="n">
        <v>0</v>
      </c>
      <c r="X296" s="51" t="n">
        <v>1.18</v>
      </c>
    </row>
    <row r="297">
      <c r="A297" s="51" t="inlineStr">
        <is>
          <t>Rice husk</t>
        </is>
      </c>
      <c r="B297" s="51" t="n">
        <v>38.3</v>
      </c>
      <c r="C297" s="51" t="n">
        <v>31.6</v>
      </c>
      <c r="D297" s="51" t="n">
        <v>11.8</v>
      </c>
      <c r="E297" s="51" t="n">
        <v>68.2</v>
      </c>
      <c r="F297" s="51" t="n">
        <v>16.1</v>
      </c>
      <c r="G297" s="51" t="n">
        <v>15.7</v>
      </c>
      <c r="H297" s="51" t="n">
        <v>45.2</v>
      </c>
      <c r="I297" s="51" t="n">
        <v>47.6</v>
      </c>
      <c r="J297" s="51" t="n">
        <v>5.8</v>
      </c>
      <c r="K297" s="51" t="n">
        <v>1</v>
      </c>
      <c r="L297" s="51" t="n">
        <v>5</v>
      </c>
      <c r="M297" s="51" t="n">
        <v>0</v>
      </c>
      <c r="N297" s="51" t="n">
        <v>1</v>
      </c>
      <c r="O297" s="51" t="n">
        <v>4</v>
      </c>
      <c r="P297" s="51" t="n">
        <v>150</v>
      </c>
      <c r="Q297" s="51" t="n">
        <v>3</v>
      </c>
      <c r="R297" s="51" t="n">
        <v>600</v>
      </c>
      <c r="S297" s="51" t="n">
        <v>0</v>
      </c>
      <c r="T297" s="51" t="n">
        <v>5</v>
      </c>
      <c r="U297" s="51" t="n">
        <v>0</v>
      </c>
      <c r="V297" s="51" t="n">
        <v>0</v>
      </c>
      <c r="W297" s="51" t="n">
        <v>0</v>
      </c>
      <c r="X297" s="51" t="n">
        <v>0.9399999999999999</v>
      </c>
    </row>
    <row r="298">
      <c r="A298" s="51" t="inlineStr">
        <is>
          <t>Rice husk</t>
        </is>
      </c>
      <c r="B298" s="51" t="n">
        <v>38.3</v>
      </c>
      <c r="C298" s="51" t="n">
        <v>31.6</v>
      </c>
      <c r="D298" s="51" t="n">
        <v>11.8</v>
      </c>
      <c r="E298" s="51" t="n">
        <v>68.2</v>
      </c>
      <c r="F298" s="51" t="n">
        <v>16.1</v>
      </c>
      <c r="G298" s="51" t="n">
        <v>15.7</v>
      </c>
      <c r="H298" s="51" t="n">
        <v>45.2</v>
      </c>
      <c r="I298" s="51" t="n">
        <v>47.6</v>
      </c>
      <c r="J298" s="51" t="n">
        <v>5.8</v>
      </c>
      <c r="K298" s="51" t="n">
        <v>1</v>
      </c>
      <c r="L298" s="51" t="n">
        <v>5</v>
      </c>
      <c r="M298" s="51" t="n">
        <v>1</v>
      </c>
      <c r="N298" s="51" t="n">
        <v>1</v>
      </c>
      <c r="O298" s="51" t="n">
        <v>4</v>
      </c>
      <c r="P298" s="51" t="n">
        <v>150</v>
      </c>
      <c r="Q298" s="51" t="n">
        <v>3</v>
      </c>
      <c r="R298" s="51" t="n">
        <v>600</v>
      </c>
      <c r="S298" s="51" t="n">
        <v>1</v>
      </c>
      <c r="T298" s="51" t="n">
        <v>1</v>
      </c>
      <c r="U298" s="51" t="n">
        <v>180</v>
      </c>
      <c r="V298" s="51" t="n">
        <v>0</v>
      </c>
      <c r="W298" s="51" t="n">
        <v>800</v>
      </c>
      <c r="X298" s="51" t="n">
        <v>0.73</v>
      </c>
    </row>
    <row r="299">
      <c r="A299" s="51" t="inlineStr">
        <is>
          <t>Rice husk</t>
        </is>
      </c>
      <c r="B299" s="51" t="n">
        <v>38.3</v>
      </c>
      <c r="C299" s="51" t="n">
        <v>31.6</v>
      </c>
      <c r="D299" s="51" t="n">
        <v>11.8</v>
      </c>
      <c r="E299" s="51" t="n">
        <v>68.2</v>
      </c>
      <c r="F299" s="51" t="n">
        <v>16.1</v>
      </c>
      <c r="G299" s="51" t="n">
        <v>15.7</v>
      </c>
      <c r="H299" s="51" t="n">
        <v>45.2</v>
      </c>
      <c r="I299" s="51" t="n">
        <v>47.6</v>
      </c>
      <c r="J299" s="51" t="n">
        <v>5.8</v>
      </c>
      <c r="K299" s="51" t="n">
        <v>1</v>
      </c>
      <c r="L299" s="51" t="n">
        <v>5</v>
      </c>
      <c r="M299" s="51" t="n">
        <v>1</v>
      </c>
      <c r="N299" s="51" t="n">
        <v>1</v>
      </c>
      <c r="O299" s="51" t="n">
        <v>4</v>
      </c>
      <c r="P299" s="51" t="n">
        <v>150</v>
      </c>
      <c r="Q299" s="51" t="n">
        <v>3</v>
      </c>
      <c r="R299" s="51" t="n">
        <v>600</v>
      </c>
      <c r="S299" s="51" t="n">
        <v>1</v>
      </c>
      <c r="T299" s="51" t="n">
        <v>1</v>
      </c>
      <c r="U299" s="51" t="n">
        <v>180</v>
      </c>
      <c r="V299" s="51" t="n">
        <v>0</v>
      </c>
      <c r="W299" s="51" t="n">
        <v>1000</v>
      </c>
      <c r="X299" s="51" t="n">
        <v>0.65</v>
      </c>
    </row>
    <row r="300">
      <c r="A300" s="51" t="inlineStr">
        <is>
          <t>Rice husk</t>
        </is>
      </c>
      <c r="B300" s="51" t="n">
        <v>38.3</v>
      </c>
      <c r="C300" s="51" t="n">
        <v>31.6</v>
      </c>
      <c r="D300" s="51" t="n">
        <v>11.8</v>
      </c>
      <c r="E300" s="51" t="n">
        <v>68.2</v>
      </c>
      <c r="F300" s="51" t="n">
        <v>16.1</v>
      </c>
      <c r="G300" s="51" t="n">
        <v>15.7</v>
      </c>
      <c r="H300" s="51" t="n">
        <v>45.2</v>
      </c>
      <c r="I300" s="51" t="n">
        <v>47.6</v>
      </c>
      <c r="J300" s="51" t="n">
        <v>5.8</v>
      </c>
      <c r="K300" s="51" t="n">
        <v>1</v>
      </c>
      <c r="L300" s="51" t="n">
        <v>5</v>
      </c>
      <c r="M300" s="51" t="n">
        <v>1</v>
      </c>
      <c r="N300" s="51" t="n">
        <v>1</v>
      </c>
      <c r="O300" s="51" t="n">
        <v>4</v>
      </c>
      <c r="P300" s="51" t="n">
        <v>150</v>
      </c>
      <c r="Q300" s="51" t="n">
        <v>3</v>
      </c>
      <c r="R300" s="51" t="n">
        <v>600</v>
      </c>
      <c r="S300" s="51" t="n">
        <v>1</v>
      </c>
      <c r="T300" s="51" t="n">
        <v>1</v>
      </c>
      <c r="U300" s="51" t="n">
        <v>180</v>
      </c>
      <c r="V300" s="51" t="n">
        <v>0</v>
      </c>
      <c r="W300" s="51" t="n">
        <v>1200</v>
      </c>
      <c r="X300" s="51" t="n">
        <v>0.5600000000000001</v>
      </c>
    </row>
    <row r="301">
      <c r="A301" s="51" t="inlineStr">
        <is>
          <t>Rice husk</t>
        </is>
      </c>
      <c r="B301" s="51" t="n">
        <v>38.3</v>
      </c>
      <c r="C301" s="51" t="n">
        <v>31.6</v>
      </c>
      <c r="D301" s="51" t="n">
        <v>11.8</v>
      </c>
      <c r="E301" s="51" t="n">
        <v>68.2</v>
      </c>
      <c r="F301" s="51" t="n">
        <v>16.1</v>
      </c>
      <c r="G301" s="51" t="n">
        <v>15.7</v>
      </c>
      <c r="H301" s="51" t="n">
        <v>45.2</v>
      </c>
      <c r="I301" s="51" t="n">
        <v>47.6</v>
      </c>
      <c r="J301" s="51" t="n">
        <v>5.8</v>
      </c>
      <c r="K301" s="51" t="n">
        <v>1</v>
      </c>
      <c r="L301" s="51" t="n">
        <v>5</v>
      </c>
      <c r="M301" s="51" t="n">
        <v>1</v>
      </c>
      <c r="N301" s="51" t="n">
        <v>1</v>
      </c>
      <c r="O301" s="51" t="n">
        <v>4</v>
      </c>
      <c r="P301" s="51" t="n">
        <v>150</v>
      </c>
      <c r="Q301" s="51" t="n">
        <v>3</v>
      </c>
      <c r="R301" s="51" t="n">
        <v>600</v>
      </c>
      <c r="S301" s="51" t="n">
        <v>1</v>
      </c>
      <c r="T301" s="51" t="n">
        <v>1</v>
      </c>
      <c r="U301" s="51" t="n">
        <v>180</v>
      </c>
      <c r="V301" s="51" t="n">
        <v>0</v>
      </c>
      <c r="W301" s="51" t="n">
        <v>1400</v>
      </c>
      <c r="X301" s="51" t="n">
        <v>0.37</v>
      </c>
    </row>
    <row r="302">
      <c r="A302" s="51" t="inlineStr">
        <is>
          <t>Rice husk</t>
        </is>
      </c>
      <c r="B302" s="51" t="n">
        <v>38.3</v>
      </c>
      <c r="C302" s="51" t="n">
        <v>31.6</v>
      </c>
      <c r="D302" s="51" t="n">
        <v>11.8</v>
      </c>
      <c r="E302" s="51" t="n">
        <v>68.2</v>
      </c>
      <c r="F302" s="51" t="n">
        <v>16.1</v>
      </c>
      <c r="G302" s="51" t="n">
        <v>15.7</v>
      </c>
      <c r="H302" s="51" t="n">
        <v>45.2</v>
      </c>
      <c r="I302" s="51" t="n">
        <v>47.6</v>
      </c>
      <c r="J302" s="51" t="n">
        <v>5.8</v>
      </c>
      <c r="K302" s="51" t="n">
        <v>4</v>
      </c>
      <c r="L302" s="51" t="n">
        <v>5</v>
      </c>
      <c r="M302" s="51" t="n">
        <v>1</v>
      </c>
      <c r="N302" s="51" t="n">
        <v>1</v>
      </c>
      <c r="O302" s="51" t="n">
        <v>4</v>
      </c>
      <c r="P302" s="51" t="n">
        <v>240</v>
      </c>
      <c r="Q302" s="51" t="n">
        <v>2.5</v>
      </c>
      <c r="R302" s="51" t="n">
        <v>360</v>
      </c>
      <c r="S302" s="51" t="n">
        <v>1</v>
      </c>
      <c r="T302" s="51" t="n">
        <v>5</v>
      </c>
      <c r="U302" s="51" t="n">
        <v>120</v>
      </c>
      <c r="V302" s="51" t="n">
        <v>0</v>
      </c>
      <c r="W302" s="51" t="n">
        <v>1300</v>
      </c>
      <c r="X302" s="51" t="n">
        <v>0.657894736842105</v>
      </c>
    </row>
    <row r="303">
      <c r="A303" s="51" t="inlineStr">
        <is>
          <t>Rice husk</t>
        </is>
      </c>
      <c r="B303" s="51" t="n">
        <v>38.3</v>
      </c>
      <c r="C303" s="51" t="n">
        <v>31.6</v>
      </c>
      <c r="D303" s="51" t="n">
        <v>11.8</v>
      </c>
      <c r="E303" s="51" t="n">
        <v>68.2</v>
      </c>
      <c r="F303" s="51" t="n">
        <v>16.1</v>
      </c>
      <c r="G303" s="51" t="n">
        <v>15.7</v>
      </c>
      <c r="H303" s="51" t="n">
        <v>45.2</v>
      </c>
      <c r="I303" s="51" t="n">
        <v>47.6</v>
      </c>
      <c r="J303" s="51" t="n">
        <v>5.8</v>
      </c>
      <c r="K303" s="51" t="n">
        <v>1</v>
      </c>
      <c r="L303" s="51" t="n">
        <v>5</v>
      </c>
      <c r="M303" s="51" t="n">
        <v>0</v>
      </c>
      <c r="N303" s="51" t="n">
        <v>1</v>
      </c>
      <c r="O303" s="51" t="n">
        <v>4</v>
      </c>
      <c r="P303" s="51" t="n">
        <v>120</v>
      </c>
      <c r="Q303" s="51" t="n">
        <v>5</v>
      </c>
      <c r="R303" s="51" t="n">
        <v>1100</v>
      </c>
      <c r="S303" s="51" t="n">
        <v>0</v>
      </c>
      <c r="T303" s="51" t="n">
        <v>5</v>
      </c>
      <c r="U303" s="51" t="n">
        <v>0</v>
      </c>
      <c r="V303" s="51" t="n">
        <v>0</v>
      </c>
      <c r="W303" s="51" t="n">
        <v>0</v>
      </c>
      <c r="X303" s="51" t="n">
        <v>0.66</v>
      </c>
    </row>
    <row r="304">
      <c r="A304" s="51" t="inlineStr">
        <is>
          <t>Rice husk</t>
        </is>
      </c>
      <c r="B304" s="51" t="n">
        <v>38.3</v>
      </c>
      <c r="C304" s="51" t="n">
        <v>31.6</v>
      </c>
      <c r="D304" s="51" t="n">
        <v>11.8</v>
      </c>
      <c r="E304" s="51" t="n">
        <v>68.2</v>
      </c>
      <c r="F304" s="51" t="n">
        <v>16.1</v>
      </c>
      <c r="G304" s="51" t="n">
        <v>15.7</v>
      </c>
      <c r="H304" s="51" t="n">
        <v>45.2</v>
      </c>
      <c r="I304" s="51" t="n">
        <v>47.6</v>
      </c>
      <c r="J304" s="51" t="n">
        <v>5.8</v>
      </c>
      <c r="K304" s="51" t="n">
        <v>1</v>
      </c>
      <c r="L304" s="51" t="n">
        <v>5</v>
      </c>
      <c r="M304" s="51" t="n">
        <v>0</v>
      </c>
      <c r="N304" s="51" t="n">
        <v>1</v>
      </c>
      <c r="O304" s="51" t="n">
        <v>4</v>
      </c>
      <c r="P304" s="51" t="n">
        <v>120</v>
      </c>
      <c r="Q304" s="51" t="n">
        <v>5</v>
      </c>
      <c r="R304" s="51" t="n">
        <v>1300</v>
      </c>
      <c r="S304" s="51" t="n">
        <v>0</v>
      </c>
      <c r="T304" s="51" t="n">
        <v>5</v>
      </c>
      <c r="U304" s="51" t="n">
        <v>0</v>
      </c>
      <c r="V304" s="51" t="n">
        <v>0</v>
      </c>
      <c r="W304" s="51" t="n">
        <v>0</v>
      </c>
      <c r="X304" s="51" t="n">
        <v>0.72</v>
      </c>
    </row>
    <row r="305">
      <c r="A305" s="51" t="inlineStr">
        <is>
          <t>Rice husk</t>
        </is>
      </c>
      <c r="B305" s="51" t="n">
        <v>38.3</v>
      </c>
      <c r="C305" s="51" t="n">
        <v>31.6</v>
      </c>
      <c r="D305" s="51" t="n">
        <v>11.8</v>
      </c>
      <c r="E305" s="51" t="n">
        <v>68.2</v>
      </c>
      <c r="F305" s="51" t="n">
        <v>16.1</v>
      </c>
      <c r="G305" s="51" t="n">
        <v>15.7</v>
      </c>
      <c r="H305" s="51" t="n">
        <v>45.2</v>
      </c>
      <c r="I305" s="51" t="n">
        <v>47.6</v>
      </c>
      <c r="J305" s="51" t="n">
        <v>5.8</v>
      </c>
      <c r="K305" s="51" t="n">
        <v>1</v>
      </c>
      <c r="L305" s="51" t="n">
        <v>5</v>
      </c>
      <c r="M305" s="51" t="n">
        <v>0</v>
      </c>
      <c r="N305" s="51" t="n">
        <v>1</v>
      </c>
      <c r="O305" s="51" t="n">
        <v>4</v>
      </c>
      <c r="P305" s="51" t="n">
        <v>120</v>
      </c>
      <c r="Q305" s="51" t="n">
        <v>5</v>
      </c>
      <c r="R305" s="51" t="n">
        <v>1500</v>
      </c>
      <c r="S305" s="51" t="n">
        <v>0</v>
      </c>
      <c r="T305" s="51" t="n">
        <v>5</v>
      </c>
      <c r="U305" s="51" t="n">
        <v>0</v>
      </c>
      <c r="V305" s="51" t="n">
        <v>0</v>
      </c>
      <c r="W305" s="51" t="n">
        <v>0</v>
      </c>
      <c r="X305" s="51" t="n">
        <v>0.75</v>
      </c>
    </row>
    <row r="306">
      <c r="A306" s="51" t="inlineStr">
        <is>
          <t>Shaddock peel</t>
        </is>
      </c>
      <c r="B306" s="51" t="n">
        <v>25</v>
      </c>
      <c r="C306" s="51" t="n">
        <v>12</v>
      </c>
      <c r="D306" s="51" t="n">
        <v>18</v>
      </c>
      <c r="E306" s="51" t="n">
        <v>91.1234636008052</v>
      </c>
      <c r="F306" s="51" t="n">
        <v>3.3762596239109</v>
      </c>
      <c r="G306" s="51" t="n">
        <v>6.54667673662726</v>
      </c>
      <c r="H306" s="51" t="n">
        <v>47.932180099592</v>
      </c>
      <c r="I306" s="51" t="n">
        <v>37.6322970463217</v>
      </c>
      <c r="J306" s="51" t="n">
        <v>6.63185556970333</v>
      </c>
      <c r="K306" s="51" t="n">
        <v>4</v>
      </c>
      <c r="L306" s="51" t="n">
        <v>6</v>
      </c>
      <c r="M306" s="51" t="n">
        <v>1</v>
      </c>
      <c r="N306" s="51" t="n">
        <v>0</v>
      </c>
      <c r="O306" s="51" t="n">
        <v>0</v>
      </c>
      <c r="P306" s="51" t="n">
        <v>1440</v>
      </c>
      <c r="Q306" s="51" t="n">
        <v>7.87941438894108</v>
      </c>
      <c r="R306" s="51" t="n">
        <v>180</v>
      </c>
      <c r="S306" s="51" t="n">
        <v>1</v>
      </c>
      <c r="T306" s="51" t="n">
        <v>5</v>
      </c>
      <c r="U306" s="51" t="n">
        <v>99.8041854881578</v>
      </c>
      <c r="V306" s="51" t="n">
        <v>5</v>
      </c>
      <c r="W306" s="51" t="n">
        <v>500</v>
      </c>
      <c r="X306" s="51" t="n">
        <v>0.49</v>
      </c>
    </row>
    <row r="307">
      <c r="A307" s="51" t="inlineStr">
        <is>
          <t>Shaddock peel</t>
        </is>
      </c>
      <c r="B307" s="51" t="n">
        <v>25</v>
      </c>
      <c r="C307" s="51" t="n">
        <v>12</v>
      </c>
      <c r="D307" s="51" t="n">
        <v>18</v>
      </c>
      <c r="E307" s="51" t="n">
        <v>91.1234636008052</v>
      </c>
      <c r="F307" s="51" t="n">
        <v>3.3762596239109</v>
      </c>
      <c r="G307" s="51" t="n">
        <v>6.54667673662726</v>
      </c>
      <c r="H307" s="51" t="n">
        <v>47.932180099592</v>
      </c>
      <c r="I307" s="51" t="n">
        <v>37.6322970463217</v>
      </c>
      <c r="J307" s="51" t="n">
        <v>6.63185556970333</v>
      </c>
      <c r="K307" s="51" t="n">
        <v>4</v>
      </c>
      <c r="L307" s="51" t="n">
        <v>6</v>
      </c>
      <c r="M307" s="51" t="n">
        <v>1</v>
      </c>
      <c r="N307" s="51" t="n">
        <v>0</v>
      </c>
      <c r="O307" s="51" t="n">
        <v>0</v>
      </c>
      <c r="P307" s="51" t="n">
        <v>1440</v>
      </c>
      <c r="Q307" s="51" t="n">
        <v>7.91399278538513</v>
      </c>
      <c r="R307" s="51" t="n">
        <v>180</v>
      </c>
      <c r="S307" s="51" t="n">
        <v>1</v>
      </c>
      <c r="T307" s="51" t="n">
        <v>5</v>
      </c>
      <c r="U307" s="51" t="n">
        <v>118.339176519541</v>
      </c>
      <c r="V307" s="51" t="n">
        <v>5</v>
      </c>
      <c r="W307" s="51" t="n">
        <v>600</v>
      </c>
      <c r="X307" s="51" t="n">
        <v>0.57</v>
      </c>
    </row>
    <row r="308">
      <c r="A308" s="51" t="inlineStr">
        <is>
          <t>Shaddock peel</t>
        </is>
      </c>
      <c r="B308" s="51" t="n">
        <v>25</v>
      </c>
      <c r="C308" s="51" t="n">
        <v>12</v>
      </c>
      <c r="D308" s="51" t="n">
        <v>18</v>
      </c>
      <c r="E308" s="51" t="n">
        <v>91.1234636008052</v>
      </c>
      <c r="F308" s="51" t="n">
        <v>3.3762596239109</v>
      </c>
      <c r="G308" s="51" t="n">
        <v>6.54667673662726</v>
      </c>
      <c r="H308" s="51" t="n">
        <v>47.932180099592</v>
      </c>
      <c r="I308" s="51" t="n">
        <v>37.6322970463217</v>
      </c>
      <c r="J308" s="51" t="n">
        <v>6.63185556970333</v>
      </c>
      <c r="K308" s="51" t="n">
        <v>4</v>
      </c>
      <c r="L308" s="51" t="n">
        <v>6</v>
      </c>
      <c r="M308" s="51" t="n">
        <v>1</v>
      </c>
      <c r="N308" s="51" t="n">
        <v>0</v>
      </c>
      <c r="O308" s="51" t="n">
        <v>0</v>
      </c>
      <c r="P308" s="51" t="n">
        <v>1440</v>
      </c>
      <c r="Q308" s="51" t="n">
        <v>7.92423924943894</v>
      </c>
      <c r="R308" s="51" t="n">
        <v>180</v>
      </c>
      <c r="S308" s="51" t="n">
        <v>1</v>
      </c>
      <c r="T308" s="51" t="n">
        <v>5</v>
      </c>
      <c r="U308" s="51" t="n">
        <v>134.909690485131</v>
      </c>
      <c r="V308" s="51" t="n">
        <v>5</v>
      </c>
      <c r="W308" s="51" t="n">
        <v>700</v>
      </c>
      <c r="X308" s="51" t="n">
        <v>0.76</v>
      </c>
    </row>
    <row r="309">
      <c r="A309" s="51" t="inlineStr">
        <is>
          <t>Shaddock peel</t>
        </is>
      </c>
      <c r="B309" s="51" t="n">
        <v>25</v>
      </c>
      <c r="C309" s="51" t="n">
        <v>12</v>
      </c>
      <c r="D309" s="51" t="n">
        <v>18</v>
      </c>
      <c r="E309" s="51" t="n">
        <v>91.1234636008052</v>
      </c>
      <c r="F309" s="51" t="n">
        <v>3.3762596239109</v>
      </c>
      <c r="G309" s="51" t="n">
        <v>6.54667673662726</v>
      </c>
      <c r="H309" s="51" t="n">
        <v>47.932180099592</v>
      </c>
      <c r="I309" s="51" t="n">
        <v>37.6322970463217</v>
      </c>
      <c r="J309" s="51" t="n">
        <v>6.63185556970333</v>
      </c>
      <c r="K309" s="51" t="n">
        <v>4</v>
      </c>
      <c r="L309" s="51" t="n">
        <v>5</v>
      </c>
      <c r="M309" s="51" t="n">
        <v>1</v>
      </c>
      <c r="N309" s="51" t="n">
        <v>0</v>
      </c>
      <c r="O309" s="51" t="n">
        <v>0</v>
      </c>
      <c r="P309" s="51" t="n">
        <v>1440</v>
      </c>
      <c r="Q309" s="51" t="n">
        <v>7.91397320403359</v>
      </c>
      <c r="R309" s="51" t="n">
        <v>180</v>
      </c>
      <c r="S309" s="51" t="n">
        <v>1</v>
      </c>
      <c r="T309" s="51" t="n">
        <v>8</v>
      </c>
      <c r="U309" s="51" t="n">
        <v>118.338572511642</v>
      </c>
      <c r="V309" s="51" t="n">
        <v>5</v>
      </c>
      <c r="W309" s="51" t="n">
        <v>600</v>
      </c>
      <c r="X309" s="51" t="n">
        <v>0.72</v>
      </c>
    </row>
    <row r="310">
      <c r="A310" s="51" t="inlineStr">
        <is>
          <t>Shaddock peel</t>
        </is>
      </c>
      <c r="B310" s="51" t="n">
        <v>25</v>
      </c>
      <c r="C310" s="51" t="n">
        <v>12</v>
      </c>
      <c r="D310" s="51" t="n">
        <v>18</v>
      </c>
      <c r="E310" s="51" t="n">
        <v>91.1234636008052</v>
      </c>
      <c r="F310" s="51" t="n">
        <v>3.3762596239109</v>
      </c>
      <c r="G310" s="51" t="n">
        <v>6.54667673662726</v>
      </c>
      <c r="H310" s="51" t="n">
        <v>47.932180099592</v>
      </c>
      <c r="I310" s="51" t="n">
        <v>37.6322970463217</v>
      </c>
      <c r="J310" s="51" t="n">
        <v>6.63185556970333</v>
      </c>
      <c r="K310" s="51" t="n">
        <v>4</v>
      </c>
      <c r="L310" s="51" t="n">
        <v>5</v>
      </c>
      <c r="M310" s="51" t="n">
        <v>1</v>
      </c>
      <c r="N310" s="51" t="n">
        <v>0</v>
      </c>
      <c r="O310" s="51" t="n">
        <v>0</v>
      </c>
      <c r="P310" s="51" t="n">
        <v>1440</v>
      </c>
      <c r="Q310" s="51" t="n">
        <v>7.92421510609355</v>
      </c>
      <c r="R310" s="51" t="n">
        <v>180</v>
      </c>
      <c r="S310" s="51" t="n">
        <v>1</v>
      </c>
      <c r="T310" s="51" t="n">
        <v>8</v>
      </c>
      <c r="U310" s="51" t="n">
        <v>134.909471762865</v>
      </c>
      <c r="V310" s="51" t="n">
        <v>5</v>
      </c>
      <c r="W310" s="51" t="n">
        <v>700</v>
      </c>
      <c r="X310" s="51" t="n">
        <v>0.53</v>
      </c>
    </row>
    <row r="311">
      <c r="A311" s="51" t="inlineStr">
        <is>
          <t>Snake fruit peal</t>
        </is>
      </c>
      <c r="B311" s="51" t="n">
        <v>33.2218304752774</v>
      </c>
      <c r="C311" s="51" t="n">
        <v>21.853398033426</v>
      </c>
      <c r="D311" s="51" t="n">
        <v>28.5436099393292</v>
      </c>
      <c r="E311" s="51" t="n">
        <v>63.5</v>
      </c>
      <c r="F311" s="51" t="n">
        <v>5.2</v>
      </c>
      <c r="G311" s="51" t="n">
        <v>25.5</v>
      </c>
      <c r="H311" s="51" t="n">
        <v>55.73</v>
      </c>
      <c r="I311" s="51" t="n">
        <v>23.28</v>
      </c>
      <c r="J311" s="51" t="n">
        <v>5.77420218478803</v>
      </c>
      <c r="K311" s="51" t="n">
        <v>6</v>
      </c>
      <c r="L311" s="51" t="n">
        <v>1</v>
      </c>
      <c r="M311" s="51" t="n">
        <v>1</v>
      </c>
      <c r="N311" s="51" t="n">
        <v>1</v>
      </c>
      <c r="O311" s="51" t="n">
        <v>4</v>
      </c>
      <c r="P311" s="51" t="n">
        <v>60</v>
      </c>
      <c r="Q311" s="51" t="n">
        <v>2.26422798797391</v>
      </c>
      <c r="R311" s="51" t="n">
        <v>500</v>
      </c>
      <c r="S311" s="51" t="n">
        <v>1</v>
      </c>
      <c r="T311" s="51" t="n">
        <v>3</v>
      </c>
      <c r="U311" s="51" t="n">
        <v>60</v>
      </c>
      <c r="V311" s="51" t="n">
        <v>5</v>
      </c>
      <c r="W311" s="51" t="n">
        <v>800</v>
      </c>
      <c r="X311" s="51" t="n">
        <v>1.05</v>
      </c>
    </row>
    <row r="312">
      <c r="A312" s="51" t="inlineStr">
        <is>
          <t>Snake fruit peal</t>
        </is>
      </c>
      <c r="B312" s="51" t="n">
        <v>33.2213311659527</v>
      </c>
      <c r="C312" s="51" t="n">
        <v>21.8551058982753</v>
      </c>
      <c r="D312" s="51" t="n">
        <v>28.5459419408344</v>
      </c>
      <c r="E312" s="51" t="n">
        <v>63.5</v>
      </c>
      <c r="F312" s="51" t="n">
        <v>5.2</v>
      </c>
      <c r="G312" s="51" t="n">
        <v>25.5</v>
      </c>
      <c r="H312" s="51" t="n">
        <v>55.73</v>
      </c>
      <c r="I312" s="51" t="n">
        <v>23.28</v>
      </c>
      <c r="J312" s="51" t="n">
        <v>5.77345889477054</v>
      </c>
      <c r="K312" s="51" t="n">
        <v>6</v>
      </c>
      <c r="L312" s="51" t="n">
        <v>1</v>
      </c>
      <c r="M312" s="51" t="n">
        <v>1</v>
      </c>
      <c r="N312" s="51" t="n">
        <v>1</v>
      </c>
      <c r="O312" s="51" t="n">
        <v>4</v>
      </c>
      <c r="P312" s="51" t="n">
        <v>60</v>
      </c>
      <c r="Q312" s="51" t="n">
        <v>2.26423157861509</v>
      </c>
      <c r="R312" s="51" t="n">
        <v>500</v>
      </c>
      <c r="S312" s="51" t="n">
        <v>1</v>
      </c>
      <c r="T312" s="51" t="n">
        <v>3</v>
      </c>
      <c r="U312" s="51" t="n">
        <v>60</v>
      </c>
      <c r="V312" s="51" t="n">
        <v>5</v>
      </c>
      <c r="W312" s="51" t="n">
        <v>800</v>
      </c>
      <c r="X312" s="51" t="n">
        <v>1.23</v>
      </c>
    </row>
    <row r="313">
      <c r="A313" s="51" t="inlineStr">
        <is>
          <t>Snake fruit peal</t>
        </is>
      </c>
      <c r="B313" s="51" t="n">
        <v>33.2213311624287</v>
      </c>
      <c r="C313" s="51" t="n">
        <v>21.855105910329</v>
      </c>
      <c r="D313" s="51" t="n">
        <v>28.5459419572931</v>
      </c>
      <c r="E313" s="51" t="n">
        <v>63.5</v>
      </c>
      <c r="F313" s="51" t="n">
        <v>5.2</v>
      </c>
      <c r="G313" s="51" t="n">
        <v>25.5</v>
      </c>
      <c r="H313" s="51" t="n">
        <v>55.73</v>
      </c>
      <c r="I313" s="51" t="n">
        <v>23.28</v>
      </c>
      <c r="J313" s="51" t="n">
        <v>5.77345888952458</v>
      </c>
      <c r="K313" s="51" t="n">
        <v>6</v>
      </c>
      <c r="L313" s="51" t="n">
        <v>1</v>
      </c>
      <c r="M313" s="51" t="n">
        <v>1</v>
      </c>
      <c r="N313" s="51" t="n">
        <v>1</v>
      </c>
      <c r="O313" s="51" t="n">
        <v>4</v>
      </c>
      <c r="P313" s="51" t="n">
        <v>60</v>
      </c>
      <c r="Q313" s="51" t="n">
        <v>2.26421876342417</v>
      </c>
      <c r="R313" s="51" t="n">
        <v>500</v>
      </c>
      <c r="S313" s="51" t="n">
        <v>1</v>
      </c>
      <c r="T313" s="51" t="n">
        <v>8</v>
      </c>
      <c r="U313" s="51" t="n">
        <v>60</v>
      </c>
      <c r="V313" s="51" t="n">
        <v>5</v>
      </c>
      <c r="W313" s="51" t="n">
        <v>800</v>
      </c>
      <c r="X313" s="51" t="n">
        <v>1.39</v>
      </c>
    </row>
    <row r="314">
      <c r="A314" s="51" t="inlineStr">
        <is>
          <t>Sorghum stalk</t>
        </is>
      </c>
      <c r="B314" s="51" t="n">
        <v>36.42</v>
      </c>
      <c r="C314" s="51" t="n">
        <v>30.1</v>
      </c>
      <c r="D314" s="51" t="n">
        <v>19.85</v>
      </c>
      <c r="E314" s="51" t="n">
        <v>71.70999999999999</v>
      </c>
      <c r="F314" s="51" t="n">
        <v>3.94</v>
      </c>
      <c r="G314" s="51" t="n">
        <v>17.95</v>
      </c>
      <c r="H314" s="51" t="n">
        <v>44.03</v>
      </c>
      <c r="I314" s="51" t="n">
        <v>5.68</v>
      </c>
      <c r="J314" s="51" t="n">
        <v>49.93</v>
      </c>
      <c r="K314" s="51" t="n">
        <v>4</v>
      </c>
      <c r="L314" s="51" t="n">
        <v>1</v>
      </c>
      <c r="M314" s="51" t="n">
        <v>0</v>
      </c>
      <c r="N314" s="51" t="n">
        <v>1</v>
      </c>
      <c r="O314" s="51" t="n">
        <v>4</v>
      </c>
      <c r="P314" s="51" t="n">
        <v>120</v>
      </c>
      <c r="Q314" s="51" t="n">
        <v>2</v>
      </c>
      <c r="R314" s="51" t="n">
        <v>1100</v>
      </c>
      <c r="S314" s="51" t="n">
        <v>0</v>
      </c>
      <c r="T314" s="51" t="n">
        <v>5</v>
      </c>
      <c r="U314" s="51" t="n">
        <v>0</v>
      </c>
      <c r="V314" s="51" t="n">
        <v>0</v>
      </c>
      <c r="W314" s="51" t="n">
        <v>0</v>
      </c>
      <c r="X314" s="51" t="n">
        <v>0.36</v>
      </c>
    </row>
    <row r="315">
      <c r="A315" s="51" t="inlineStr">
        <is>
          <t>Sorghum stalk</t>
        </is>
      </c>
      <c r="B315" s="51" t="n">
        <v>36.42</v>
      </c>
      <c r="C315" s="51" t="n">
        <v>30.1</v>
      </c>
      <c r="D315" s="51" t="n">
        <v>19.85</v>
      </c>
      <c r="E315" s="51" t="n">
        <v>71.70999999999999</v>
      </c>
      <c r="F315" s="51" t="n">
        <v>3.94</v>
      </c>
      <c r="G315" s="51" t="n">
        <v>17.95</v>
      </c>
      <c r="H315" s="51" t="n">
        <v>44.03</v>
      </c>
      <c r="I315" s="51" t="n">
        <v>5.68</v>
      </c>
      <c r="J315" s="51" t="n">
        <v>49.93</v>
      </c>
      <c r="K315" s="51" t="n">
        <v>4</v>
      </c>
      <c r="L315" s="51" t="n">
        <v>1</v>
      </c>
      <c r="M315" s="51" t="n">
        <v>0</v>
      </c>
      <c r="N315" s="51" t="n">
        <v>1</v>
      </c>
      <c r="O315" s="51" t="n">
        <v>4</v>
      </c>
      <c r="P315" s="51" t="n">
        <v>120</v>
      </c>
      <c r="Q315" s="51" t="n">
        <v>2</v>
      </c>
      <c r="R315" s="51" t="n">
        <v>1300</v>
      </c>
      <c r="S315" s="51" t="n">
        <v>0</v>
      </c>
      <c r="T315" s="51" t="n">
        <v>5</v>
      </c>
      <c r="U315" s="51" t="n">
        <v>0</v>
      </c>
      <c r="V315" s="51" t="n">
        <v>0</v>
      </c>
      <c r="W315" s="51" t="n">
        <v>0</v>
      </c>
      <c r="X315" s="51" t="n">
        <v>0.52</v>
      </c>
    </row>
    <row r="316">
      <c r="A316" s="51" t="inlineStr">
        <is>
          <t>Sorghum stalk</t>
        </is>
      </c>
      <c r="B316" s="51" t="n">
        <v>36.42</v>
      </c>
      <c r="C316" s="51" t="n">
        <v>30.1</v>
      </c>
      <c r="D316" s="51" t="n">
        <v>19.85</v>
      </c>
      <c r="E316" s="51" t="n">
        <v>71.70999999999999</v>
      </c>
      <c r="F316" s="51" t="n">
        <v>3.94</v>
      </c>
      <c r="G316" s="51" t="n">
        <v>17.95</v>
      </c>
      <c r="H316" s="51" t="n">
        <v>44.03</v>
      </c>
      <c r="I316" s="51" t="n">
        <v>5.68</v>
      </c>
      <c r="J316" s="51" t="n">
        <v>49.93</v>
      </c>
      <c r="K316" s="51" t="n">
        <v>4</v>
      </c>
      <c r="L316" s="51" t="n">
        <v>1</v>
      </c>
      <c r="M316" s="51" t="n">
        <v>0</v>
      </c>
      <c r="N316" s="51" t="n">
        <v>1</v>
      </c>
      <c r="O316" s="51" t="n">
        <v>4</v>
      </c>
      <c r="P316" s="51" t="n">
        <v>120</v>
      </c>
      <c r="Q316" s="51" t="n">
        <v>2</v>
      </c>
      <c r="R316" s="51" t="n">
        <v>1500</v>
      </c>
      <c r="S316" s="51" t="n">
        <v>0</v>
      </c>
      <c r="T316" s="51" t="n">
        <v>5</v>
      </c>
      <c r="U316" s="51" t="n">
        <v>0</v>
      </c>
      <c r="V316" s="51" t="n">
        <v>0</v>
      </c>
      <c r="W316" s="51" t="n">
        <v>0</v>
      </c>
      <c r="X316" s="51" t="n">
        <v>0.6</v>
      </c>
    </row>
    <row r="317">
      <c r="A317" s="51" t="inlineStr">
        <is>
          <t>Soybean root</t>
        </is>
      </c>
      <c r="B317" s="51" t="n">
        <v>40.62</v>
      </c>
      <c r="C317" s="51" t="n">
        <v>33.78</v>
      </c>
      <c r="D317" s="51" t="n">
        <v>7.75</v>
      </c>
      <c r="E317" s="51" t="n">
        <v>74.09999999999999</v>
      </c>
      <c r="F317" s="51" t="n">
        <v>4</v>
      </c>
      <c r="G317" s="51" t="n">
        <v>14.6</v>
      </c>
      <c r="H317" s="51" t="n">
        <v>45.8</v>
      </c>
      <c r="I317" s="51" t="n">
        <v>43.7</v>
      </c>
      <c r="J317" s="51" t="n">
        <v>6.9</v>
      </c>
      <c r="K317" s="51" t="n">
        <v>6</v>
      </c>
      <c r="L317" s="51" t="n">
        <v>1</v>
      </c>
      <c r="M317" s="51" t="n">
        <v>0</v>
      </c>
      <c r="N317" s="51" t="n">
        <v>1</v>
      </c>
      <c r="O317" s="51" t="n">
        <v>4</v>
      </c>
      <c r="P317" s="51" t="n">
        <v>120</v>
      </c>
      <c r="Q317" s="51" t="n">
        <v>3.45168050881648</v>
      </c>
      <c r="R317" s="51" t="n">
        <v>600</v>
      </c>
      <c r="S317" s="51" t="n">
        <v>0</v>
      </c>
      <c r="T317" s="51" t="n">
        <v>5</v>
      </c>
      <c r="U317" s="51" t="n">
        <v>0</v>
      </c>
      <c r="V317" s="51" t="n">
        <v>0</v>
      </c>
      <c r="W317" s="51" t="n">
        <v>0</v>
      </c>
      <c r="X317" s="51" t="n">
        <v>1.02</v>
      </c>
    </row>
    <row r="318">
      <c r="A318" s="51" t="inlineStr">
        <is>
          <t>Soybean root</t>
        </is>
      </c>
      <c r="B318" s="51" t="n">
        <v>40.62</v>
      </c>
      <c r="C318" s="51" t="n">
        <v>33.78</v>
      </c>
      <c r="D318" s="51" t="n">
        <v>7.75</v>
      </c>
      <c r="E318" s="51" t="n">
        <v>74.09999999999999</v>
      </c>
      <c r="F318" s="51" t="n">
        <v>4</v>
      </c>
      <c r="G318" s="51" t="n">
        <v>14.6</v>
      </c>
      <c r="H318" s="51" t="n">
        <v>45.8</v>
      </c>
      <c r="I318" s="51" t="n">
        <v>43.7</v>
      </c>
      <c r="J318" s="51" t="n">
        <v>6.9</v>
      </c>
      <c r="K318" s="51" t="n">
        <v>6</v>
      </c>
      <c r="L318" s="51" t="n">
        <v>1</v>
      </c>
      <c r="M318" s="51" t="n">
        <v>0</v>
      </c>
      <c r="N318" s="51" t="n">
        <v>1</v>
      </c>
      <c r="O318" s="51" t="n">
        <v>4</v>
      </c>
      <c r="P318" s="51" t="n">
        <v>120</v>
      </c>
      <c r="Q318" s="51" t="n">
        <v>5.63746887521874</v>
      </c>
      <c r="R318" s="51" t="n">
        <v>700</v>
      </c>
      <c r="S318" s="51" t="n">
        <v>0</v>
      </c>
      <c r="T318" s="51" t="n">
        <v>5</v>
      </c>
      <c r="U318" s="51" t="n">
        <v>0</v>
      </c>
      <c r="V318" s="51" t="n">
        <v>0</v>
      </c>
      <c r="W318" s="51" t="n">
        <v>0</v>
      </c>
      <c r="X318" s="51" t="n">
        <v>0.99</v>
      </c>
    </row>
    <row r="319">
      <c r="A319" s="51" t="inlineStr">
        <is>
          <t>Soybean root</t>
        </is>
      </c>
      <c r="B319" s="51" t="n">
        <v>40.62</v>
      </c>
      <c r="C319" s="51" t="n">
        <v>33.78</v>
      </c>
      <c r="D319" s="51" t="n">
        <v>7.75</v>
      </c>
      <c r="E319" s="51" t="n">
        <v>74.09999999999999</v>
      </c>
      <c r="F319" s="51" t="n">
        <v>4</v>
      </c>
      <c r="G319" s="51" t="n">
        <v>14.6</v>
      </c>
      <c r="H319" s="51" t="n">
        <v>45.8</v>
      </c>
      <c r="I319" s="51" t="n">
        <v>43.7</v>
      </c>
      <c r="J319" s="51" t="n">
        <v>6.9</v>
      </c>
      <c r="K319" s="51" t="n">
        <v>6</v>
      </c>
      <c r="L319" s="51" t="n">
        <v>1</v>
      </c>
      <c r="M319" s="51" t="n">
        <v>0</v>
      </c>
      <c r="N319" s="51" t="n">
        <v>1</v>
      </c>
      <c r="O319" s="51" t="n">
        <v>4</v>
      </c>
      <c r="P319" s="51" t="n">
        <v>120</v>
      </c>
      <c r="Q319" s="51" t="n">
        <v>3.59671266400651</v>
      </c>
      <c r="R319" s="51" t="n">
        <v>800</v>
      </c>
      <c r="S319" s="51" t="n">
        <v>0</v>
      </c>
      <c r="T319" s="51" t="n">
        <v>5</v>
      </c>
      <c r="U319" s="51" t="n">
        <v>0</v>
      </c>
      <c r="V319" s="51" t="n">
        <v>0</v>
      </c>
      <c r="W319" s="51" t="n">
        <v>0</v>
      </c>
      <c r="X319" s="51" t="n">
        <v>0.8</v>
      </c>
    </row>
    <row r="320">
      <c r="A320" s="51" t="inlineStr">
        <is>
          <t>Spartina alterniflora</t>
        </is>
      </c>
      <c r="B320" s="51" t="n">
        <v>35.9</v>
      </c>
      <c r="C320" s="51" t="n">
        <v>342</v>
      </c>
      <c r="D320" s="51" t="n">
        <v>15.9</v>
      </c>
      <c r="E320" s="51" t="n">
        <v>68.8644370719265</v>
      </c>
      <c r="F320" s="51" t="n">
        <v>11.0173177084386</v>
      </c>
      <c r="G320" s="51" t="n">
        <v>22.6626159388995</v>
      </c>
      <c r="H320" s="51" t="n">
        <v>45.9365700835009</v>
      </c>
      <c r="I320" s="51" t="n">
        <v>44.1985530197491</v>
      </c>
      <c r="J320" s="51" t="n">
        <v>5.37696286794553</v>
      </c>
      <c r="K320" s="51" t="n">
        <v>6</v>
      </c>
      <c r="L320" s="51" t="n">
        <v>2</v>
      </c>
      <c r="M320" s="51" t="n">
        <v>0</v>
      </c>
      <c r="N320" s="51" t="n">
        <v>1</v>
      </c>
      <c r="O320" s="51" t="n">
        <v>4</v>
      </c>
      <c r="P320" s="51" t="n">
        <v>180</v>
      </c>
      <c r="Q320" s="51" t="n">
        <v>4.27940025308691</v>
      </c>
      <c r="R320" s="51" t="n">
        <v>1000</v>
      </c>
      <c r="S320" s="51" t="n">
        <v>0</v>
      </c>
      <c r="T320" s="51" t="n">
        <v>5</v>
      </c>
      <c r="U320" s="51" t="n">
        <v>0</v>
      </c>
      <c r="V320" s="51" t="n">
        <v>0</v>
      </c>
      <c r="W320" s="51" t="n">
        <v>0</v>
      </c>
      <c r="X320" s="51" t="n">
        <v>0.29585798816568</v>
      </c>
    </row>
    <row r="321">
      <c r="A321" s="51" t="inlineStr">
        <is>
          <t>Spartina alterniflora</t>
        </is>
      </c>
      <c r="B321" s="51" t="n">
        <v>35.9</v>
      </c>
      <c r="C321" s="51" t="n">
        <v>342</v>
      </c>
      <c r="D321" s="51" t="n">
        <v>15.9</v>
      </c>
      <c r="E321" s="51" t="n">
        <v>68.8644370719265</v>
      </c>
      <c r="F321" s="51" t="n">
        <v>11.0173177084386</v>
      </c>
      <c r="G321" s="51" t="n">
        <v>22.6626159388995</v>
      </c>
      <c r="H321" s="51" t="n">
        <v>45.9365700835009</v>
      </c>
      <c r="I321" s="51" t="n">
        <v>44.1985530197491</v>
      </c>
      <c r="J321" s="51" t="n">
        <v>5.37696286794553</v>
      </c>
      <c r="K321" s="51" t="n">
        <v>6</v>
      </c>
      <c r="L321" s="51" t="n">
        <v>2</v>
      </c>
      <c r="M321" s="51" t="n">
        <v>0</v>
      </c>
      <c r="N321" s="51" t="n">
        <v>1</v>
      </c>
      <c r="O321" s="51" t="n">
        <v>4</v>
      </c>
      <c r="P321" s="51" t="n">
        <v>180</v>
      </c>
      <c r="Q321" s="51" t="n">
        <v>4.76</v>
      </c>
      <c r="R321" s="51" t="n">
        <v>1200</v>
      </c>
      <c r="S321" s="51" t="n">
        <v>0</v>
      </c>
      <c r="T321" s="51" t="n">
        <v>5</v>
      </c>
      <c r="U321" s="51" t="n">
        <v>0</v>
      </c>
      <c r="V321" s="51" t="n">
        <v>0</v>
      </c>
      <c r="W321" s="51" t="n">
        <v>0</v>
      </c>
      <c r="X321" s="51" t="n">
        <v>0.383141762452107</v>
      </c>
    </row>
    <row r="322">
      <c r="A322" s="51" t="inlineStr">
        <is>
          <t>Spartina alterniflora</t>
        </is>
      </c>
      <c r="B322" s="51" t="n">
        <v>35.9</v>
      </c>
      <c r="C322" s="51" t="n">
        <v>342</v>
      </c>
      <c r="D322" s="51" t="n">
        <v>15.9</v>
      </c>
      <c r="E322" s="51" t="n">
        <v>68.8644370719265</v>
      </c>
      <c r="F322" s="51" t="n">
        <v>11.0173177084386</v>
      </c>
      <c r="G322" s="51" t="n">
        <v>22.6626159388995</v>
      </c>
      <c r="H322" s="51" t="n">
        <v>45.9365700835009</v>
      </c>
      <c r="I322" s="51" t="n">
        <v>44.1985530197491</v>
      </c>
      <c r="J322" s="51" t="n">
        <v>5.37696286794553</v>
      </c>
      <c r="K322" s="51" t="n">
        <v>6</v>
      </c>
      <c r="L322" s="51" t="n">
        <v>2</v>
      </c>
      <c r="M322" s="51" t="n">
        <v>0</v>
      </c>
      <c r="N322" s="51" t="n">
        <v>1</v>
      </c>
      <c r="O322" s="51" t="n">
        <v>4</v>
      </c>
      <c r="P322" s="51" t="n">
        <v>180</v>
      </c>
      <c r="Q322" s="51" t="n">
        <v>5</v>
      </c>
      <c r="R322" s="51" t="n">
        <v>1400</v>
      </c>
      <c r="S322" s="51" t="n">
        <v>0</v>
      </c>
      <c r="T322" s="51" t="n">
        <v>5</v>
      </c>
      <c r="U322" s="51" t="n">
        <v>0</v>
      </c>
      <c r="V322" s="51" t="n">
        <v>0</v>
      </c>
      <c r="W322" s="51" t="n">
        <v>0</v>
      </c>
      <c r="X322" s="51" t="n">
        <v>0.467289719626168</v>
      </c>
    </row>
    <row r="323">
      <c r="A323" s="51" t="inlineStr">
        <is>
          <t>Spartina alterniflora</t>
        </is>
      </c>
      <c r="B323" s="51" t="n">
        <v>35.9</v>
      </c>
      <c r="C323" s="51" t="n">
        <v>342</v>
      </c>
      <c r="D323" s="51" t="n">
        <v>15.9</v>
      </c>
      <c r="E323" s="51" t="n">
        <v>68.8644370719265</v>
      </c>
      <c r="F323" s="51" t="n">
        <v>11.0173177084386</v>
      </c>
      <c r="G323" s="51" t="n">
        <v>22.6626159388995</v>
      </c>
      <c r="H323" s="51" t="n">
        <v>45.9365700835009</v>
      </c>
      <c r="I323" s="51" t="n">
        <v>44.1985530197491</v>
      </c>
      <c r="J323" s="51" t="n">
        <v>5.37696286794553</v>
      </c>
      <c r="K323" s="51" t="n">
        <v>6</v>
      </c>
      <c r="L323" s="51" t="n">
        <v>2</v>
      </c>
      <c r="M323" s="51" t="n">
        <v>0</v>
      </c>
      <c r="N323" s="51" t="n">
        <v>1</v>
      </c>
      <c r="O323" s="51" t="n">
        <v>4</v>
      </c>
      <c r="P323" s="51" t="n">
        <v>180</v>
      </c>
      <c r="Q323" s="51" t="n">
        <v>7.76</v>
      </c>
      <c r="R323" s="51" t="n">
        <v>1600</v>
      </c>
      <c r="S323" s="51" t="n">
        <v>0</v>
      </c>
      <c r="T323" s="51" t="n">
        <v>5</v>
      </c>
      <c r="U323" s="51" t="n">
        <v>0</v>
      </c>
      <c r="V323" s="51" t="n">
        <v>0</v>
      </c>
      <c r="W323" s="51" t="n">
        <v>0</v>
      </c>
      <c r="X323" s="51" t="n">
        <v>0.595238095238095</v>
      </c>
    </row>
    <row r="324">
      <c r="A324" s="51" t="inlineStr">
        <is>
          <t>Spartina alterniflora</t>
        </is>
      </c>
      <c r="B324" s="51" t="n">
        <v>35.9</v>
      </c>
      <c r="C324" s="51" t="n">
        <v>342</v>
      </c>
      <c r="D324" s="51" t="n">
        <v>15.9</v>
      </c>
      <c r="E324" s="51" t="n">
        <v>68.8644370719265</v>
      </c>
      <c r="F324" s="51" t="n">
        <v>11.0173177084386</v>
      </c>
      <c r="G324" s="51" t="n">
        <v>22.6626159388995</v>
      </c>
      <c r="H324" s="51" t="n">
        <v>45.9365700835009</v>
      </c>
      <c r="I324" s="51" t="n">
        <v>44.1985530197491</v>
      </c>
      <c r="J324" s="51" t="n">
        <v>5.37696286794553</v>
      </c>
      <c r="K324" s="51" t="n">
        <v>4</v>
      </c>
      <c r="L324" s="51" t="n">
        <v>2</v>
      </c>
      <c r="M324" s="51" t="n">
        <v>1</v>
      </c>
      <c r="N324" s="51" t="n">
        <v>1</v>
      </c>
      <c r="O324" s="51" t="n">
        <v>4</v>
      </c>
      <c r="P324" s="51" t="n">
        <v>120</v>
      </c>
      <c r="Q324" s="51" t="n">
        <v>5</v>
      </c>
      <c r="R324" s="51" t="n">
        <v>600</v>
      </c>
      <c r="S324" s="51" t="n">
        <v>1</v>
      </c>
      <c r="T324" s="51" t="n">
        <v>5</v>
      </c>
      <c r="U324" s="51" t="n">
        <v>120</v>
      </c>
      <c r="V324" s="51" t="n">
        <v>5</v>
      </c>
      <c r="W324" s="51" t="n">
        <v>1200</v>
      </c>
      <c r="X324" s="51" t="n">
        <v>1.005</v>
      </c>
    </row>
    <row r="325">
      <c r="A325" s="51" t="inlineStr">
        <is>
          <t>Sugar cane basggase</t>
        </is>
      </c>
      <c r="B325" s="51" t="n">
        <v>36.5</v>
      </c>
      <c r="C325" s="51" t="n">
        <v>26</v>
      </c>
      <c r="D325" s="51" t="n">
        <v>18.5</v>
      </c>
      <c r="E325" s="51" t="n">
        <v>83.5</v>
      </c>
      <c r="F325" s="51" t="n">
        <v>4.2</v>
      </c>
      <c r="G325" s="51" t="n">
        <v>12.5</v>
      </c>
      <c r="H325" s="51" t="n">
        <v>43.1</v>
      </c>
      <c r="I325" s="51" t="n">
        <v>51.4</v>
      </c>
      <c r="J325" s="51" t="n">
        <v>5.51</v>
      </c>
      <c r="K325" s="51" t="n">
        <v>4</v>
      </c>
      <c r="L325" s="51" t="n">
        <v>5</v>
      </c>
      <c r="M325" s="51" t="n">
        <v>1</v>
      </c>
      <c r="N325" s="51" t="n">
        <v>1</v>
      </c>
      <c r="O325" s="51" t="n">
        <v>4</v>
      </c>
      <c r="P325" s="51" t="n">
        <v>240</v>
      </c>
      <c r="Q325" s="51" t="n">
        <v>2.5</v>
      </c>
      <c r="R325" s="51" t="n">
        <v>360</v>
      </c>
      <c r="S325" s="51" t="n">
        <v>1</v>
      </c>
      <c r="T325" s="51" t="n">
        <v>5</v>
      </c>
      <c r="U325" s="51" t="n">
        <v>120</v>
      </c>
      <c r="V325" s="51" t="n">
        <v>3.04275598100547</v>
      </c>
      <c r="W325" s="51" t="n">
        <v>1300</v>
      </c>
      <c r="X325" s="51" t="n">
        <v>0.75187969924812</v>
      </c>
    </row>
    <row r="326">
      <c r="A326" s="51" t="inlineStr">
        <is>
          <t>Sugarcane</t>
        </is>
      </c>
      <c r="B326" s="51" t="n">
        <v>42.4</v>
      </c>
      <c r="C326" s="51" t="n">
        <v>25.2</v>
      </c>
      <c r="D326" s="51" t="n">
        <v>19.7</v>
      </c>
      <c r="E326" s="51" t="n">
        <v>84.79000000000001</v>
      </c>
      <c r="F326" s="51" t="n">
        <v>2.91</v>
      </c>
      <c r="G326" s="51" t="n">
        <v>11.82</v>
      </c>
      <c r="H326" s="51" t="n">
        <v>49.2</v>
      </c>
      <c r="I326" s="51" t="n">
        <v>43</v>
      </c>
      <c r="J326" s="51" t="n">
        <v>4.69</v>
      </c>
      <c r="K326" s="51" t="n">
        <v>6</v>
      </c>
      <c r="L326" s="51" t="n">
        <v>7</v>
      </c>
      <c r="M326" s="51" t="n">
        <v>0</v>
      </c>
      <c r="N326" s="51" t="n">
        <v>1</v>
      </c>
      <c r="O326" s="51" t="n">
        <v>4</v>
      </c>
      <c r="P326" s="51" t="n">
        <v>120</v>
      </c>
      <c r="Q326" s="51" t="n">
        <v>3</v>
      </c>
      <c r="R326" s="51" t="n">
        <v>800</v>
      </c>
      <c r="S326" s="51" t="n">
        <v>0</v>
      </c>
      <c r="T326" s="51" t="n">
        <v>5</v>
      </c>
      <c r="U326" s="51" t="n">
        <v>0</v>
      </c>
      <c r="V326" s="51" t="n">
        <v>0</v>
      </c>
      <c r="W326" s="51" t="n">
        <v>0</v>
      </c>
      <c r="X326" s="51" t="n">
        <v>0.88</v>
      </c>
    </row>
    <row r="327">
      <c r="A327" s="51" t="inlineStr">
        <is>
          <t>Sugarcane</t>
        </is>
      </c>
      <c r="B327" s="51" t="n">
        <v>42.4</v>
      </c>
      <c r="C327" s="51" t="n">
        <v>25.2</v>
      </c>
      <c r="D327" s="51" t="n">
        <v>19.7</v>
      </c>
      <c r="E327" s="51" t="n">
        <v>84.79000000000001</v>
      </c>
      <c r="F327" s="51" t="n">
        <v>2.91</v>
      </c>
      <c r="G327" s="51" t="n">
        <v>11.82</v>
      </c>
      <c r="H327" s="51" t="n">
        <v>49.2</v>
      </c>
      <c r="I327" s="51" t="n">
        <v>43</v>
      </c>
      <c r="J327" s="51" t="n">
        <v>4.69</v>
      </c>
      <c r="K327" s="51" t="n">
        <v>6</v>
      </c>
      <c r="L327" s="51" t="n">
        <v>7</v>
      </c>
      <c r="M327" s="51" t="n">
        <v>0</v>
      </c>
      <c r="N327" s="51" t="n">
        <v>1</v>
      </c>
      <c r="O327" s="51" t="n">
        <v>4</v>
      </c>
      <c r="P327" s="51" t="n">
        <v>120</v>
      </c>
      <c r="Q327" s="51" t="n">
        <v>3</v>
      </c>
      <c r="R327" s="51" t="n">
        <v>900</v>
      </c>
      <c r="S327" s="51" t="n">
        <v>0</v>
      </c>
      <c r="T327" s="51" t="n">
        <v>5</v>
      </c>
      <c r="U327" s="51" t="n">
        <v>0</v>
      </c>
      <c r="V327" s="51" t="n">
        <v>0</v>
      </c>
      <c r="W327" s="51" t="n">
        <v>0</v>
      </c>
      <c r="X327" s="51" t="n">
        <v>0.89</v>
      </c>
    </row>
    <row r="328">
      <c r="A328" s="51" t="inlineStr">
        <is>
          <t>Sugarcane</t>
        </is>
      </c>
      <c r="B328" s="51" t="n">
        <v>42.4</v>
      </c>
      <c r="C328" s="51" t="n">
        <v>25.2</v>
      </c>
      <c r="D328" s="51" t="n">
        <v>19.7</v>
      </c>
      <c r="E328" s="51" t="n">
        <v>84.79000000000001</v>
      </c>
      <c r="F328" s="51" t="n">
        <v>2.91</v>
      </c>
      <c r="G328" s="51" t="n">
        <v>11.82</v>
      </c>
      <c r="H328" s="51" t="n">
        <v>49.2</v>
      </c>
      <c r="I328" s="51" t="n">
        <v>43</v>
      </c>
      <c r="J328" s="51" t="n">
        <v>4.69</v>
      </c>
      <c r="K328" s="51" t="n">
        <v>6</v>
      </c>
      <c r="L328" s="51" t="n">
        <v>7</v>
      </c>
      <c r="M328" s="51" t="n">
        <v>0</v>
      </c>
      <c r="N328" s="51" t="n">
        <v>1</v>
      </c>
      <c r="O328" s="51" t="n">
        <v>4</v>
      </c>
      <c r="P328" s="51" t="n">
        <v>120</v>
      </c>
      <c r="Q328" s="51" t="n">
        <v>3</v>
      </c>
      <c r="R328" s="51" t="n">
        <v>1000</v>
      </c>
      <c r="S328" s="51" t="n">
        <v>0</v>
      </c>
      <c r="T328" s="51" t="n">
        <v>5</v>
      </c>
      <c r="U328" s="51" t="n">
        <v>0</v>
      </c>
      <c r="V328" s="51" t="n">
        <v>0</v>
      </c>
      <c r="W328" s="51" t="n">
        <v>0</v>
      </c>
      <c r="X328" s="51" t="n">
        <v>0.92</v>
      </c>
    </row>
    <row r="329">
      <c r="A329" s="51" t="inlineStr">
        <is>
          <t>Sugarcane</t>
        </is>
      </c>
      <c r="B329" s="51" t="n">
        <v>42.4</v>
      </c>
      <c r="C329" s="51" t="n">
        <v>25.2</v>
      </c>
      <c r="D329" s="51" t="n">
        <v>19.7</v>
      </c>
      <c r="E329" s="51" t="n">
        <v>84.79000000000001</v>
      </c>
      <c r="F329" s="51" t="n">
        <v>2.91</v>
      </c>
      <c r="G329" s="51" t="n">
        <v>11.82</v>
      </c>
      <c r="H329" s="51" t="n">
        <v>49.2</v>
      </c>
      <c r="I329" s="51" t="n">
        <v>43</v>
      </c>
      <c r="J329" s="51" t="n">
        <v>4.69</v>
      </c>
      <c r="K329" s="51" t="n">
        <v>6</v>
      </c>
      <c r="L329" s="51" t="n">
        <v>7</v>
      </c>
      <c r="M329" s="51" t="n">
        <v>0</v>
      </c>
      <c r="N329" s="51" t="n">
        <v>1</v>
      </c>
      <c r="O329" s="51" t="n">
        <v>4</v>
      </c>
      <c r="P329" s="51" t="n">
        <v>120</v>
      </c>
      <c r="Q329" s="51" t="n">
        <v>3</v>
      </c>
      <c r="R329" s="51" t="n">
        <v>1100</v>
      </c>
      <c r="S329" s="51" t="n">
        <v>0</v>
      </c>
      <c r="T329" s="51" t="n">
        <v>5</v>
      </c>
      <c r="U329" s="51" t="n">
        <v>0</v>
      </c>
      <c r="V329" s="51" t="n">
        <v>0</v>
      </c>
      <c r="W329" s="51" t="n">
        <v>0</v>
      </c>
      <c r="X329" s="51" t="n">
        <v>0.96</v>
      </c>
    </row>
    <row r="330">
      <c r="A330" s="51" t="inlineStr">
        <is>
          <t>Sugarcane</t>
        </is>
      </c>
      <c r="B330" s="51" t="n">
        <v>42.4</v>
      </c>
      <c r="C330" s="51" t="n">
        <v>25.2</v>
      </c>
      <c r="D330" s="51" t="n">
        <v>19.7</v>
      </c>
      <c r="E330" s="51" t="n">
        <v>84.79000000000001</v>
      </c>
      <c r="F330" s="51" t="n">
        <v>2.91</v>
      </c>
      <c r="G330" s="51" t="n">
        <v>11.82</v>
      </c>
      <c r="H330" s="51" t="n">
        <v>49.2</v>
      </c>
      <c r="I330" s="51" t="n">
        <v>43</v>
      </c>
      <c r="J330" s="51" t="n">
        <v>4.69</v>
      </c>
      <c r="K330" s="51" t="n">
        <v>6</v>
      </c>
      <c r="L330" s="51" t="n">
        <v>7</v>
      </c>
      <c r="M330" s="51" t="n">
        <v>0</v>
      </c>
      <c r="N330" s="51" t="n">
        <v>1</v>
      </c>
      <c r="O330" s="51" t="n">
        <v>4</v>
      </c>
      <c r="P330" s="51" t="n">
        <v>120</v>
      </c>
      <c r="Q330" s="51" t="n">
        <v>3</v>
      </c>
      <c r="R330" s="51" t="n">
        <v>1200</v>
      </c>
      <c r="S330" s="51" t="n">
        <v>0</v>
      </c>
      <c r="T330" s="51" t="n">
        <v>5</v>
      </c>
      <c r="U330" s="51" t="n">
        <v>0</v>
      </c>
      <c r="V330" s="51" t="n">
        <v>0</v>
      </c>
      <c r="W330" s="51" t="n">
        <v>0</v>
      </c>
      <c r="X330" s="51" t="n">
        <v>0.99</v>
      </c>
    </row>
    <row r="331">
      <c r="A331" s="51" t="inlineStr">
        <is>
          <t>Sugarcane</t>
        </is>
      </c>
      <c r="B331" s="51" t="n">
        <v>42.4</v>
      </c>
      <c r="C331" s="51" t="n">
        <v>25.2</v>
      </c>
      <c r="D331" s="51" t="n">
        <v>19.7</v>
      </c>
      <c r="E331" s="51" t="n">
        <v>84.79000000000001</v>
      </c>
      <c r="F331" s="51" t="n">
        <v>2.91</v>
      </c>
      <c r="G331" s="51" t="n">
        <v>11.82</v>
      </c>
      <c r="H331" s="51" t="n">
        <v>49.2</v>
      </c>
      <c r="I331" s="51" t="n">
        <v>43</v>
      </c>
      <c r="J331" s="51" t="n">
        <v>4.69</v>
      </c>
      <c r="K331" s="51" t="n">
        <v>6</v>
      </c>
      <c r="L331" s="51" t="n">
        <v>7</v>
      </c>
      <c r="M331" s="51" t="n">
        <v>0</v>
      </c>
      <c r="N331" s="51" t="n">
        <v>1</v>
      </c>
      <c r="O331" s="51" t="n">
        <v>4</v>
      </c>
      <c r="P331" s="51" t="n">
        <v>120</v>
      </c>
      <c r="Q331" s="51" t="n">
        <v>3</v>
      </c>
      <c r="R331" s="51" t="n">
        <v>1300</v>
      </c>
      <c r="S331" s="51" t="n">
        <v>0</v>
      </c>
      <c r="T331" s="51" t="n">
        <v>5</v>
      </c>
      <c r="U331" s="51" t="n">
        <v>0</v>
      </c>
      <c r="V331" s="51" t="n">
        <v>0</v>
      </c>
      <c r="W331" s="51" t="n">
        <v>0</v>
      </c>
      <c r="X331" s="51" t="n">
        <v>1.01</v>
      </c>
    </row>
    <row r="332">
      <c r="A332" s="51" t="inlineStr">
        <is>
          <t>Sugarcane</t>
        </is>
      </c>
      <c r="B332" s="51" t="n">
        <v>42.4</v>
      </c>
      <c r="C332" s="51" t="n">
        <v>25.2</v>
      </c>
      <c r="D332" s="51" t="n">
        <v>19.7</v>
      </c>
      <c r="E332" s="51" t="n">
        <v>84.79000000000001</v>
      </c>
      <c r="F332" s="51" t="n">
        <v>2.91</v>
      </c>
      <c r="G332" s="51" t="n">
        <v>11.82</v>
      </c>
      <c r="H332" s="51" t="n">
        <v>49.2</v>
      </c>
      <c r="I332" s="51" t="n">
        <v>43</v>
      </c>
      <c r="J332" s="51" t="n">
        <v>4.69</v>
      </c>
      <c r="K332" s="51" t="n">
        <v>6</v>
      </c>
      <c r="L332" s="51" t="n">
        <v>7</v>
      </c>
      <c r="M332" s="51" t="n">
        <v>1</v>
      </c>
      <c r="N332" s="51" t="n">
        <v>1</v>
      </c>
      <c r="O332" s="51" t="n">
        <v>4</v>
      </c>
      <c r="P332" s="51" t="n">
        <v>120</v>
      </c>
      <c r="Q332" s="51" t="n">
        <v>3</v>
      </c>
      <c r="R332" s="51" t="n">
        <v>1200</v>
      </c>
      <c r="S332" s="51" t="n">
        <v>1</v>
      </c>
      <c r="T332" s="51" t="n">
        <v>2</v>
      </c>
      <c r="U332" s="51" t="n">
        <v>1</v>
      </c>
      <c r="V332" s="51" t="n">
        <v>0</v>
      </c>
      <c r="W332" s="51" t="n">
        <v>0</v>
      </c>
      <c r="X332" s="51" t="n">
        <v>1.04</v>
      </c>
    </row>
    <row r="333">
      <c r="A333" s="51" t="inlineStr">
        <is>
          <t>Sugarcane bagasse</t>
        </is>
      </c>
      <c r="B333" s="51" t="n">
        <v>36.5</v>
      </c>
      <c r="C333" s="51" t="n">
        <v>26</v>
      </c>
      <c r="D333" s="51" t="n">
        <v>18.5</v>
      </c>
      <c r="E333" s="51" t="n">
        <v>83.5</v>
      </c>
      <c r="F333" s="51" t="n">
        <v>4.2</v>
      </c>
      <c r="G333" s="51" t="n">
        <v>12.5</v>
      </c>
      <c r="H333" s="51" t="n">
        <v>43.1</v>
      </c>
      <c r="I333" s="51" t="n">
        <v>51.4</v>
      </c>
      <c r="J333" s="51" t="n">
        <v>5.51</v>
      </c>
      <c r="K333" s="51" t="n">
        <v>6</v>
      </c>
      <c r="L333" s="51" t="n">
        <v>5</v>
      </c>
      <c r="M333" s="51" t="n">
        <v>0</v>
      </c>
      <c r="N333" s="51" t="n">
        <v>1</v>
      </c>
      <c r="O333" s="51" t="n">
        <v>4</v>
      </c>
      <c r="P333" s="51" t="n">
        <v>360</v>
      </c>
      <c r="Q333" s="51" t="n">
        <v>5</v>
      </c>
      <c r="R333" s="51" t="n">
        <v>750</v>
      </c>
      <c r="S333" s="51" t="n">
        <v>0</v>
      </c>
      <c r="T333" s="51" t="n">
        <v>5</v>
      </c>
      <c r="U333" s="51" t="n">
        <v>0</v>
      </c>
      <c r="V333" s="51" t="n">
        <v>0</v>
      </c>
      <c r="W333" s="51" t="n">
        <v>0</v>
      </c>
      <c r="X333" s="51" t="n">
        <v>1.33</v>
      </c>
    </row>
    <row r="334">
      <c r="A334" s="51" t="inlineStr">
        <is>
          <t>Sugarcane bagasse</t>
        </is>
      </c>
      <c r="B334" s="51" t="n">
        <v>36.5</v>
      </c>
      <c r="C334" s="51" t="n">
        <v>26</v>
      </c>
      <c r="D334" s="51" t="n">
        <v>18.5</v>
      </c>
      <c r="E334" s="51" t="n">
        <v>83.5</v>
      </c>
      <c r="F334" s="51" t="n">
        <v>4.2</v>
      </c>
      <c r="G334" s="51" t="n">
        <v>12.5</v>
      </c>
      <c r="H334" s="51" t="n">
        <v>43.1</v>
      </c>
      <c r="I334" s="51" t="n">
        <v>51.4</v>
      </c>
      <c r="J334" s="51" t="n">
        <v>5.51</v>
      </c>
      <c r="K334" s="51" t="n">
        <v>6</v>
      </c>
      <c r="L334" s="51" t="n">
        <v>5</v>
      </c>
      <c r="M334" s="51" t="n">
        <v>0</v>
      </c>
      <c r="N334" s="51" t="n">
        <v>1</v>
      </c>
      <c r="O334" s="51" t="n">
        <v>4</v>
      </c>
      <c r="P334" s="51" t="n">
        <v>360</v>
      </c>
      <c r="Q334" s="51" t="n">
        <v>5</v>
      </c>
      <c r="R334" s="51" t="n">
        <v>850</v>
      </c>
      <c r="S334" s="51" t="n">
        <v>0</v>
      </c>
      <c r="T334" s="51" t="n">
        <v>5</v>
      </c>
      <c r="U334" s="51" t="n">
        <v>0</v>
      </c>
      <c r="V334" s="51" t="n">
        <v>0</v>
      </c>
      <c r="W334" s="51" t="n">
        <v>0</v>
      </c>
      <c r="X334" s="51" t="n">
        <v>1.15</v>
      </c>
    </row>
    <row r="335">
      <c r="A335" s="51" t="inlineStr">
        <is>
          <t>Sugarcane bagasse</t>
        </is>
      </c>
      <c r="B335" s="51" t="n">
        <v>36.5</v>
      </c>
      <c r="C335" s="51" t="n">
        <v>26</v>
      </c>
      <c r="D335" s="51" t="n">
        <v>18.5</v>
      </c>
      <c r="E335" s="51" t="n">
        <v>83.5</v>
      </c>
      <c r="F335" s="51" t="n">
        <v>4.2</v>
      </c>
      <c r="G335" s="51" t="n">
        <v>12.5</v>
      </c>
      <c r="H335" s="51" t="n">
        <v>43.1</v>
      </c>
      <c r="I335" s="51" t="n">
        <v>51.4</v>
      </c>
      <c r="J335" s="51" t="n">
        <v>5.51</v>
      </c>
      <c r="K335" s="51" t="n">
        <v>6</v>
      </c>
      <c r="L335" s="51" t="n">
        <v>5</v>
      </c>
      <c r="M335" s="51" t="n">
        <v>0</v>
      </c>
      <c r="N335" s="51" t="n">
        <v>1</v>
      </c>
      <c r="O335" s="51" t="n">
        <v>4</v>
      </c>
      <c r="P335" s="51" t="n">
        <v>360</v>
      </c>
      <c r="Q335" s="51" t="n">
        <v>5</v>
      </c>
      <c r="R335" s="51" t="n">
        <v>950</v>
      </c>
      <c r="S335" s="51" t="n">
        <v>0</v>
      </c>
      <c r="T335" s="51" t="n">
        <v>5</v>
      </c>
      <c r="U335" s="51" t="n">
        <v>0</v>
      </c>
      <c r="V335" s="51" t="n">
        <v>0</v>
      </c>
      <c r="W335" s="51" t="n">
        <v>0</v>
      </c>
      <c r="X335" s="51" t="n">
        <v>0.86</v>
      </c>
    </row>
    <row r="336">
      <c r="A336" s="51" t="inlineStr">
        <is>
          <t>Sugarcane bagasse</t>
        </is>
      </c>
      <c r="B336" s="51" t="n">
        <v>36.5</v>
      </c>
      <c r="C336" s="51" t="n">
        <v>26</v>
      </c>
      <c r="D336" s="51" t="n">
        <v>18.5</v>
      </c>
      <c r="E336" s="51" t="n">
        <v>83.5</v>
      </c>
      <c r="F336" s="51" t="n">
        <v>4.2</v>
      </c>
      <c r="G336" s="51" t="n">
        <v>12.5</v>
      </c>
      <c r="H336" s="51" t="n">
        <v>43.1</v>
      </c>
      <c r="I336" s="51" t="n">
        <v>51.4</v>
      </c>
      <c r="J336" s="51" t="n">
        <v>5.51</v>
      </c>
      <c r="K336" s="51" t="n">
        <v>6</v>
      </c>
      <c r="L336" s="51" t="n">
        <v>5</v>
      </c>
      <c r="M336" s="51" t="n">
        <v>0</v>
      </c>
      <c r="N336" s="51" t="n">
        <v>1</v>
      </c>
      <c r="O336" s="51" t="n">
        <v>4</v>
      </c>
      <c r="P336" s="51" t="n">
        <v>360</v>
      </c>
      <c r="Q336" s="51" t="n">
        <v>5</v>
      </c>
      <c r="R336" s="51" t="n">
        <v>1050</v>
      </c>
      <c r="S336" s="51" t="n">
        <v>0</v>
      </c>
      <c r="T336" s="51" t="n">
        <v>5</v>
      </c>
      <c r="U336" s="51" t="n">
        <v>0</v>
      </c>
      <c r="V336" s="51" t="n">
        <v>0</v>
      </c>
      <c r="W336" s="51" t="n">
        <v>0</v>
      </c>
      <c r="X336" s="51" t="n">
        <v>0.75</v>
      </c>
    </row>
    <row r="337">
      <c r="A337" s="51" t="inlineStr">
        <is>
          <t>Sugarcane bagasse</t>
        </is>
      </c>
      <c r="B337" s="51" t="n">
        <v>36.5</v>
      </c>
      <c r="C337" s="51" t="n">
        <v>26</v>
      </c>
      <c r="D337" s="51" t="n">
        <v>18.5</v>
      </c>
      <c r="E337" s="51" t="n">
        <v>83.5</v>
      </c>
      <c r="F337" s="51" t="n">
        <v>4.2</v>
      </c>
      <c r="G337" s="51" t="n">
        <v>12.5</v>
      </c>
      <c r="H337" s="51" t="n">
        <v>43.1</v>
      </c>
      <c r="I337" s="51" t="n">
        <v>51.4</v>
      </c>
      <c r="J337" s="51" t="n">
        <v>5.51</v>
      </c>
      <c r="K337" s="51" t="n">
        <v>4</v>
      </c>
      <c r="L337" s="51" t="n">
        <v>1</v>
      </c>
      <c r="M337" s="51" t="n">
        <v>1</v>
      </c>
      <c r="N337" s="51" t="n">
        <v>1</v>
      </c>
      <c r="O337" s="51" t="n">
        <v>4</v>
      </c>
      <c r="P337" s="51" t="n">
        <v>120</v>
      </c>
      <c r="Q337" s="51" t="n">
        <v>3</v>
      </c>
      <c r="R337" s="51" t="n">
        <v>400</v>
      </c>
      <c r="S337" s="51" t="n">
        <v>1</v>
      </c>
      <c r="T337" s="51" t="n">
        <v>5</v>
      </c>
      <c r="U337" s="51" t="n">
        <v>120</v>
      </c>
      <c r="V337" s="51" t="n">
        <v>5</v>
      </c>
      <c r="W337" s="51" t="n">
        <v>1000</v>
      </c>
      <c r="X337" s="51" t="n">
        <v>0.8100000000000001</v>
      </c>
    </row>
    <row r="338">
      <c r="A338" s="51" t="inlineStr">
        <is>
          <t>Sugarcane bagasse</t>
        </is>
      </c>
      <c r="B338" s="51" t="n">
        <v>36.5</v>
      </c>
      <c r="C338" s="51" t="n">
        <v>26</v>
      </c>
      <c r="D338" s="51" t="n">
        <v>18.5</v>
      </c>
      <c r="E338" s="51" t="n">
        <v>83.5</v>
      </c>
      <c r="F338" s="51" t="n">
        <v>4.2</v>
      </c>
      <c r="G338" s="51" t="n">
        <v>12.5</v>
      </c>
      <c r="H338" s="51" t="n">
        <v>43.1</v>
      </c>
      <c r="I338" s="51" t="n">
        <v>51.4</v>
      </c>
      <c r="J338" s="51" t="n">
        <v>5.51</v>
      </c>
      <c r="K338" s="51" t="n">
        <v>4</v>
      </c>
      <c r="L338" s="51" t="n">
        <v>5</v>
      </c>
      <c r="M338" s="51" t="n">
        <v>0</v>
      </c>
      <c r="N338" s="51" t="n">
        <v>1</v>
      </c>
      <c r="O338" s="51" t="n">
        <v>4</v>
      </c>
      <c r="P338" s="51" t="n">
        <v>480</v>
      </c>
      <c r="Q338" s="51" t="n">
        <v>5</v>
      </c>
      <c r="R338" s="51" t="n">
        <v>750</v>
      </c>
      <c r="S338" s="51" t="n">
        <v>0</v>
      </c>
      <c r="T338" s="51" t="n">
        <v>5</v>
      </c>
      <c r="U338" s="51" t="n">
        <v>0</v>
      </c>
      <c r="V338" s="51" t="n">
        <v>0</v>
      </c>
      <c r="W338" s="51" t="n">
        <v>0</v>
      </c>
      <c r="X338" s="51" t="n">
        <v>1.33</v>
      </c>
    </row>
    <row r="339">
      <c r="A339" s="51" t="inlineStr">
        <is>
          <t>Sugarcane bagasse</t>
        </is>
      </c>
      <c r="B339" s="51" t="n">
        <v>36.5</v>
      </c>
      <c r="C339" s="51" t="n">
        <v>26</v>
      </c>
      <c r="D339" s="51" t="n">
        <v>18.5</v>
      </c>
      <c r="E339" s="51" t="n">
        <v>83.5</v>
      </c>
      <c r="F339" s="51" t="n">
        <v>4.2</v>
      </c>
      <c r="G339" s="51" t="n">
        <v>12.5</v>
      </c>
      <c r="H339" s="51" t="n">
        <v>43.1</v>
      </c>
      <c r="I339" s="51" t="n">
        <v>51.4</v>
      </c>
      <c r="J339" s="51" t="n">
        <v>5.51</v>
      </c>
      <c r="K339" s="51" t="n">
        <v>4</v>
      </c>
      <c r="L339" s="51" t="n">
        <v>5</v>
      </c>
      <c r="M339" s="51" t="n">
        <v>0</v>
      </c>
      <c r="N339" s="51" t="n">
        <v>1</v>
      </c>
      <c r="O339" s="51" t="n">
        <v>4</v>
      </c>
      <c r="P339" s="51" t="n">
        <v>480</v>
      </c>
      <c r="Q339" s="51" t="n">
        <v>5</v>
      </c>
      <c r="R339" s="51" t="n">
        <v>1050</v>
      </c>
      <c r="S339" s="51" t="n">
        <v>0</v>
      </c>
      <c r="T339" s="51" t="n">
        <v>5</v>
      </c>
      <c r="U339" s="51" t="n">
        <v>0</v>
      </c>
      <c r="V339" s="51" t="n">
        <v>0</v>
      </c>
      <c r="W339" s="51" t="n">
        <v>0</v>
      </c>
      <c r="X339" s="51" t="n">
        <v>0.75</v>
      </c>
    </row>
    <row r="340">
      <c r="A340" s="51" t="inlineStr">
        <is>
          <t>Switchgrass</t>
        </is>
      </c>
      <c r="B340" s="51" t="n">
        <v>34.44</v>
      </c>
      <c r="C340" s="51" t="n">
        <v>28.84</v>
      </c>
      <c r="D340" s="51" t="n">
        <v>8.84</v>
      </c>
      <c r="E340" s="51" t="n">
        <v>79.76000000000001</v>
      </c>
      <c r="F340" s="51" t="n">
        <v>2.02</v>
      </c>
      <c r="G340" s="51" t="n">
        <v>18.22</v>
      </c>
      <c r="H340" s="51" t="n">
        <v>48.02</v>
      </c>
      <c r="I340" s="51" t="n">
        <v>44.19</v>
      </c>
      <c r="J340" s="51" t="n">
        <v>6.71</v>
      </c>
      <c r="K340" s="51" t="n">
        <v>4</v>
      </c>
      <c r="L340" s="51" t="n">
        <v>5</v>
      </c>
      <c r="M340" s="51" t="n">
        <v>1</v>
      </c>
      <c r="N340" s="51" t="n">
        <v>0</v>
      </c>
      <c r="O340" s="51" t="n">
        <v>4</v>
      </c>
      <c r="P340" s="51" t="n">
        <v>120</v>
      </c>
      <c r="Q340" s="51" t="n">
        <v>8.81070622596363</v>
      </c>
      <c r="R340" s="51" t="n">
        <v>160</v>
      </c>
      <c r="S340" s="51" t="n">
        <v>1</v>
      </c>
      <c r="T340" s="51" t="n">
        <v>5</v>
      </c>
      <c r="U340" s="51" t="n">
        <v>120</v>
      </c>
      <c r="V340" s="51" t="n">
        <v>0</v>
      </c>
      <c r="W340" s="51" t="n">
        <v>1600</v>
      </c>
      <c r="X340" s="51" t="n">
        <v>0.625</v>
      </c>
    </row>
    <row r="341">
      <c r="A341" s="51" t="inlineStr">
        <is>
          <t>Switchgrass</t>
        </is>
      </c>
      <c r="B341" s="51" t="n">
        <v>34.44</v>
      </c>
      <c r="C341" s="51" t="n">
        <v>28.84</v>
      </c>
      <c r="D341" s="51" t="n">
        <v>8.84</v>
      </c>
      <c r="E341" s="51" t="n">
        <v>79.76000000000001</v>
      </c>
      <c r="F341" s="51" t="n">
        <v>2.02</v>
      </c>
      <c r="G341" s="51" t="n">
        <v>18.22</v>
      </c>
      <c r="H341" s="51" t="n">
        <v>48.02</v>
      </c>
      <c r="I341" s="51" t="n">
        <v>44.19</v>
      </c>
      <c r="J341" s="51" t="n">
        <v>6.71</v>
      </c>
      <c r="K341" s="51" t="n">
        <v>4</v>
      </c>
      <c r="L341" s="51" t="n">
        <v>5</v>
      </c>
      <c r="M341" s="51" t="n">
        <v>1</v>
      </c>
      <c r="N341" s="51" t="n">
        <v>0</v>
      </c>
      <c r="O341" s="51" t="n">
        <v>4</v>
      </c>
      <c r="P341" s="51" t="n">
        <v>120</v>
      </c>
      <c r="Q341" s="51" t="n">
        <v>8.800967194493991</v>
      </c>
      <c r="R341" s="51" t="n">
        <v>190</v>
      </c>
      <c r="S341" s="51" t="n">
        <v>1</v>
      </c>
      <c r="T341" s="51" t="n">
        <v>5</v>
      </c>
      <c r="U341" s="51" t="n">
        <v>120</v>
      </c>
      <c r="V341" s="51" t="n">
        <v>0</v>
      </c>
      <c r="W341" s="51" t="n">
        <v>1600</v>
      </c>
      <c r="X341" s="51" t="n">
        <v>0.584795321637427</v>
      </c>
    </row>
    <row r="342">
      <c r="A342" s="51" t="inlineStr">
        <is>
          <t>Switchgrass</t>
        </is>
      </c>
      <c r="B342" s="51" t="n">
        <v>34.44</v>
      </c>
      <c r="C342" s="51" t="n">
        <v>28.84</v>
      </c>
      <c r="D342" s="51" t="n">
        <v>8.84</v>
      </c>
      <c r="E342" s="51" t="n">
        <v>79.76000000000001</v>
      </c>
      <c r="F342" s="51" t="n">
        <v>2.02</v>
      </c>
      <c r="G342" s="51" t="n">
        <v>18.22</v>
      </c>
      <c r="H342" s="51" t="n">
        <v>48.02</v>
      </c>
      <c r="I342" s="51" t="n">
        <v>44.19</v>
      </c>
      <c r="J342" s="51" t="n">
        <v>6.71</v>
      </c>
      <c r="K342" s="51" t="n">
        <v>4</v>
      </c>
      <c r="L342" s="51" t="n">
        <v>5</v>
      </c>
      <c r="M342" s="51" t="n">
        <v>1</v>
      </c>
      <c r="N342" s="51" t="n">
        <v>0</v>
      </c>
      <c r="O342" s="51" t="n">
        <v>4</v>
      </c>
      <c r="P342" s="51" t="n">
        <v>120</v>
      </c>
      <c r="Q342" s="51" t="n">
        <v>8.789432563128971</v>
      </c>
      <c r="R342" s="51" t="n">
        <v>220</v>
      </c>
      <c r="S342" s="51" t="n">
        <v>1</v>
      </c>
      <c r="T342" s="51" t="n">
        <v>5</v>
      </c>
      <c r="U342" s="51" t="n">
        <v>120</v>
      </c>
      <c r="V342" s="51" t="n">
        <v>0</v>
      </c>
      <c r="W342" s="51" t="n">
        <v>1600</v>
      </c>
      <c r="X342" s="51" t="n">
        <v>0.578034682080925</v>
      </c>
    </row>
    <row r="343">
      <c r="A343" s="51" t="inlineStr">
        <is>
          <t>Switchgrass</t>
        </is>
      </c>
      <c r="B343" s="51" t="n">
        <v>34.44</v>
      </c>
      <c r="C343" s="51" t="n">
        <v>28.84</v>
      </c>
      <c r="D343" s="51" t="n">
        <v>8.84</v>
      </c>
      <c r="E343" s="51" t="n">
        <v>79.76000000000001</v>
      </c>
      <c r="F343" s="51" t="n">
        <v>2.02</v>
      </c>
      <c r="G343" s="51" t="n">
        <v>18.22</v>
      </c>
      <c r="H343" s="51" t="n">
        <v>48.02</v>
      </c>
      <c r="I343" s="51" t="n">
        <v>44.19</v>
      </c>
      <c r="J343" s="51" t="n">
        <v>6.71</v>
      </c>
      <c r="K343" s="51" t="n">
        <v>4</v>
      </c>
      <c r="L343" s="51" t="n">
        <v>5</v>
      </c>
      <c r="M343" s="51" t="n">
        <v>0</v>
      </c>
      <c r="N343" s="51" t="n">
        <v>1</v>
      </c>
      <c r="O343" s="51" t="n">
        <v>4</v>
      </c>
      <c r="P343" s="51" t="n">
        <v>120</v>
      </c>
      <c r="Q343" s="51" t="n">
        <v>4.02956718345869</v>
      </c>
      <c r="R343" s="51" t="n">
        <v>1600</v>
      </c>
      <c r="S343" s="51" t="n">
        <v>0</v>
      </c>
      <c r="T343" s="51" t="n">
        <v>5</v>
      </c>
      <c r="U343" s="51" t="n">
        <v>0</v>
      </c>
      <c r="V343" s="51" t="n">
        <v>0</v>
      </c>
      <c r="W343" s="51" t="n">
        <v>0</v>
      </c>
      <c r="X343" s="51" t="n">
        <v>0.6802721088435369</v>
      </c>
    </row>
    <row r="344">
      <c r="A344" s="51" t="inlineStr">
        <is>
          <t>Tamarind fruits</t>
        </is>
      </c>
      <c r="B344" s="51" t="n">
        <v>20</v>
      </c>
      <c r="C344" s="51" t="n">
        <v>14</v>
      </c>
      <c r="D344" s="51" t="n">
        <v>12</v>
      </c>
      <c r="E344" s="51" t="n">
        <v>68</v>
      </c>
      <c r="F344" s="51" t="n">
        <v>1.79</v>
      </c>
      <c r="G344" s="51" t="n">
        <v>26.08</v>
      </c>
      <c r="H344" s="51" t="n">
        <v>46.62</v>
      </c>
      <c r="I344" s="51" t="n">
        <v>42.88</v>
      </c>
      <c r="J344" s="51" t="n">
        <v>5.67</v>
      </c>
      <c r="K344" s="51" t="n">
        <v>6</v>
      </c>
      <c r="L344" s="51" t="n">
        <v>5</v>
      </c>
      <c r="M344" s="51" t="n">
        <v>0</v>
      </c>
      <c r="N344" s="51" t="n">
        <v>1</v>
      </c>
      <c r="O344" s="51" t="n">
        <v>4</v>
      </c>
      <c r="P344" s="51" t="n">
        <v>115.153340061384</v>
      </c>
      <c r="Q344" s="51" t="n">
        <v>5</v>
      </c>
      <c r="R344" s="51" t="n">
        <v>800</v>
      </c>
      <c r="S344" s="51" t="n">
        <v>0</v>
      </c>
      <c r="T344" s="51" t="n">
        <v>5</v>
      </c>
      <c r="U344" s="51" t="n">
        <v>0</v>
      </c>
      <c r="V344" s="51" t="n">
        <v>0</v>
      </c>
      <c r="W344" s="51" t="n">
        <v>0</v>
      </c>
      <c r="X344" s="51" t="n">
        <v>0.61</v>
      </c>
    </row>
    <row r="345">
      <c r="A345" s="51" t="inlineStr">
        <is>
          <t>Tamarind fruits</t>
        </is>
      </c>
      <c r="B345" s="51" t="n">
        <v>20</v>
      </c>
      <c r="C345" s="51" t="n">
        <v>14</v>
      </c>
      <c r="D345" s="51" t="n">
        <v>12</v>
      </c>
      <c r="E345" s="51" t="n">
        <v>68</v>
      </c>
      <c r="F345" s="51" t="n">
        <v>1.79</v>
      </c>
      <c r="G345" s="51" t="n">
        <v>26.08</v>
      </c>
      <c r="H345" s="51" t="n">
        <v>46.62</v>
      </c>
      <c r="I345" s="51" t="n">
        <v>42.88</v>
      </c>
      <c r="J345" s="51" t="n">
        <v>5.67</v>
      </c>
      <c r="K345" s="51" t="n">
        <v>6</v>
      </c>
      <c r="L345" s="51" t="n">
        <v>5</v>
      </c>
      <c r="M345" s="51" t="n">
        <v>0</v>
      </c>
      <c r="N345" s="51" t="n">
        <v>1</v>
      </c>
      <c r="O345" s="51" t="n">
        <v>4</v>
      </c>
      <c r="P345" s="51" t="n">
        <v>120</v>
      </c>
      <c r="Q345" s="51" t="n">
        <v>5</v>
      </c>
      <c r="R345" s="51" t="n">
        <v>1000</v>
      </c>
      <c r="S345" s="51" t="n">
        <v>0</v>
      </c>
      <c r="T345" s="51" t="n">
        <v>5</v>
      </c>
      <c r="U345" s="51" t="n">
        <v>0</v>
      </c>
      <c r="V345" s="51" t="n">
        <v>0</v>
      </c>
      <c r="W345" s="51" t="n">
        <v>0</v>
      </c>
      <c r="X345" s="51" t="n">
        <v>0.6899999999999999</v>
      </c>
    </row>
    <row r="346">
      <c r="A346" s="51" t="inlineStr">
        <is>
          <t>Tamarind fruits</t>
        </is>
      </c>
      <c r="B346" s="51" t="n">
        <v>20</v>
      </c>
      <c r="C346" s="51" t="n">
        <v>14</v>
      </c>
      <c r="D346" s="51" t="n">
        <v>12</v>
      </c>
      <c r="E346" s="51" t="n">
        <v>68</v>
      </c>
      <c r="F346" s="51" t="n">
        <v>1.79</v>
      </c>
      <c r="G346" s="51" t="n">
        <v>26.08</v>
      </c>
      <c r="H346" s="51" t="n">
        <v>46.62</v>
      </c>
      <c r="I346" s="51" t="n">
        <v>42.88</v>
      </c>
      <c r="J346" s="51" t="n">
        <v>5.67</v>
      </c>
      <c r="K346" s="51" t="n">
        <v>6</v>
      </c>
      <c r="L346" s="51" t="n">
        <v>5</v>
      </c>
      <c r="M346" s="51" t="n">
        <v>0</v>
      </c>
      <c r="N346" s="51" t="n">
        <v>1</v>
      </c>
      <c r="O346" s="51" t="n">
        <v>4</v>
      </c>
      <c r="P346" s="51" t="n">
        <v>145.111614066966</v>
      </c>
      <c r="Q346" s="51" t="n">
        <v>5</v>
      </c>
      <c r="R346" s="51" t="n">
        <v>1100</v>
      </c>
      <c r="S346" s="51" t="n">
        <v>0</v>
      </c>
      <c r="T346" s="51" t="n">
        <v>5</v>
      </c>
      <c r="U346" s="51" t="n">
        <v>0</v>
      </c>
      <c r="V346" s="51" t="n">
        <v>0</v>
      </c>
      <c r="W346" s="51" t="n">
        <v>0</v>
      </c>
      <c r="X346" s="51" t="n">
        <v>0.75</v>
      </c>
    </row>
    <row r="347">
      <c r="A347" s="51" t="inlineStr">
        <is>
          <t>Tamarind fruits</t>
        </is>
      </c>
      <c r="B347" s="51" t="n">
        <v>20</v>
      </c>
      <c r="C347" s="51" t="n">
        <v>14</v>
      </c>
      <c r="D347" s="51" t="n">
        <v>12</v>
      </c>
      <c r="E347" s="51" t="n">
        <v>68</v>
      </c>
      <c r="F347" s="51" t="n">
        <v>1.79</v>
      </c>
      <c r="G347" s="51" t="n">
        <v>26.08</v>
      </c>
      <c r="H347" s="51" t="n">
        <v>46.62</v>
      </c>
      <c r="I347" s="51" t="n">
        <v>42.88</v>
      </c>
      <c r="J347" s="51" t="n">
        <v>5.67</v>
      </c>
      <c r="K347" s="51" t="n">
        <v>6</v>
      </c>
      <c r="L347" s="51" t="n">
        <v>5</v>
      </c>
      <c r="M347" s="51" t="n">
        <v>0</v>
      </c>
      <c r="N347" s="51" t="n">
        <v>1</v>
      </c>
      <c r="O347" s="51" t="n">
        <v>4</v>
      </c>
      <c r="P347" s="51" t="n">
        <v>113.596110773381</v>
      </c>
      <c r="Q347" s="51" t="n">
        <v>5</v>
      </c>
      <c r="R347" s="51" t="n">
        <v>1200</v>
      </c>
      <c r="S347" s="51" t="n">
        <v>0</v>
      </c>
      <c r="T347" s="51" t="n">
        <v>5</v>
      </c>
      <c r="U347" s="51" t="n">
        <v>0</v>
      </c>
      <c r="V347" s="51" t="n">
        <v>0</v>
      </c>
      <c r="W347" s="51" t="n">
        <v>0</v>
      </c>
      <c r="X347" s="51" t="n">
        <v>0.78</v>
      </c>
    </row>
    <row r="348">
      <c r="A348" s="51" t="inlineStr">
        <is>
          <t>Tamarind fruits</t>
        </is>
      </c>
      <c r="B348" s="51" t="n">
        <v>20</v>
      </c>
      <c r="C348" s="51" t="n">
        <v>14</v>
      </c>
      <c r="D348" s="51" t="n">
        <v>12</v>
      </c>
      <c r="E348" s="51" t="n">
        <v>68</v>
      </c>
      <c r="F348" s="51" t="n">
        <v>1.79</v>
      </c>
      <c r="G348" s="51" t="n">
        <v>26.08</v>
      </c>
      <c r="H348" s="51" t="n">
        <v>46.62</v>
      </c>
      <c r="I348" s="51" t="n">
        <v>42.88</v>
      </c>
      <c r="J348" s="51" t="n">
        <v>5.67</v>
      </c>
      <c r="K348" s="51" t="n">
        <v>6</v>
      </c>
      <c r="L348" s="51" t="n">
        <v>5</v>
      </c>
      <c r="M348" s="51" t="n">
        <v>0</v>
      </c>
      <c r="N348" s="51" t="n">
        <v>1</v>
      </c>
      <c r="O348" s="51" t="n">
        <v>4</v>
      </c>
      <c r="P348" s="51" t="n">
        <v>113.535596005612</v>
      </c>
      <c r="Q348" s="51" t="n">
        <v>5</v>
      </c>
      <c r="R348" s="51" t="n">
        <v>1300</v>
      </c>
      <c r="S348" s="51" t="n">
        <v>0</v>
      </c>
      <c r="T348" s="51" t="n">
        <v>5</v>
      </c>
      <c r="U348" s="51" t="n">
        <v>0</v>
      </c>
      <c r="V348" s="51" t="n">
        <v>0</v>
      </c>
      <c r="W348" s="51" t="n">
        <v>0</v>
      </c>
      <c r="X348" s="51" t="n">
        <v>0.82</v>
      </c>
    </row>
    <row r="349">
      <c r="A349" s="51" t="inlineStr">
        <is>
          <t>Tamarind fruits</t>
        </is>
      </c>
      <c r="B349" s="51" t="n">
        <v>20</v>
      </c>
      <c r="C349" s="51" t="n">
        <v>14</v>
      </c>
      <c r="D349" s="51" t="n">
        <v>12</v>
      </c>
      <c r="E349" s="51" t="n">
        <v>68</v>
      </c>
      <c r="F349" s="51" t="n">
        <v>1.79</v>
      </c>
      <c r="G349" s="51" t="n">
        <v>26.08</v>
      </c>
      <c r="H349" s="51" t="n">
        <v>46.62</v>
      </c>
      <c r="I349" s="51" t="n">
        <v>42.88</v>
      </c>
      <c r="J349" s="51" t="n">
        <v>5.67</v>
      </c>
      <c r="K349" s="51" t="n">
        <v>6</v>
      </c>
      <c r="L349" s="51" t="n">
        <v>1</v>
      </c>
      <c r="M349" s="51" t="n">
        <v>0</v>
      </c>
      <c r="N349" s="51" t="n">
        <v>1</v>
      </c>
      <c r="O349" s="51" t="n">
        <v>4</v>
      </c>
      <c r="P349" s="51" t="n">
        <v>114.115658494715</v>
      </c>
      <c r="Q349" s="51" t="n">
        <v>5</v>
      </c>
      <c r="R349" s="51" t="n">
        <v>1200</v>
      </c>
      <c r="S349" s="51" t="n">
        <v>0</v>
      </c>
      <c r="T349" s="51" t="n">
        <v>5</v>
      </c>
      <c r="U349" s="51" t="n">
        <v>0</v>
      </c>
      <c r="V349" s="51" t="n">
        <v>0</v>
      </c>
      <c r="W349" s="51" t="n">
        <v>0</v>
      </c>
      <c r="X349" s="51" t="n">
        <v>0.75</v>
      </c>
    </row>
    <row r="350">
      <c r="A350" s="51" t="inlineStr">
        <is>
          <t>Typha</t>
        </is>
      </c>
      <c r="B350" s="51" t="n">
        <v>34.5</v>
      </c>
      <c r="C350" s="51" t="n">
        <v>28</v>
      </c>
      <c r="D350" s="51" t="n">
        <v>8</v>
      </c>
      <c r="E350" s="51" t="n">
        <v>80.05</v>
      </c>
      <c r="F350" s="51" t="n">
        <v>3.81</v>
      </c>
      <c r="G350" s="51" t="n">
        <v>2.18</v>
      </c>
      <c r="H350" s="51" t="n">
        <v>52.89</v>
      </c>
      <c r="I350" s="51" t="n">
        <v>40.04</v>
      </c>
      <c r="J350" s="51" t="n">
        <v>5.84</v>
      </c>
      <c r="K350" s="51" t="n">
        <v>6</v>
      </c>
      <c r="L350" s="51" t="n">
        <v>1</v>
      </c>
      <c r="M350" s="51" t="n">
        <v>0</v>
      </c>
      <c r="N350" s="51" t="n">
        <v>1</v>
      </c>
      <c r="O350" s="51" t="n">
        <v>0</v>
      </c>
      <c r="P350" s="51" t="n">
        <v>130.336473395505</v>
      </c>
      <c r="Q350" s="51" t="n">
        <v>3.03193589190343</v>
      </c>
      <c r="R350" s="51" t="n">
        <v>500</v>
      </c>
      <c r="S350" s="51" t="n">
        <v>0</v>
      </c>
      <c r="T350" s="51" t="n">
        <v>5</v>
      </c>
      <c r="U350" s="51" t="n">
        <v>0</v>
      </c>
      <c r="V350" s="51" t="n">
        <v>0</v>
      </c>
      <c r="W350" s="51" t="n">
        <v>0</v>
      </c>
      <c r="X350" s="51" t="n">
        <v>0.43</v>
      </c>
    </row>
    <row r="351">
      <c r="A351" s="51" t="inlineStr">
        <is>
          <t>Vine Shoots</t>
        </is>
      </c>
      <c r="B351" s="51" t="n">
        <v>31.9</v>
      </c>
      <c r="C351" s="51" t="n">
        <v>23.2</v>
      </c>
      <c r="D351" s="51" t="n">
        <v>38.5</v>
      </c>
      <c r="E351" s="51" t="n">
        <v>71.40000000000001</v>
      </c>
      <c r="F351" s="51" t="n">
        <v>3.7</v>
      </c>
      <c r="G351" s="51" t="n">
        <v>14.6</v>
      </c>
      <c r="H351" s="51" t="n">
        <v>41.8</v>
      </c>
      <c r="I351" s="51" t="n">
        <v>51.6</v>
      </c>
      <c r="J351" s="51" t="n">
        <v>5.87</v>
      </c>
      <c r="K351" s="51" t="n">
        <v>4</v>
      </c>
      <c r="L351" s="51" t="n">
        <v>1</v>
      </c>
      <c r="M351" s="51" t="n">
        <v>1</v>
      </c>
      <c r="N351" s="51" t="n">
        <v>0</v>
      </c>
      <c r="O351" s="51" t="n">
        <v>4</v>
      </c>
      <c r="P351" s="51" t="n">
        <v>720</v>
      </c>
      <c r="Q351" s="51" t="n">
        <v>5</v>
      </c>
      <c r="R351" s="51" t="n">
        <v>180</v>
      </c>
      <c r="S351" s="51" t="n">
        <v>1</v>
      </c>
      <c r="T351" s="51" t="n">
        <v>5</v>
      </c>
      <c r="U351" s="51" t="n">
        <v>120</v>
      </c>
      <c r="V351" s="51" t="n">
        <v>5</v>
      </c>
      <c r="W351" s="51" t="n">
        <v>800</v>
      </c>
      <c r="X351" s="51" t="n">
        <v>0.124177325220415</v>
      </c>
    </row>
    <row r="352">
      <c r="A352" s="51" t="inlineStr">
        <is>
          <t>Vine Shoots</t>
        </is>
      </c>
      <c r="B352" s="51" t="n">
        <v>31.9</v>
      </c>
      <c r="C352" s="51" t="n">
        <v>23.2</v>
      </c>
      <c r="D352" s="51" t="n">
        <v>38.5</v>
      </c>
      <c r="E352" s="51" t="n">
        <v>71.40000000000001</v>
      </c>
      <c r="F352" s="51" t="n">
        <v>3.7</v>
      </c>
      <c r="G352" s="51" t="n">
        <v>14.6</v>
      </c>
      <c r="H352" s="51" t="n">
        <v>41.8</v>
      </c>
      <c r="I352" s="51" t="n">
        <v>51.6</v>
      </c>
      <c r="J352" s="51" t="n">
        <v>5.87</v>
      </c>
      <c r="K352" s="51" t="n">
        <v>4</v>
      </c>
      <c r="L352" s="51" t="n">
        <v>1</v>
      </c>
      <c r="M352" s="51" t="n">
        <v>1</v>
      </c>
      <c r="N352" s="51" t="n">
        <v>0</v>
      </c>
      <c r="O352" s="51" t="n">
        <v>4</v>
      </c>
      <c r="P352" s="51" t="n">
        <v>720</v>
      </c>
      <c r="Q352" s="51" t="n">
        <v>5</v>
      </c>
      <c r="R352" s="51" t="n">
        <v>180</v>
      </c>
      <c r="S352" s="51" t="n">
        <v>1</v>
      </c>
      <c r="T352" s="51" t="n">
        <v>5</v>
      </c>
      <c r="U352" s="51" t="n">
        <v>120</v>
      </c>
      <c r="V352" s="51" t="n">
        <v>5</v>
      </c>
      <c r="W352" s="51" t="n">
        <v>1000</v>
      </c>
      <c r="X352" s="51" t="n">
        <v>0.175777816839515</v>
      </c>
    </row>
    <row r="353">
      <c r="A353" s="51" t="inlineStr">
        <is>
          <t>Vine Shoots</t>
        </is>
      </c>
      <c r="B353" s="51" t="n">
        <v>31.9</v>
      </c>
      <c r="C353" s="51" t="n">
        <v>23.2</v>
      </c>
      <c r="D353" s="51" t="n">
        <v>38.5</v>
      </c>
      <c r="E353" s="51" t="n">
        <v>71.40000000000001</v>
      </c>
      <c r="F353" s="51" t="n">
        <v>3.7</v>
      </c>
      <c r="G353" s="51" t="n">
        <v>14.6</v>
      </c>
      <c r="H353" s="51" t="n">
        <v>41.8</v>
      </c>
      <c r="I353" s="51" t="n">
        <v>51.6</v>
      </c>
      <c r="J353" s="51" t="n">
        <v>5.87</v>
      </c>
      <c r="K353" s="51" t="n">
        <v>4</v>
      </c>
      <c r="L353" s="51" t="n">
        <v>1</v>
      </c>
      <c r="M353" s="51" t="n">
        <v>1</v>
      </c>
      <c r="N353" s="51" t="n">
        <v>0</v>
      </c>
      <c r="O353" s="51" t="n">
        <v>4</v>
      </c>
      <c r="P353" s="51" t="n">
        <v>720</v>
      </c>
      <c r="Q353" s="51" t="n">
        <v>5</v>
      </c>
      <c r="R353" s="51" t="n">
        <v>180</v>
      </c>
      <c r="S353" s="51" t="n">
        <v>1</v>
      </c>
      <c r="T353" s="51" t="n">
        <v>5</v>
      </c>
      <c r="U353" s="51" t="n">
        <v>120</v>
      </c>
      <c r="V353" s="51" t="n">
        <v>5</v>
      </c>
      <c r="W353" s="51" t="n">
        <v>1200</v>
      </c>
      <c r="X353" s="51" t="n">
        <v>0.229885057471264</v>
      </c>
    </row>
    <row r="354">
      <c r="A354" s="51" t="inlineStr">
        <is>
          <t>Walnut shell</t>
        </is>
      </c>
      <c r="B354" s="51" t="n">
        <v>42.36</v>
      </c>
      <c r="C354" s="51" t="n">
        <v>10.26</v>
      </c>
      <c r="D354" s="51" t="n">
        <v>27.19</v>
      </c>
      <c r="E354" s="51" t="n">
        <v>71.52</v>
      </c>
      <c r="F354" s="51" t="n">
        <v>1.65</v>
      </c>
      <c r="G354" s="51" t="n">
        <v>19.33</v>
      </c>
      <c r="H354" s="51" t="n">
        <v>46.65</v>
      </c>
      <c r="I354" s="51" t="n">
        <v>47.54</v>
      </c>
      <c r="J354" s="51" t="n">
        <v>5.8</v>
      </c>
      <c r="K354" s="51" t="n">
        <v>6</v>
      </c>
      <c r="L354" s="51" t="n">
        <v>7</v>
      </c>
      <c r="M354" s="51" t="n">
        <v>0</v>
      </c>
      <c r="N354" s="51" t="n">
        <v>1</v>
      </c>
      <c r="O354" s="51" t="n">
        <v>4</v>
      </c>
      <c r="P354" s="51" t="n">
        <v>360</v>
      </c>
      <c r="Q354" s="51" t="n">
        <v>5</v>
      </c>
      <c r="R354" s="51" t="n">
        <v>1000</v>
      </c>
      <c r="S354" s="51" t="n">
        <v>0</v>
      </c>
      <c r="T354" s="51" t="n">
        <v>5</v>
      </c>
      <c r="U354" s="51" t="n">
        <v>0</v>
      </c>
      <c r="V354" s="51" t="n">
        <v>0</v>
      </c>
      <c r="W354" s="51" t="n">
        <v>0</v>
      </c>
      <c r="X354" s="51" t="n">
        <v>0.42</v>
      </c>
    </row>
    <row r="355">
      <c r="A355" s="51" t="inlineStr">
        <is>
          <t>Walnut shell</t>
        </is>
      </c>
      <c r="B355" s="51" t="n">
        <v>42.36</v>
      </c>
      <c r="C355" s="51" t="n">
        <v>10.26</v>
      </c>
      <c r="D355" s="51" t="n">
        <v>27.19</v>
      </c>
      <c r="E355" s="51" t="n">
        <v>71.52</v>
      </c>
      <c r="F355" s="51" t="n">
        <v>1.65</v>
      </c>
      <c r="G355" s="51" t="n">
        <v>19.33</v>
      </c>
      <c r="H355" s="51" t="n">
        <v>46.65</v>
      </c>
      <c r="I355" s="51" t="n">
        <v>47.54</v>
      </c>
      <c r="J355" s="51" t="n">
        <v>5.8</v>
      </c>
      <c r="K355" s="51" t="n">
        <v>5</v>
      </c>
      <c r="L355" s="51" t="n">
        <v>5</v>
      </c>
      <c r="M355" s="51" t="n">
        <v>0</v>
      </c>
      <c r="N355" s="51" t="n">
        <v>1</v>
      </c>
      <c r="O355" s="51" t="n">
        <v>4</v>
      </c>
      <c r="P355" s="51" t="n">
        <v>120</v>
      </c>
      <c r="Q355" s="51" t="n">
        <v>5</v>
      </c>
      <c r="R355" s="51" t="n">
        <v>1300</v>
      </c>
      <c r="S355" s="51" t="n">
        <v>0</v>
      </c>
      <c r="T355" s="51" t="n">
        <v>5</v>
      </c>
      <c r="U355" s="51" t="n">
        <v>0</v>
      </c>
      <c r="V355" s="51" t="n">
        <v>0</v>
      </c>
      <c r="W355" s="51" t="n">
        <v>0</v>
      </c>
      <c r="X355" s="51" t="n">
        <v>0.632911392405063</v>
      </c>
    </row>
    <row r="356">
      <c r="A356" s="51" t="inlineStr">
        <is>
          <t>Walnut shell</t>
        </is>
      </c>
      <c r="B356" s="51" t="n">
        <v>42.36</v>
      </c>
      <c r="C356" s="51" t="n">
        <v>10.26</v>
      </c>
      <c r="D356" s="51" t="n">
        <v>27.19</v>
      </c>
      <c r="E356" s="51" t="n">
        <v>71.52</v>
      </c>
      <c r="F356" s="51" t="n">
        <v>1.65</v>
      </c>
      <c r="G356" s="51" t="n">
        <v>19.33</v>
      </c>
      <c r="H356" s="51" t="n">
        <v>46.65</v>
      </c>
      <c r="I356" s="51" t="n">
        <v>47.54</v>
      </c>
      <c r="J356" s="51" t="n">
        <v>5.8</v>
      </c>
      <c r="K356" s="51" t="n">
        <v>4</v>
      </c>
      <c r="L356" s="51" t="n">
        <v>2</v>
      </c>
      <c r="M356" s="51" t="n">
        <v>0</v>
      </c>
      <c r="N356" s="51" t="n">
        <v>1</v>
      </c>
      <c r="O356" s="51" t="n">
        <v>4</v>
      </c>
      <c r="P356" s="51" t="n">
        <v>300</v>
      </c>
      <c r="Q356" s="51" t="n">
        <v>5</v>
      </c>
      <c r="R356" s="51" t="n">
        <v>600</v>
      </c>
      <c r="S356" s="51" t="n">
        <v>0</v>
      </c>
      <c r="T356" s="51" t="n">
        <v>5</v>
      </c>
      <c r="U356" s="51" t="n">
        <v>0</v>
      </c>
      <c r="V356" s="51" t="n">
        <v>0</v>
      </c>
      <c r="W356" s="51" t="n">
        <v>0</v>
      </c>
      <c r="X356" s="51" t="n">
        <v>0.9</v>
      </c>
    </row>
    <row r="357">
      <c r="A357" s="51" t="inlineStr">
        <is>
          <t>Walnut shell</t>
        </is>
      </c>
      <c r="B357" s="51" t="n">
        <v>42.36</v>
      </c>
      <c r="C357" s="51" t="n">
        <v>10.26</v>
      </c>
      <c r="D357" s="51" t="n">
        <v>27.19</v>
      </c>
      <c r="E357" s="51" t="n">
        <v>71.52</v>
      </c>
      <c r="F357" s="51" t="n">
        <v>1.65</v>
      </c>
      <c r="G357" s="51" t="n">
        <v>19.33</v>
      </c>
      <c r="H357" s="51" t="n">
        <v>46.65</v>
      </c>
      <c r="I357" s="51" t="n">
        <v>47.54</v>
      </c>
      <c r="J357" s="51" t="n">
        <v>5.8</v>
      </c>
      <c r="K357" s="51" t="n">
        <v>4</v>
      </c>
      <c r="L357" s="51" t="n">
        <v>2</v>
      </c>
      <c r="M357" s="51" t="n">
        <v>0</v>
      </c>
      <c r="N357" s="51" t="n">
        <v>1</v>
      </c>
      <c r="O357" s="51" t="n">
        <v>4</v>
      </c>
      <c r="P357" s="51" t="n">
        <v>300</v>
      </c>
      <c r="Q357" s="51" t="n">
        <v>5</v>
      </c>
      <c r="R357" s="51" t="n">
        <v>800</v>
      </c>
      <c r="S357" s="51" t="n">
        <v>0</v>
      </c>
      <c r="T357" s="51" t="n">
        <v>5</v>
      </c>
      <c r="U357" s="51" t="n">
        <v>0</v>
      </c>
      <c r="V357" s="51" t="n">
        <v>0</v>
      </c>
      <c r="W357" s="51" t="n">
        <v>0</v>
      </c>
      <c r="X357" s="51" t="n">
        <v>1.07</v>
      </c>
    </row>
    <row r="358">
      <c r="A358" s="51" t="inlineStr">
        <is>
          <t>Walnut shell</t>
        </is>
      </c>
      <c r="B358" s="51" t="n">
        <v>42.36</v>
      </c>
      <c r="C358" s="51" t="n">
        <v>10.26</v>
      </c>
      <c r="D358" s="51" t="n">
        <v>27.19</v>
      </c>
      <c r="E358" s="51" t="n">
        <v>71.52</v>
      </c>
      <c r="F358" s="51" t="n">
        <v>1.65</v>
      </c>
      <c r="G358" s="51" t="n">
        <v>19.33</v>
      </c>
      <c r="H358" s="51" t="n">
        <v>46.65</v>
      </c>
      <c r="I358" s="51" t="n">
        <v>47.54</v>
      </c>
      <c r="J358" s="51" t="n">
        <v>5.8</v>
      </c>
      <c r="K358" s="51" t="n">
        <v>4</v>
      </c>
      <c r="L358" s="51" t="n">
        <v>2</v>
      </c>
      <c r="M358" s="51" t="n">
        <v>0</v>
      </c>
      <c r="N358" s="51" t="n">
        <v>1</v>
      </c>
      <c r="O358" s="51" t="n">
        <v>4</v>
      </c>
      <c r="P358" s="51" t="n">
        <v>300</v>
      </c>
      <c r="Q358" s="51" t="n">
        <v>5</v>
      </c>
      <c r="R358" s="51" t="n">
        <v>1000</v>
      </c>
      <c r="S358" s="51" t="n">
        <v>0</v>
      </c>
      <c r="T358" s="51" t="n">
        <v>5</v>
      </c>
      <c r="U358" s="51" t="n">
        <v>0</v>
      </c>
      <c r="V358" s="51" t="n">
        <v>0</v>
      </c>
      <c r="W358" s="51" t="n">
        <v>0</v>
      </c>
      <c r="X358" s="51" t="n">
        <v>1.23</v>
      </c>
    </row>
    <row r="359">
      <c r="A359" s="51" t="inlineStr">
        <is>
          <t>Walnut shell</t>
        </is>
      </c>
      <c r="B359" s="51" t="n">
        <v>42.36</v>
      </c>
      <c r="C359" s="51" t="n">
        <v>10.26</v>
      </c>
      <c r="D359" s="51" t="n">
        <v>27.19</v>
      </c>
      <c r="E359" s="51" t="n">
        <v>71.52</v>
      </c>
      <c r="F359" s="51" t="n">
        <v>1.65</v>
      </c>
      <c r="G359" s="51" t="n">
        <v>19.33</v>
      </c>
      <c r="H359" s="51" t="n">
        <v>46.65</v>
      </c>
      <c r="I359" s="51" t="n">
        <v>47.54</v>
      </c>
      <c r="J359" s="51" t="n">
        <v>5.8</v>
      </c>
      <c r="K359" s="51" t="n">
        <v>4</v>
      </c>
      <c r="L359" s="51" t="n">
        <v>2</v>
      </c>
      <c r="M359" s="51" t="n">
        <v>0</v>
      </c>
      <c r="N359" s="51" t="n">
        <v>1</v>
      </c>
      <c r="O359" s="51" t="n">
        <v>4</v>
      </c>
      <c r="P359" s="51" t="n">
        <v>300</v>
      </c>
      <c r="Q359" s="51" t="n">
        <v>5</v>
      </c>
      <c r="R359" s="51" t="n">
        <v>1200</v>
      </c>
      <c r="S359" s="51" t="n">
        <v>0</v>
      </c>
      <c r="T359" s="51" t="n">
        <v>5</v>
      </c>
      <c r="U359" s="51" t="n">
        <v>0</v>
      </c>
      <c r="V359" s="51" t="n">
        <v>0</v>
      </c>
      <c r="W359" s="51" t="n">
        <v>0</v>
      </c>
      <c r="X359" s="51" t="n">
        <v>1.17</v>
      </c>
    </row>
    <row r="360">
      <c r="A360" s="51" t="inlineStr">
        <is>
          <t>Walnut shell</t>
        </is>
      </c>
      <c r="B360" s="51" t="n">
        <v>42.36</v>
      </c>
      <c r="C360" s="51" t="n">
        <v>10.26</v>
      </c>
      <c r="D360" s="51" t="n">
        <v>27.19</v>
      </c>
      <c r="E360" s="51" t="n">
        <v>71.52</v>
      </c>
      <c r="F360" s="51" t="n">
        <v>1.65</v>
      </c>
      <c r="G360" s="51" t="n">
        <v>19.33</v>
      </c>
      <c r="H360" s="51" t="n">
        <v>46.65</v>
      </c>
      <c r="I360" s="51" t="n">
        <v>47.54</v>
      </c>
      <c r="J360" s="51" t="n">
        <v>5.8</v>
      </c>
      <c r="K360" s="51" t="n">
        <v>4</v>
      </c>
      <c r="L360" s="51" t="n">
        <v>3</v>
      </c>
      <c r="M360" s="51" t="n">
        <v>0</v>
      </c>
      <c r="N360" s="51" t="n">
        <v>1</v>
      </c>
      <c r="O360" s="51" t="n">
        <v>4</v>
      </c>
      <c r="P360" s="51" t="n">
        <v>300</v>
      </c>
      <c r="Q360" s="51" t="n">
        <v>5</v>
      </c>
      <c r="R360" s="51" t="n">
        <v>1300</v>
      </c>
      <c r="S360" s="51" t="n">
        <v>0</v>
      </c>
      <c r="T360" s="51" t="n">
        <v>5</v>
      </c>
      <c r="U360" s="51" t="n">
        <v>0</v>
      </c>
      <c r="V360" s="51" t="n">
        <v>0</v>
      </c>
      <c r="W360" s="51" t="n">
        <v>0</v>
      </c>
      <c r="X360" s="51" t="n">
        <v>0.5376344086021509</v>
      </c>
    </row>
    <row r="361">
      <c r="A361" s="51" t="inlineStr">
        <is>
          <t>Walnut shells</t>
        </is>
      </c>
      <c r="B361" s="51" t="n">
        <v>42.36</v>
      </c>
      <c r="C361" s="51" t="n">
        <v>10.26</v>
      </c>
      <c r="D361" s="51" t="n">
        <v>27.19</v>
      </c>
      <c r="E361" s="51" t="n">
        <v>71.52</v>
      </c>
      <c r="F361" s="51" t="n">
        <v>1.65</v>
      </c>
      <c r="G361" s="51" t="n">
        <v>19.33</v>
      </c>
      <c r="H361" s="51" t="n">
        <v>46.65</v>
      </c>
      <c r="I361" s="51" t="n">
        <v>47.54</v>
      </c>
      <c r="J361" s="51" t="n">
        <v>5.8</v>
      </c>
      <c r="K361" s="51" t="n">
        <v>1</v>
      </c>
      <c r="L361" s="51" t="n">
        <v>5</v>
      </c>
      <c r="M361" s="51" t="n">
        <v>0</v>
      </c>
      <c r="N361" s="51" t="n">
        <v>1</v>
      </c>
      <c r="O361" s="51" t="n">
        <v>4</v>
      </c>
      <c r="P361" s="51" t="n">
        <v>120</v>
      </c>
      <c r="Q361" s="51" t="n">
        <v>5</v>
      </c>
      <c r="R361" s="51" t="n">
        <v>1400</v>
      </c>
      <c r="S361" s="51" t="n">
        <v>0</v>
      </c>
      <c r="T361" s="51" t="n">
        <v>5</v>
      </c>
      <c r="U361" s="51" t="n">
        <v>0</v>
      </c>
      <c r="V361" s="51" t="n">
        <v>0</v>
      </c>
      <c r="W361" s="51" t="n">
        <v>0</v>
      </c>
      <c r="X361" s="51" t="n">
        <v>0.606060606060606</v>
      </c>
    </row>
    <row r="362">
      <c r="A362" s="51" t="inlineStr">
        <is>
          <t>Walnut shells</t>
        </is>
      </c>
      <c r="B362" s="51" t="n">
        <v>42.36</v>
      </c>
      <c r="C362" s="51" t="n">
        <v>10.26</v>
      </c>
      <c r="D362" s="51" t="n">
        <v>27.19</v>
      </c>
      <c r="E362" s="51" t="n">
        <v>71.52</v>
      </c>
      <c r="F362" s="51" t="n">
        <v>1.65</v>
      </c>
      <c r="G362" s="51" t="n">
        <v>19.33</v>
      </c>
      <c r="H362" s="51" t="n">
        <v>46.65</v>
      </c>
      <c r="I362" s="51" t="n">
        <v>47.54</v>
      </c>
      <c r="J362" s="51" t="n">
        <v>5.8</v>
      </c>
      <c r="K362" s="51" t="n">
        <v>4</v>
      </c>
      <c r="L362" s="51" t="n">
        <v>1</v>
      </c>
      <c r="M362" s="51" t="n">
        <v>0</v>
      </c>
      <c r="N362" s="51" t="n">
        <v>1</v>
      </c>
      <c r="O362" s="51" t="n">
        <v>4</v>
      </c>
      <c r="P362" s="51" t="n">
        <v>60</v>
      </c>
      <c r="Q362" s="51" t="n">
        <v>5</v>
      </c>
      <c r="R362" s="51" t="n">
        <v>1300</v>
      </c>
      <c r="S362" s="51" t="n">
        <v>0</v>
      </c>
      <c r="T362" s="51" t="n">
        <v>5</v>
      </c>
      <c r="U362" s="51" t="n">
        <v>0</v>
      </c>
      <c r="V362" s="51" t="n">
        <v>0</v>
      </c>
      <c r="W362" s="51" t="n">
        <v>0</v>
      </c>
      <c r="X362" s="51" t="n">
        <v>0.5494505494505491</v>
      </c>
    </row>
    <row r="363">
      <c r="A363" s="51" t="inlineStr">
        <is>
          <t>Waste bagasse</t>
        </is>
      </c>
      <c r="B363" s="51" t="n">
        <v>36.5</v>
      </c>
      <c r="C363" s="51" t="n">
        <v>26</v>
      </c>
      <c r="D363" s="51" t="n">
        <v>18.5</v>
      </c>
      <c r="E363" s="51" t="n">
        <v>83.5</v>
      </c>
      <c r="F363" s="51" t="n">
        <v>4.2</v>
      </c>
      <c r="G363" s="51" t="n">
        <v>12.5</v>
      </c>
      <c r="H363" s="51" t="n">
        <v>43.1</v>
      </c>
      <c r="I363" s="51" t="n">
        <v>51.4</v>
      </c>
      <c r="J363" s="51" t="n">
        <v>5.51</v>
      </c>
      <c r="K363" s="51" t="n">
        <v>6</v>
      </c>
      <c r="L363" s="51" t="n">
        <v>6</v>
      </c>
      <c r="M363" s="51" t="n">
        <v>0</v>
      </c>
      <c r="N363" s="51" t="n">
        <v>1</v>
      </c>
      <c r="O363" s="51" t="n">
        <v>4</v>
      </c>
      <c r="P363" s="51" t="n">
        <v>120</v>
      </c>
      <c r="Q363" s="51" t="n">
        <v>5</v>
      </c>
      <c r="R363" s="51" t="n">
        <v>900</v>
      </c>
      <c r="S363" s="51" t="n">
        <v>0</v>
      </c>
      <c r="T363" s="51" t="n">
        <v>5</v>
      </c>
      <c r="U363" s="51" t="n">
        <v>0</v>
      </c>
      <c r="V363" s="51" t="n">
        <v>0</v>
      </c>
      <c r="W363" s="51" t="n">
        <v>0</v>
      </c>
      <c r="X363" s="51" t="n">
        <v>0.581395348837209</v>
      </c>
    </row>
    <row r="364">
      <c r="A364" s="51" t="inlineStr">
        <is>
          <t>Waste bagasse</t>
        </is>
      </c>
      <c r="B364" s="51" t="n">
        <v>36.5</v>
      </c>
      <c r="C364" s="51" t="n">
        <v>26</v>
      </c>
      <c r="D364" s="51" t="n">
        <v>18.5</v>
      </c>
      <c r="E364" s="51" t="n">
        <v>83.5</v>
      </c>
      <c r="F364" s="51" t="n">
        <v>4.2</v>
      </c>
      <c r="G364" s="51" t="n">
        <v>12.5</v>
      </c>
      <c r="H364" s="51" t="n">
        <v>43.1</v>
      </c>
      <c r="I364" s="51" t="n">
        <v>51.4</v>
      </c>
      <c r="J364" s="51" t="n">
        <v>5.51</v>
      </c>
      <c r="K364" s="51" t="n">
        <v>6</v>
      </c>
      <c r="L364" s="51" t="n">
        <v>6</v>
      </c>
      <c r="M364" s="51" t="n">
        <v>0</v>
      </c>
      <c r="N364" s="51" t="n">
        <v>1</v>
      </c>
      <c r="O364" s="51" t="n">
        <v>4</v>
      </c>
      <c r="P364" s="51" t="n">
        <v>120</v>
      </c>
      <c r="Q364" s="51" t="n">
        <v>5</v>
      </c>
      <c r="R364" s="51" t="n">
        <v>1000</v>
      </c>
      <c r="S364" s="51" t="n">
        <v>0</v>
      </c>
      <c r="T364" s="51" t="n">
        <v>5</v>
      </c>
      <c r="U364" s="51" t="n">
        <v>0</v>
      </c>
      <c r="V364" s="51" t="n">
        <v>0</v>
      </c>
      <c r="W364" s="51" t="n">
        <v>0</v>
      </c>
      <c r="X364" s="51" t="n">
        <v>0.72463768115942</v>
      </c>
    </row>
    <row r="365">
      <c r="A365" s="51" t="inlineStr">
        <is>
          <t>Waste bagasse</t>
        </is>
      </c>
      <c r="B365" s="51" t="n">
        <v>36.5</v>
      </c>
      <c r="C365" s="51" t="n">
        <v>26</v>
      </c>
      <c r="D365" s="51" t="n">
        <v>18.5</v>
      </c>
      <c r="E365" s="51" t="n">
        <v>83.5</v>
      </c>
      <c r="F365" s="51" t="n">
        <v>4.2</v>
      </c>
      <c r="G365" s="51" t="n">
        <v>12.5</v>
      </c>
      <c r="H365" s="51" t="n">
        <v>43.1</v>
      </c>
      <c r="I365" s="51" t="n">
        <v>51.4</v>
      </c>
      <c r="J365" s="51" t="n">
        <v>5.51</v>
      </c>
      <c r="K365" s="51" t="n">
        <v>6</v>
      </c>
      <c r="L365" s="51" t="n">
        <v>6</v>
      </c>
      <c r="M365" s="51" t="n">
        <v>0</v>
      </c>
      <c r="N365" s="51" t="n">
        <v>1</v>
      </c>
      <c r="O365" s="51" t="n">
        <v>4</v>
      </c>
      <c r="P365" s="51" t="n">
        <v>120</v>
      </c>
      <c r="Q365" s="51" t="n">
        <v>5</v>
      </c>
      <c r="R365" s="51" t="n">
        <v>1100</v>
      </c>
      <c r="S365" s="51" t="n">
        <v>0</v>
      </c>
      <c r="T365" s="51" t="n">
        <v>5</v>
      </c>
      <c r="U365" s="51" t="n">
        <v>0</v>
      </c>
      <c r="V365" s="51" t="n">
        <v>0</v>
      </c>
      <c r="W365" s="51" t="n">
        <v>0</v>
      </c>
      <c r="X365" s="51" t="n">
        <v>0.72992700729927</v>
      </c>
    </row>
    <row r="366">
      <c r="A366" s="51" t="inlineStr">
        <is>
          <t>Water caltrop</t>
        </is>
      </c>
      <c r="B366" s="51" t="n">
        <v>34.55</v>
      </c>
      <c r="C366" s="51" t="n">
        <v>12.78</v>
      </c>
      <c r="D366" s="51" t="n">
        <v>22</v>
      </c>
      <c r="E366" s="51" t="n">
        <v>71</v>
      </c>
      <c r="F366" s="51" t="n">
        <v>6.32</v>
      </c>
      <c r="G366" s="51" t="n">
        <v>13.58</v>
      </c>
      <c r="H366" s="51" t="n">
        <v>40.05</v>
      </c>
      <c r="I366" s="51" t="n">
        <v>45.49</v>
      </c>
      <c r="J366" s="51" t="n">
        <v>6.13</v>
      </c>
      <c r="K366" s="51" t="n">
        <v>5</v>
      </c>
      <c r="L366" s="51" t="n">
        <v>1</v>
      </c>
      <c r="M366" s="51" t="n">
        <v>0</v>
      </c>
      <c r="N366" s="51" t="n">
        <v>1</v>
      </c>
      <c r="O366" s="51" t="n">
        <v>4</v>
      </c>
      <c r="P366" s="51" t="n">
        <v>180</v>
      </c>
      <c r="Q366" s="51" t="n">
        <v>5</v>
      </c>
      <c r="R366" s="51" t="n">
        <v>900</v>
      </c>
      <c r="S366" s="51" t="n">
        <v>0</v>
      </c>
      <c r="T366" s="51" t="n">
        <v>5</v>
      </c>
      <c r="U366" s="51" t="n">
        <v>0</v>
      </c>
      <c r="V366" s="51" t="n">
        <v>0</v>
      </c>
      <c r="W366" s="51" t="n">
        <v>0</v>
      </c>
      <c r="X366" s="51" t="n">
        <v>0.12</v>
      </c>
    </row>
    <row r="367">
      <c r="A367" s="51" t="inlineStr">
        <is>
          <t>Water caltrop</t>
        </is>
      </c>
      <c r="B367" s="51" t="n">
        <v>34.55</v>
      </c>
      <c r="C367" s="51" t="n">
        <v>12.78</v>
      </c>
      <c r="D367" s="51" t="n">
        <v>22</v>
      </c>
      <c r="E367" s="51" t="n">
        <v>71</v>
      </c>
      <c r="F367" s="51" t="n">
        <v>6.32</v>
      </c>
      <c r="G367" s="51" t="n">
        <v>13.58</v>
      </c>
      <c r="H367" s="51" t="n">
        <v>40.05</v>
      </c>
      <c r="I367" s="51" t="n">
        <v>45.49</v>
      </c>
      <c r="J367" s="51" t="n">
        <v>6.13</v>
      </c>
      <c r="K367" s="51" t="n">
        <v>5</v>
      </c>
      <c r="L367" s="51" t="n">
        <v>1</v>
      </c>
      <c r="M367" s="51" t="n">
        <v>0</v>
      </c>
      <c r="N367" s="51" t="n">
        <v>1</v>
      </c>
      <c r="O367" s="51" t="n">
        <v>4</v>
      </c>
      <c r="P367" s="51" t="n">
        <v>180</v>
      </c>
      <c r="Q367" s="51" t="n">
        <v>5</v>
      </c>
      <c r="R367" s="51" t="n">
        <v>1100</v>
      </c>
      <c r="S367" s="51" t="n">
        <v>0</v>
      </c>
      <c r="T367" s="51" t="n">
        <v>5</v>
      </c>
      <c r="U367" s="51" t="n">
        <v>0</v>
      </c>
      <c r="V367" s="51" t="n">
        <v>0</v>
      </c>
      <c r="W367" s="51" t="n">
        <v>0</v>
      </c>
      <c r="X367" s="51" t="n">
        <v>0.29</v>
      </c>
    </row>
    <row r="368">
      <c r="A368" s="51" t="inlineStr">
        <is>
          <t>Water caltrop</t>
        </is>
      </c>
      <c r="B368" s="51" t="n">
        <v>34.55</v>
      </c>
      <c r="C368" s="51" t="n">
        <v>12.78</v>
      </c>
      <c r="D368" s="51" t="n">
        <v>22</v>
      </c>
      <c r="E368" s="51" t="n">
        <v>71</v>
      </c>
      <c r="F368" s="51" t="n">
        <v>6.32</v>
      </c>
      <c r="G368" s="51" t="n">
        <v>13.58</v>
      </c>
      <c r="H368" s="51" t="n">
        <v>40.05</v>
      </c>
      <c r="I368" s="51" t="n">
        <v>45.49</v>
      </c>
      <c r="J368" s="51" t="n">
        <v>6.13</v>
      </c>
      <c r="K368" s="51" t="n">
        <v>5</v>
      </c>
      <c r="L368" s="51" t="n">
        <v>1</v>
      </c>
      <c r="M368" s="51" t="n">
        <v>0</v>
      </c>
      <c r="N368" s="51" t="n">
        <v>1</v>
      </c>
      <c r="O368" s="51" t="n">
        <v>4</v>
      </c>
      <c r="P368" s="51" t="n">
        <v>180</v>
      </c>
      <c r="Q368" s="51" t="n">
        <v>5</v>
      </c>
      <c r="R368" s="51" t="n">
        <v>1300</v>
      </c>
      <c r="S368" s="51" t="n">
        <v>0</v>
      </c>
      <c r="T368" s="51" t="n">
        <v>5</v>
      </c>
      <c r="U368" s="51" t="n">
        <v>0</v>
      </c>
      <c r="V368" s="51" t="n">
        <v>0</v>
      </c>
      <c r="W368" s="51" t="n">
        <v>0</v>
      </c>
      <c r="X368" s="51" t="n">
        <v>0.43</v>
      </c>
    </row>
    <row r="369">
      <c r="A369" s="51" t="inlineStr">
        <is>
          <t>Water caltrop</t>
        </is>
      </c>
      <c r="B369" s="51" t="n">
        <v>34.55</v>
      </c>
      <c r="C369" s="51" t="n">
        <v>12.78</v>
      </c>
      <c r="D369" s="51" t="n">
        <v>22</v>
      </c>
      <c r="E369" s="51" t="n">
        <v>71</v>
      </c>
      <c r="F369" s="51" t="n">
        <v>6.32</v>
      </c>
      <c r="G369" s="51" t="n">
        <v>13.58</v>
      </c>
      <c r="H369" s="51" t="n">
        <v>40.05</v>
      </c>
      <c r="I369" s="51" t="n">
        <v>45.49</v>
      </c>
      <c r="J369" s="51" t="n">
        <v>6.13</v>
      </c>
      <c r="K369" s="51" t="n">
        <v>5</v>
      </c>
      <c r="L369" s="51" t="n">
        <v>1</v>
      </c>
      <c r="M369" s="51" t="n">
        <v>0</v>
      </c>
      <c r="N369" s="51" t="n">
        <v>1</v>
      </c>
      <c r="O369" s="51" t="n">
        <v>4</v>
      </c>
      <c r="P369" s="51" t="n">
        <v>180</v>
      </c>
      <c r="Q369" s="51" t="n">
        <v>5</v>
      </c>
      <c r="R369" s="51" t="n">
        <v>1500</v>
      </c>
      <c r="S369" s="51" t="n">
        <v>0</v>
      </c>
      <c r="T369" s="51" t="n">
        <v>5</v>
      </c>
      <c r="U369" s="51" t="n">
        <v>0</v>
      </c>
      <c r="V369" s="51" t="n">
        <v>0</v>
      </c>
      <c r="W369" s="51" t="n">
        <v>0</v>
      </c>
      <c r="X369" s="51" t="n">
        <v>0.61</v>
      </c>
    </row>
    <row r="370">
      <c r="A370" s="51" t="inlineStr">
        <is>
          <t>Wheat straw</t>
        </is>
      </c>
      <c r="B370" s="51" t="n">
        <v>57.09</v>
      </c>
      <c r="C370" s="51" t="n">
        <v>16.81</v>
      </c>
      <c r="D370" s="51" t="n">
        <v>19.1</v>
      </c>
      <c r="E370" s="51" t="n">
        <v>68.23</v>
      </c>
      <c r="F370" s="51" t="n">
        <v>17.04</v>
      </c>
      <c r="G370" s="51" t="n">
        <v>14.72</v>
      </c>
      <c r="H370" s="51" t="n">
        <v>37.2</v>
      </c>
      <c r="I370" s="51" t="n">
        <v>37.3</v>
      </c>
      <c r="J370" s="51" t="n">
        <v>5.57</v>
      </c>
      <c r="K370" s="51" t="n">
        <v>4</v>
      </c>
      <c r="L370" s="51" t="n">
        <v>5</v>
      </c>
      <c r="M370" s="51" t="n">
        <v>0</v>
      </c>
      <c r="N370" s="51" t="n">
        <v>1</v>
      </c>
      <c r="O370" s="51" t="n">
        <v>4</v>
      </c>
      <c r="P370" s="51" t="n">
        <v>60</v>
      </c>
      <c r="Q370" s="51" t="n">
        <v>3.3</v>
      </c>
      <c r="R370" s="51" t="n">
        <v>1000</v>
      </c>
      <c r="S370" s="51" t="n">
        <v>0</v>
      </c>
      <c r="T370" s="51" t="n">
        <v>5</v>
      </c>
      <c r="U370" s="51" t="n">
        <v>0</v>
      </c>
      <c r="V370" s="51" t="n">
        <v>0</v>
      </c>
      <c r="W370" s="51" t="n">
        <v>0</v>
      </c>
      <c r="X370" s="51" t="n">
        <v>0.467289719626168</v>
      </c>
    </row>
    <row r="371">
      <c r="A371" s="51" t="inlineStr">
        <is>
          <t>Wheat straw</t>
        </is>
      </c>
      <c r="B371" s="51" t="n">
        <v>57.09</v>
      </c>
      <c r="C371" s="51" t="n">
        <v>16.81</v>
      </c>
      <c r="D371" s="51" t="n">
        <v>19.1</v>
      </c>
      <c r="E371" s="51" t="n">
        <v>68.23</v>
      </c>
      <c r="F371" s="51" t="n">
        <v>17.04</v>
      </c>
      <c r="G371" s="51" t="n">
        <v>14.72</v>
      </c>
      <c r="H371" s="51" t="n">
        <v>37.2</v>
      </c>
      <c r="I371" s="51" t="n">
        <v>37.3</v>
      </c>
      <c r="J371" s="51" t="n">
        <v>5.57</v>
      </c>
      <c r="K371" s="51" t="n">
        <v>4</v>
      </c>
      <c r="L371" s="51" t="n">
        <v>5</v>
      </c>
      <c r="M371" s="51" t="n">
        <v>0</v>
      </c>
      <c r="N371" s="51" t="n">
        <v>1</v>
      </c>
      <c r="O371" s="51" t="n">
        <v>4</v>
      </c>
      <c r="P371" s="51" t="n">
        <v>60</v>
      </c>
      <c r="Q371" s="51" t="n">
        <v>3.3</v>
      </c>
      <c r="R371" s="51" t="n">
        <v>1200</v>
      </c>
      <c r="S371" s="51" t="n">
        <v>0</v>
      </c>
      <c r="T371" s="51" t="n">
        <v>5</v>
      </c>
      <c r="U371" s="51" t="n">
        <v>0</v>
      </c>
      <c r="V371" s="51" t="n">
        <v>0</v>
      </c>
      <c r="W371" s="51" t="n">
        <v>0</v>
      </c>
      <c r="X371" s="51" t="n">
        <v>0.396825396825397</v>
      </c>
    </row>
    <row r="372">
      <c r="A372" s="51" t="inlineStr">
        <is>
          <t>Wheat straw</t>
        </is>
      </c>
      <c r="B372" s="51" t="n">
        <v>57.09</v>
      </c>
      <c r="C372" s="51" t="n">
        <v>16.81</v>
      </c>
      <c r="D372" s="51" t="n">
        <v>19.1</v>
      </c>
      <c r="E372" s="51" t="n">
        <v>68.23</v>
      </c>
      <c r="F372" s="51" t="n">
        <v>17.04</v>
      </c>
      <c r="G372" s="51" t="n">
        <v>14.72</v>
      </c>
      <c r="H372" s="51" t="n">
        <v>37.2</v>
      </c>
      <c r="I372" s="51" t="n">
        <v>37.3</v>
      </c>
      <c r="J372" s="51" t="n">
        <v>5.57</v>
      </c>
      <c r="K372" s="51" t="n">
        <v>4</v>
      </c>
      <c r="L372" s="51" t="n">
        <v>5</v>
      </c>
      <c r="M372" s="51" t="n">
        <v>0</v>
      </c>
      <c r="N372" s="51" t="n">
        <v>1</v>
      </c>
      <c r="O372" s="51" t="n">
        <v>4</v>
      </c>
      <c r="P372" s="51" t="n">
        <v>60</v>
      </c>
      <c r="Q372" s="51" t="n">
        <v>3.3</v>
      </c>
      <c r="R372" s="51" t="n">
        <v>1400</v>
      </c>
      <c r="S372" s="51" t="n">
        <v>0</v>
      </c>
      <c r="T372" s="51" t="n">
        <v>5</v>
      </c>
      <c r="U372" s="51" t="n">
        <v>0</v>
      </c>
      <c r="V372" s="51" t="n">
        <v>0</v>
      </c>
      <c r="W372" s="51" t="n">
        <v>0</v>
      </c>
      <c r="X372" s="51" t="n">
        <v>0.555555555555556</v>
      </c>
    </row>
    <row r="373">
      <c r="A373" s="51" t="inlineStr">
        <is>
          <t>Wheat straw</t>
        </is>
      </c>
      <c r="B373" s="51" t="n">
        <v>57.09</v>
      </c>
      <c r="C373" s="51" t="n">
        <v>16.81</v>
      </c>
      <c r="D373" s="51" t="n">
        <v>19.1</v>
      </c>
      <c r="E373" s="51" t="n">
        <v>68.23</v>
      </c>
      <c r="F373" s="51" t="n">
        <v>17.04</v>
      </c>
      <c r="G373" s="51" t="n">
        <v>14.72</v>
      </c>
      <c r="H373" s="51" t="n">
        <v>37.2</v>
      </c>
      <c r="I373" s="51" t="n">
        <v>37.3</v>
      </c>
      <c r="J373" s="51" t="n">
        <v>5.57</v>
      </c>
      <c r="K373" s="51" t="n">
        <v>5</v>
      </c>
      <c r="L373" s="51" t="n">
        <v>1</v>
      </c>
      <c r="M373" s="51" t="n">
        <v>0</v>
      </c>
      <c r="N373" s="51" t="n">
        <v>1</v>
      </c>
      <c r="O373" s="51" t="n">
        <v>0</v>
      </c>
      <c r="P373" s="51" t="n">
        <v>120</v>
      </c>
      <c r="Q373" s="51" t="n">
        <v>2</v>
      </c>
      <c r="R373" s="51" t="n">
        <v>900</v>
      </c>
      <c r="S373" s="51" t="n">
        <v>0</v>
      </c>
      <c r="T373" s="51" t="n">
        <v>5</v>
      </c>
      <c r="U373" s="51" t="n">
        <v>0</v>
      </c>
      <c r="V373" s="51" t="n">
        <v>0</v>
      </c>
      <c r="W373" s="51" t="n">
        <v>0</v>
      </c>
      <c r="X373" s="51" t="n">
        <v>0.91</v>
      </c>
    </row>
    <row r="374">
      <c r="A374" s="51" t="inlineStr">
        <is>
          <t>Wheat straw</t>
        </is>
      </c>
      <c r="B374" s="51" t="n">
        <v>57.09</v>
      </c>
      <c r="C374" s="51" t="n">
        <v>16.81</v>
      </c>
      <c r="D374" s="51" t="n">
        <v>19.1</v>
      </c>
      <c r="E374" s="51" t="n">
        <v>68.23</v>
      </c>
      <c r="F374" s="51" t="n">
        <v>17.04</v>
      </c>
      <c r="G374" s="51" t="n">
        <v>14.72</v>
      </c>
      <c r="H374" s="51" t="n">
        <v>37.2</v>
      </c>
      <c r="I374" s="51" t="n">
        <v>37.3</v>
      </c>
      <c r="J374" s="51" t="n">
        <v>5.57</v>
      </c>
      <c r="K374" s="51" t="n">
        <v>5</v>
      </c>
      <c r="L374" s="51" t="n">
        <v>1</v>
      </c>
      <c r="M374" s="51" t="n">
        <v>0</v>
      </c>
      <c r="N374" s="51" t="n">
        <v>1</v>
      </c>
      <c r="O374" s="51" t="n">
        <v>0</v>
      </c>
      <c r="P374" s="51" t="n">
        <v>120</v>
      </c>
      <c r="Q374" s="51" t="n">
        <v>2</v>
      </c>
      <c r="R374" s="51" t="n">
        <v>1200</v>
      </c>
      <c r="S374" s="51" t="n">
        <v>0</v>
      </c>
      <c r="T374" s="51" t="n">
        <v>5</v>
      </c>
      <c r="U374" s="51" t="n">
        <v>0</v>
      </c>
      <c r="V374" s="51" t="n">
        <v>0</v>
      </c>
      <c r="W374" s="51" t="n">
        <v>0</v>
      </c>
      <c r="X374" s="51" t="n">
        <v>0.98</v>
      </c>
    </row>
    <row r="375">
      <c r="A375" s="51" t="inlineStr">
        <is>
          <t>Wheat straw</t>
        </is>
      </c>
      <c r="B375" s="51" t="n">
        <v>57.09</v>
      </c>
      <c r="C375" s="51" t="n">
        <v>16.81</v>
      </c>
      <c r="D375" s="51" t="n">
        <v>19.1</v>
      </c>
      <c r="E375" s="51" t="n">
        <v>68.23</v>
      </c>
      <c r="F375" s="51" t="n">
        <v>17.04</v>
      </c>
      <c r="G375" s="51" t="n">
        <v>14.72</v>
      </c>
      <c r="H375" s="51" t="n">
        <v>37.2</v>
      </c>
      <c r="I375" s="51" t="n">
        <v>37.3</v>
      </c>
      <c r="J375" s="51" t="n">
        <v>5.57</v>
      </c>
      <c r="K375" s="51" t="n">
        <v>1</v>
      </c>
      <c r="L375" s="51" t="n">
        <v>5</v>
      </c>
      <c r="M375" s="51" t="n">
        <v>0</v>
      </c>
      <c r="N375" s="51" t="n">
        <v>1</v>
      </c>
      <c r="O375" s="51" t="n">
        <v>4</v>
      </c>
      <c r="P375" s="51" t="n">
        <v>120</v>
      </c>
      <c r="Q375" s="51" t="n">
        <v>5</v>
      </c>
      <c r="R375" s="51" t="n">
        <v>1400</v>
      </c>
      <c r="S375" s="51" t="n">
        <v>0</v>
      </c>
      <c r="T375" s="51" t="n">
        <v>5</v>
      </c>
      <c r="U375" s="51" t="n">
        <v>0</v>
      </c>
      <c r="V375" s="51" t="n">
        <v>0</v>
      </c>
      <c r="W375" s="51" t="n">
        <v>0</v>
      </c>
      <c r="X375" s="51" t="n">
        <v>0.588235294117647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0"/>
  <sheetViews>
    <sheetView tabSelected="1" zoomScale="109" workbookViewId="0">
      <selection activeCell="Y1" sqref="Y1:Y1048576"/>
    </sheetView>
  </sheetViews>
  <sheetFormatPr baseColWidth="8" defaultRowHeight="14.4"/>
  <cols>
    <col width="24.6640625" customWidth="1" style="54" min="1" max="1"/>
    <col width="10.6640625" customWidth="1" style="54" min="2" max="2"/>
    <col width="16" customWidth="1" style="54" min="3" max="3"/>
    <col width="8.109375" customWidth="1" style="54" min="4" max="4"/>
    <col width="16.44140625" customWidth="1" style="54" min="5" max="5"/>
    <col width="6.6640625" customWidth="1" style="54" min="6" max="6"/>
    <col width="14.5546875" customWidth="1" style="54" min="7" max="7"/>
    <col width="9.21875" customWidth="1" style="54" min="8" max="8"/>
    <col width="9.44140625" customWidth="1" style="54" min="9" max="9"/>
    <col width="11.5546875" customWidth="1" style="54" min="10" max="10"/>
    <col width="8.77734375" customWidth="1" style="54" min="11" max="11"/>
    <col width="9.6640625" customWidth="1" style="54" min="12" max="12"/>
    <col width="5.77734375" customWidth="1" style="54" min="13" max="13"/>
    <col width="11.6640625" customWidth="1" style="54" min="14" max="14"/>
    <col width="12.6640625" customWidth="1" style="54" min="15" max="15"/>
    <col width="8.77734375" customWidth="1" style="54" min="16" max="16"/>
    <col width="15.5546875" customWidth="1" style="54" min="17" max="17"/>
    <col width="16.21875" customWidth="1" style="54" min="18" max="18"/>
    <col width="11.6640625" customWidth="1" style="54" min="19" max="19"/>
    <col width="12.6640625" customWidth="1" style="54" min="20" max="20"/>
    <col width="8.77734375" customWidth="1" style="54" min="21" max="21"/>
    <col width="15.5546875" customWidth="1" style="54" min="22" max="22"/>
    <col width="16.21875" customWidth="1" style="54" min="23" max="23"/>
    <col width="8.6640625" customWidth="1" style="54" min="24" max="24"/>
  </cols>
  <sheetData>
    <row r="1">
      <c r="A1" s="50" t="inlineStr">
        <is>
          <t>Biomass</t>
        </is>
      </c>
      <c r="B1" s="50" t="inlineStr">
        <is>
          <t>Cellulose%</t>
        </is>
      </c>
      <c r="C1" s="50" t="inlineStr">
        <is>
          <t>Hemi-cellulose%</t>
        </is>
      </c>
      <c r="D1" s="50" t="inlineStr">
        <is>
          <t>Lignin%</t>
        </is>
      </c>
      <c r="E1" s="50" t="inlineStr">
        <is>
          <t>Volatile Matter%</t>
        </is>
      </c>
      <c r="F1" s="50" t="inlineStr">
        <is>
          <t>Ash%</t>
        </is>
      </c>
      <c r="G1" s="50" t="inlineStr">
        <is>
          <t>Fixed Carbon%</t>
        </is>
      </c>
      <c r="H1" s="50" t="inlineStr">
        <is>
          <t>Carbon%</t>
        </is>
      </c>
      <c r="I1" s="50" t="inlineStr">
        <is>
          <t>Oxygen%</t>
        </is>
      </c>
      <c r="J1" s="50" t="inlineStr">
        <is>
          <t>Hydrogen%</t>
        </is>
      </c>
      <c r="K1" s="50" t="inlineStr">
        <is>
          <t>Prewash</t>
        </is>
      </c>
      <c r="L1" s="50" t="inlineStr">
        <is>
          <t>Postwash</t>
        </is>
      </c>
      <c r="M1" s="50" t="inlineStr">
        <is>
          <t>Type</t>
        </is>
      </c>
      <c r="N1" s="50" t="inlineStr">
        <is>
          <t>Method_01</t>
        </is>
      </c>
      <c r="O1" s="50" t="inlineStr">
        <is>
          <t>Activator_01</t>
        </is>
      </c>
      <c r="P1" s="50" t="inlineStr">
        <is>
          <t>Time_01</t>
        </is>
      </c>
      <c r="Q1" s="50" t="inlineStr">
        <is>
          <t>Heating rate_01</t>
        </is>
      </c>
      <c r="R1" s="50" t="inlineStr">
        <is>
          <t>Temperature_01</t>
        </is>
      </c>
      <c r="S1" s="50" t="inlineStr">
        <is>
          <t>Method_02</t>
        </is>
      </c>
      <c r="T1" s="50" t="inlineStr">
        <is>
          <t>Activator_02</t>
        </is>
      </c>
      <c r="U1" s="50" t="inlineStr">
        <is>
          <t>Time_02</t>
        </is>
      </c>
      <c r="V1" s="50" t="inlineStr">
        <is>
          <t>Heating rate_02</t>
        </is>
      </c>
      <c r="W1" s="50" t="inlineStr">
        <is>
          <t>Temperature_02</t>
        </is>
      </c>
      <c r="X1" s="50" t="inlineStr">
        <is>
          <t>SSA</t>
        </is>
      </c>
    </row>
    <row r="2">
      <c r="A2" s="54" t="inlineStr">
        <is>
          <t>Alkali Lignin</t>
        </is>
      </c>
      <c r="B2" s="54" t="n">
        <v>0</v>
      </c>
      <c r="C2" s="54" t="n">
        <v>0</v>
      </c>
      <c r="D2" s="54" t="n">
        <v>100</v>
      </c>
      <c r="E2" s="54" t="n">
        <v>69.8579239847755</v>
      </c>
      <c r="F2" s="54" t="n">
        <v>4.94781727212417</v>
      </c>
      <c r="G2" s="54" t="n">
        <v>16.076674759216</v>
      </c>
      <c r="H2" s="54" t="n">
        <v>44.5879430901932</v>
      </c>
      <c r="I2" s="54" t="n">
        <v>45.6598323074117</v>
      </c>
      <c r="J2" s="54" t="n">
        <v>5.92693408428134</v>
      </c>
      <c r="K2" s="54" t="n">
        <v>4</v>
      </c>
      <c r="L2" s="54" t="n">
        <v>5</v>
      </c>
      <c r="M2" s="54" t="n">
        <v>0</v>
      </c>
      <c r="N2" s="54" t="n">
        <v>1</v>
      </c>
      <c r="O2" s="54" t="n">
        <v>4</v>
      </c>
      <c r="P2" s="54" t="n">
        <v>180</v>
      </c>
      <c r="Q2" s="54" t="n">
        <v>2</v>
      </c>
      <c r="R2" s="54" t="n">
        <v>1300</v>
      </c>
      <c r="S2" s="54" t="n">
        <v>0</v>
      </c>
      <c r="T2" s="54" t="n">
        <v>5</v>
      </c>
      <c r="U2" s="54" t="n">
        <v>0</v>
      </c>
      <c r="V2" s="54" t="n">
        <v>0</v>
      </c>
      <c r="W2" s="54" t="n">
        <v>0</v>
      </c>
      <c r="X2" s="54" t="n">
        <v>2.51</v>
      </c>
    </row>
    <row r="3">
      <c r="A3" s="54" t="inlineStr">
        <is>
          <t>Alkali Lignin</t>
        </is>
      </c>
      <c r="B3" s="54" t="n">
        <v>0</v>
      </c>
      <c r="C3" s="54" t="n">
        <v>0</v>
      </c>
      <c r="D3" s="54" t="n">
        <v>100</v>
      </c>
      <c r="E3" s="54" t="n">
        <v>69.85842871168531</v>
      </c>
      <c r="F3" s="54" t="n">
        <v>4.94574417149182</v>
      </c>
      <c r="G3" s="54" t="n">
        <v>16.07903591724</v>
      </c>
      <c r="H3" s="54" t="n">
        <v>44.5881495477857</v>
      </c>
      <c r="I3" s="54" t="n">
        <v>45.658593215157</v>
      </c>
      <c r="J3" s="54" t="n">
        <v>5.92703919362299</v>
      </c>
      <c r="K3" s="54" t="n">
        <v>4</v>
      </c>
      <c r="L3" s="54" t="n">
        <v>5</v>
      </c>
      <c r="M3" s="54" t="n">
        <v>0</v>
      </c>
      <c r="N3" s="54" t="n">
        <v>1</v>
      </c>
      <c r="O3" s="54" t="n">
        <v>4</v>
      </c>
      <c r="P3" s="54" t="n">
        <v>180</v>
      </c>
      <c r="Q3" s="54" t="n">
        <v>2</v>
      </c>
      <c r="R3" s="54" t="n">
        <v>1300</v>
      </c>
      <c r="S3" s="54" t="n">
        <v>0</v>
      </c>
      <c r="T3" s="54" t="n">
        <v>5</v>
      </c>
      <c r="U3" s="54" t="n">
        <v>0</v>
      </c>
      <c r="V3" s="54" t="n">
        <v>0</v>
      </c>
      <c r="W3" s="54" t="n">
        <v>0</v>
      </c>
      <c r="X3" s="54" t="n">
        <v>1.72</v>
      </c>
    </row>
    <row r="4">
      <c r="A4" s="54" t="inlineStr">
        <is>
          <t>Almond shell</t>
        </is>
      </c>
      <c r="B4" s="54" t="n">
        <v>38.47</v>
      </c>
      <c r="C4" s="54" t="n">
        <v>28.82</v>
      </c>
      <c r="D4" s="54" t="n">
        <v>29.54</v>
      </c>
      <c r="E4" s="54" t="n">
        <v>75.73</v>
      </c>
      <c r="F4" s="54" t="n">
        <v>12.48</v>
      </c>
      <c r="G4" s="54" t="n">
        <v>11.14</v>
      </c>
      <c r="H4" s="54" t="n">
        <v>42.92</v>
      </c>
      <c r="I4" s="54" t="n">
        <v>50.56</v>
      </c>
      <c r="J4" s="54" t="n">
        <v>5.8</v>
      </c>
      <c r="K4" s="54" t="n">
        <v>1</v>
      </c>
      <c r="L4" s="54" t="n">
        <v>5</v>
      </c>
      <c r="M4" s="54" t="n">
        <v>1</v>
      </c>
      <c r="N4" s="54" t="n">
        <v>1</v>
      </c>
      <c r="O4" s="54" t="n">
        <v>4</v>
      </c>
      <c r="P4" s="54" t="n">
        <v>120</v>
      </c>
      <c r="Q4" s="54" t="n">
        <v>5</v>
      </c>
      <c r="R4" s="54" t="n">
        <v>600</v>
      </c>
      <c r="S4" s="54" t="n">
        <v>1</v>
      </c>
      <c r="T4" s="54" t="n">
        <v>5</v>
      </c>
      <c r="U4" s="54" t="n">
        <v>180</v>
      </c>
      <c r="V4" s="54" t="n">
        <v>5</v>
      </c>
      <c r="W4" s="54" t="n">
        <v>1300</v>
      </c>
      <c r="X4" s="54" t="n">
        <v>62.29</v>
      </c>
    </row>
    <row r="5">
      <c r="A5" s="54" t="inlineStr">
        <is>
          <t>Almond shell</t>
        </is>
      </c>
      <c r="B5" s="54" t="n">
        <v>38.47</v>
      </c>
      <c r="C5" s="54" t="n">
        <v>28.82</v>
      </c>
      <c r="D5" s="54" t="n">
        <v>29.54</v>
      </c>
      <c r="E5" s="54" t="n">
        <v>75.73</v>
      </c>
      <c r="F5" s="54" t="n">
        <v>12.48</v>
      </c>
      <c r="G5" s="54" t="n">
        <v>11.14</v>
      </c>
      <c r="H5" s="54" t="n">
        <v>42.92</v>
      </c>
      <c r="I5" s="54" t="n">
        <v>50.56</v>
      </c>
      <c r="J5" s="54" t="n">
        <v>5.8</v>
      </c>
      <c r="K5" s="54" t="n">
        <v>1</v>
      </c>
      <c r="L5" s="54" t="n">
        <v>5</v>
      </c>
      <c r="M5" s="54" t="n">
        <v>1</v>
      </c>
      <c r="N5" s="54" t="n">
        <v>1</v>
      </c>
      <c r="O5" s="54" t="n">
        <v>4</v>
      </c>
      <c r="P5" s="54" t="n">
        <v>120</v>
      </c>
      <c r="Q5" s="54" t="n">
        <v>5</v>
      </c>
      <c r="R5" s="54" t="n">
        <v>600</v>
      </c>
      <c r="S5" s="54" t="n">
        <v>1</v>
      </c>
      <c r="T5" s="54" t="n">
        <v>5</v>
      </c>
      <c r="U5" s="54" t="n">
        <v>180</v>
      </c>
      <c r="V5" s="54" t="n">
        <v>5</v>
      </c>
      <c r="W5" s="54" t="n">
        <v>1300</v>
      </c>
      <c r="X5" s="54" t="n">
        <v>48.17</v>
      </c>
    </row>
    <row r="6">
      <c r="A6" s="54" t="inlineStr">
        <is>
          <t>Almond shell</t>
        </is>
      </c>
      <c r="B6" s="54" t="n">
        <v>38.47</v>
      </c>
      <c r="C6" s="54" t="n">
        <v>28.82</v>
      </c>
      <c r="D6" s="54" t="n">
        <v>29.54</v>
      </c>
      <c r="E6" s="54" t="n">
        <v>75.73</v>
      </c>
      <c r="F6" s="54" t="n">
        <v>12.48</v>
      </c>
      <c r="G6" s="54" t="n">
        <v>11.14</v>
      </c>
      <c r="H6" s="54" t="n">
        <v>42.92</v>
      </c>
      <c r="I6" s="54" t="n">
        <v>50.56</v>
      </c>
      <c r="J6" s="54" t="n">
        <v>5.8</v>
      </c>
      <c r="K6" s="54" t="n">
        <v>1</v>
      </c>
      <c r="L6" s="54" t="n">
        <v>5</v>
      </c>
      <c r="M6" s="54" t="n">
        <v>0</v>
      </c>
      <c r="N6" s="54" t="n">
        <v>1</v>
      </c>
      <c r="O6" s="54" t="n">
        <v>4</v>
      </c>
      <c r="P6" s="54" t="n">
        <v>360</v>
      </c>
      <c r="Q6" s="54" t="n">
        <v>13</v>
      </c>
      <c r="R6" s="54" t="n">
        <v>1000</v>
      </c>
      <c r="S6" s="54" t="n">
        <v>0</v>
      </c>
      <c r="T6" s="54" t="n">
        <v>5</v>
      </c>
      <c r="U6" s="54" t="n">
        <v>0</v>
      </c>
      <c r="V6" s="54" t="n">
        <v>0</v>
      </c>
      <c r="W6" s="54" t="n">
        <v>0</v>
      </c>
      <c r="X6" s="54" t="n">
        <v>21</v>
      </c>
    </row>
    <row r="7">
      <c r="A7" s="54" t="inlineStr">
        <is>
          <t>Almond shell</t>
        </is>
      </c>
      <c r="B7" s="54" t="n">
        <v>38.47</v>
      </c>
      <c r="C7" s="54" t="n">
        <v>28.82</v>
      </c>
      <c r="D7" s="54" t="n">
        <v>29.54</v>
      </c>
      <c r="E7" s="54" t="n">
        <v>75.73</v>
      </c>
      <c r="F7" s="54" t="n">
        <v>12.48</v>
      </c>
      <c r="G7" s="54" t="n">
        <v>11.14</v>
      </c>
      <c r="H7" s="54" t="n">
        <v>42.92</v>
      </c>
      <c r="I7" s="54" t="n">
        <v>50.56</v>
      </c>
      <c r="J7" s="54" t="n">
        <v>5.8</v>
      </c>
      <c r="K7" s="54" t="n">
        <v>1</v>
      </c>
      <c r="L7" s="54" t="n">
        <v>5</v>
      </c>
      <c r="M7" s="54" t="n">
        <v>1</v>
      </c>
      <c r="N7" s="54" t="n">
        <v>1</v>
      </c>
      <c r="O7" s="54" t="n">
        <v>4</v>
      </c>
      <c r="P7" s="54" t="n">
        <v>120</v>
      </c>
      <c r="Q7" s="54" t="n">
        <v>5</v>
      </c>
      <c r="R7" s="54" t="n">
        <v>600</v>
      </c>
      <c r="S7" s="54" t="n">
        <v>1</v>
      </c>
      <c r="T7" s="54" t="n">
        <v>5</v>
      </c>
      <c r="U7" s="54" t="n">
        <v>180</v>
      </c>
      <c r="V7" s="54" t="n">
        <v>5</v>
      </c>
      <c r="W7" s="54" t="n">
        <v>1300</v>
      </c>
      <c r="X7" s="54" t="n">
        <v>1.66</v>
      </c>
    </row>
    <row r="8">
      <c r="A8" s="54" t="inlineStr">
        <is>
          <t>Almond shell</t>
        </is>
      </c>
      <c r="B8" s="54" t="n">
        <v>38.47</v>
      </c>
      <c r="C8" s="54" t="n">
        <v>28.82</v>
      </c>
      <c r="D8" s="54" t="n">
        <v>29.54</v>
      </c>
      <c r="E8" s="54" t="n">
        <v>75.73</v>
      </c>
      <c r="F8" s="54" t="n">
        <v>12.48</v>
      </c>
      <c r="G8" s="54" t="n">
        <v>11.14</v>
      </c>
      <c r="H8" s="54" t="n">
        <v>42.92</v>
      </c>
      <c r="I8" s="54" t="n">
        <v>50.56</v>
      </c>
      <c r="J8" s="54" t="n">
        <v>5.8</v>
      </c>
      <c r="K8" s="54" t="n">
        <v>1</v>
      </c>
      <c r="L8" s="54" t="n">
        <v>5</v>
      </c>
      <c r="M8" s="54" t="n">
        <v>1</v>
      </c>
      <c r="N8" s="54" t="n">
        <v>1</v>
      </c>
      <c r="O8" s="54" t="n">
        <v>4</v>
      </c>
      <c r="P8" s="54" t="n">
        <v>120</v>
      </c>
      <c r="Q8" s="54" t="n">
        <v>5</v>
      </c>
      <c r="R8" s="54" t="n">
        <v>600</v>
      </c>
      <c r="S8" s="54" t="n">
        <v>1</v>
      </c>
      <c r="T8" s="54" t="n">
        <v>5</v>
      </c>
      <c r="U8" s="54" t="n">
        <v>180</v>
      </c>
      <c r="V8" s="54" t="n">
        <v>5</v>
      </c>
      <c r="W8" s="54" t="n">
        <v>1300</v>
      </c>
      <c r="X8" s="54" t="n">
        <v>0.54</v>
      </c>
    </row>
    <row r="9">
      <c r="A9" s="54" t="inlineStr">
        <is>
          <t>Apple pomace</t>
        </is>
      </c>
      <c r="B9" s="54" t="n">
        <v>47.49</v>
      </c>
      <c r="C9" s="54" t="n">
        <v>27.77</v>
      </c>
      <c r="D9" s="54" t="n">
        <v>24.72</v>
      </c>
      <c r="E9" s="54" t="n">
        <v>91.31999999999999</v>
      </c>
      <c r="F9" s="54" t="n">
        <v>3.4</v>
      </c>
      <c r="G9" s="54" t="n">
        <v>6.41</v>
      </c>
      <c r="H9" s="54" t="n">
        <v>47.98</v>
      </c>
      <c r="I9" s="54" t="n">
        <v>37.44</v>
      </c>
      <c r="J9" s="54" t="n">
        <v>6.65</v>
      </c>
      <c r="K9" s="54" t="n">
        <v>4</v>
      </c>
      <c r="L9" s="54" t="n">
        <v>6</v>
      </c>
      <c r="M9" s="54" t="n">
        <v>1</v>
      </c>
      <c r="N9" s="54" t="n">
        <v>0</v>
      </c>
      <c r="O9" s="54" t="n">
        <v>1</v>
      </c>
      <c r="P9" s="54" t="n">
        <v>1800</v>
      </c>
      <c r="Q9" s="54" t="n">
        <v>5</v>
      </c>
      <c r="R9" s="54" t="n">
        <v>180</v>
      </c>
      <c r="S9" s="54" t="n">
        <v>1</v>
      </c>
      <c r="T9" s="54" t="n">
        <v>5</v>
      </c>
      <c r="U9" s="54" t="n">
        <v>0</v>
      </c>
      <c r="V9" s="54" t="n">
        <v>0</v>
      </c>
      <c r="W9" s="54" t="n">
        <v>600</v>
      </c>
      <c r="X9" s="54" t="n">
        <v>117.4</v>
      </c>
    </row>
    <row r="10">
      <c r="A10" s="54" t="inlineStr">
        <is>
          <t>Apple pomace</t>
        </is>
      </c>
      <c r="B10" s="54" t="n">
        <v>47.49</v>
      </c>
      <c r="C10" s="54" t="n">
        <v>27.77</v>
      </c>
      <c r="D10" s="54" t="n">
        <v>24.72</v>
      </c>
      <c r="E10" s="54" t="n">
        <v>91.31999999999999</v>
      </c>
      <c r="F10" s="54" t="n">
        <v>3.4</v>
      </c>
      <c r="G10" s="54" t="n">
        <v>6.41</v>
      </c>
      <c r="H10" s="54" t="n">
        <v>47.98</v>
      </c>
      <c r="I10" s="54" t="n">
        <v>37.44</v>
      </c>
      <c r="J10" s="54" t="n">
        <v>6.65</v>
      </c>
      <c r="K10" s="54" t="n">
        <v>4</v>
      </c>
      <c r="L10" s="54" t="n">
        <v>6</v>
      </c>
      <c r="M10" s="54" t="n">
        <v>1</v>
      </c>
      <c r="N10" s="54" t="n">
        <v>0</v>
      </c>
      <c r="O10" s="54" t="n">
        <v>1</v>
      </c>
      <c r="P10" s="54" t="n">
        <v>1800</v>
      </c>
      <c r="Q10" s="54" t="n">
        <v>5</v>
      </c>
      <c r="R10" s="54" t="n">
        <v>180</v>
      </c>
      <c r="S10" s="54" t="n">
        <v>1</v>
      </c>
      <c r="T10" s="54" t="n">
        <v>5</v>
      </c>
      <c r="U10" s="54" t="n">
        <v>0</v>
      </c>
      <c r="V10" s="54" t="n">
        <v>0</v>
      </c>
      <c r="W10" s="54" t="n">
        <v>500</v>
      </c>
      <c r="X10" s="54" t="n">
        <v>81.7</v>
      </c>
    </row>
    <row r="11">
      <c r="A11" s="54" t="inlineStr">
        <is>
          <t>Apple pomace</t>
        </is>
      </c>
      <c r="B11" s="54" t="n">
        <v>47.49</v>
      </c>
      <c r="C11" s="54" t="n">
        <v>27.77</v>
      </c>
      <c r="D11" s="54" t="n">
        <v>24.72</v>
      </c>
      <c r="E11" s="54" t="n">
        <v>91.31999999999999</v>
      </c>
      <c r="F11" s="54" t="n">
        <v>3.4</v>
      </c>
      <c r="G11" s="54" t="n">
        <v>6.41</v>
      </c>
      <c r="H11" s="54" t="n">
        <v>47.98</v>
      </c>
      <c r="I11" s="54" t="n">
        <v>37.44</v>
      </c>
      <c r="J11" s="54" t="n">
        <v>6.65</v>
      </c>
      <c r="K11" s="54" t="n">
        <v>4</v>
      </c>
      <c r="L11" s="54" t="n">
        <v>5</v>
      </c>
      <c r="M11" s="54" t="n">
        <v>0</v>
      </c>
      <c r="N11" s="54" t="n">
        <v>1</v>
      </c>
      <c r="O11" s="54" t="n">
        <v>4</v>
      </c>
      <c r="P11" s="54" t="n">
        <v>1800</v>
      </c>
      <c r="Q11" s="54" t="n">
        <v>5</v>
      </c>
      <c r="R11" s="54" t="n">
        <v>1100</v>
      </c>
      <c r="S11" s="54" t="n">
        <v>0</v>
      </c>
      <c r="T11" s="54" t="n">
        <v>5</v>
      </c>
      <c r="U11" s="54" t="n">
        <v>0</v>
      </c>
      <c r="V11" s="54" t="n">
        <v>0</v>
      </c>
      <c r="W11" s="54" t="n">
        <v>0</v>
      </c>
      <c r="X11" s="54" t="n">
        <v>1.5</v>
      </c>
    </row>
    <row r="12">
      <c r="A12" s="54" t="inlineStr">
        <is>
          <t>Apricot shells</t>
        </is>
      </c>
      <c r="B12" s="54" t="n">
        <v>33.3</v>
      </c>
      <c r="C12" s="54" t="n">
        <v>27.8</v>
      </c>
      <c r="D12" s="54" t="n">
        <v>52</v>
      </c>
      <c r="E12" s="54" t="n">
        <v>73.84</v>
      </c>
      <c r="F12" s="54" t="n">
        <v>0.9399999999999999</v>
      </c>
      <c r="G12" s="54" t="n">
        <v>15.51</v>
      </c>
      <c r="H12" s="54" t="n">
        <v>46.88</v>
      </c>
      <c r="I12" s="54" t="n">
        <v>45.45</v>
      </c>
      <c r="J12" s="54" t="n">
        <v>6.38</v>
      </c>
      <c r="K12" s="54" t="n">
        <v>6</v>
      </c>
      <c r="L12" s="54" t="n">
        <v>5</v>
      </c>
      <c r="M12" s="54" t="n">
        <v>1</v>
      </c>
      <c r="N12" s="54" t="n">
        <v>1</v>
      </c>
      <c r="O12" s="54" t="n">
        <v>4</v>
      </c>
      <c r="P12" s="54" t="n">
        <v>175.8318649121</v>
      </c>
      <c r="Q12" s="54" t="n">
        <v>5</v>
      </c>
      <c r="R12" s="54" t="n">
        <v>1100</v>
      </c>
      <c r="S12" s="54" t="n">
        <v>1</v>
      </c>
      <c r="T12" s="54" t="n">
        <v>7</v>
      </c>
      <c r="U12" s="54" t="n">
        <v>120</v>
      </c>
      <c r="V12" s="54" t="n">
        <v>0</v>
      </c>
      <c r="W12" s="54" t="n">
        <v>800</v>
      </c>
      <c r="X12" s="54" t="n">
        <v>56.7</v>
      </c>
    </row>
    <row r="13">
      <c r="A13" s="54" t="inlineStr">
        <is>
          <t>Apricot shells</t>
        </is>
      </c>
      <c r="B13" s="54" t="n">
        <v>33.3</v>
      </c>
      <c r="C13" s="54" t="n">
        <v>27.8</v>
      </c>
      <c r="D13" s="54" t="n">
        <v>52</v>
      </c>
      <c r="E13" s="54" t="n">
        <v>73.84</v>
      </c>
      <c r="F13" s="54" t="n">
        <v>0.9399999999999999</v>
      </c>
      <c r="G13" s="54" t="n">
        <v>15.51</v>
      </c>
      <c r="H13" s="54" t="n">
        <v>46.88</v>
      </c>
      <c r="I13" s="54" t="n">
        <v>45.45</v>
      </c>
      <c r="J13" s="54" t="n">
        <v>6.38</v>
      </c>
      <c r="K13" s="54" t="n">
        <v>6</v>
      </c>
      <c r="L13" s="54" t="n">
        <v>5</v>
      </c>
      <c r="M13" s="54" t="n">
        <v>0</v>
      </c>
      <c r="N13" s="54" t="n">
        <v>1</v>
      </c>
      <c r="O13" s="54" t="n">
        <v>4</v>
      </c>
      <c r="P13" s="54" t="n">
        <v>189.941814640298</v>
      </c>
      <c r="Q13" s="54" t="n">
        <v>5.45246687866242</v>
      </c>
      <c r="R13" s="54" t="n">
        <v>1100</v>
      </c>
      <c r="S13" s="54" t="n">
        <v>0</v>
      </c>
      <c r="T13" s="54" t="n">
        <v>5</v>
      </c>
      <c r="U13" s="54" t="n">
        <v>0</v>
      </c>
      <c r="V13" s="54" t="n">
        <v>0</v>
      </c>
      <c r="W13" s="54" t="n">
        <v>0</v>
      </c>
      <c r="X13" s="54" t="n">
        <v>46.1</v>
      </c>
    </row>
    <row r="14">
      <c r="A14" s="54" t="inlineStr">
        <is>
          <t>Apricot shells</t>
        </is>
      </c>
      <c r="B14" s="54" t="n">
        <v>33.3</v>
      </c>
      <c r="C14" s="54" t="n">
        <v>27.8</v>
      </c>
      <c r="D14" s="54" t="n">
        <v>52</v>
      </c>
      <c r="E14" s="54" t="n">
        <v>73.84</v>
      </c>
      <c r="F14" s="54" t="n">
        <v>0.9399999999999999</v>
      </c>
      <c r="G14" s="54" t="n">
        <v>15.51</v>
      </c>
      <c r="H14" s="54" t="n">
        <v>46.88</v>
      </c>
      <c r="I14" s="54" t="n">
        <v>45.45</v>
      </c>
      <c r="J14" s="54" t="n">
        <v>6.38</v>
      </c>
      <c r="K14" s="54" t="n">
        <v>6</v>
      </c>
      <c r="L14" s="54" t="n">
        <v>5</v>
      </c>
      <c r="M14" s="54" t="n">
        <v>1</v>
      </c>
      <c r="N14" s="54" t="n">
        <v>1</v>
      </c>
      <c r="O14" s="54" t="n">
        <v>4</v>
      </c>
      <c r="P14" s="54" t="n">
        <v>131.981029101058</v>
      </c>
      <c r="Q14" s="54" t="n">
        <v>5.97268940194489</v>
      </c>
      <c r="R14" s="54" t="n">
        <v>900</v>
      </c>
      <c r="S14" s="54" t="n">
        <v>1</v>
      </c>
      <c r="T14" s="54" t="n">
        <v>7</v>
      </c>
      <c r="U14" s="54" t="n">
        <v>120</v>
      </c>
      <c r="V14" s="54" t="n">
        <v>0</v>
      </c>
      <c r="W14" s="54" t="n">
        <v>800</v>
      </c>
      <c r="X14" s="54" t="n">
        <v>27.9</v>
      </c>
    </row>
    <row r="15">
      <c r="A15" s="54" t="inlineStr">
        <is>
          <t>Apricot shells</t>
        </is>
      </c>
      <c r="B15" s="54" t="n">
        <v>33.3</v>
      </c>
      <c r="C15" s="54" t="n">
        <v>27.8</v>
      </c>
      <c r="D15" s="54" t="n">
        <v>52</v>
      </c>
      <c r="E15" s="54" t="n">
        <v>73.84</v>
      </c>
      <c r="F15" s="54" t="n">
        <v>0.9399999999999999</v>
      </c>
      <c r="G15" s="54" t="n">
        <v>15.51</v>
      </c>
      <c r="H15" s="54" t="n">
        <v>46.88</v>
      </c>
      <c r="I15" s="54" t="n">
        <v>45.45</v>
      </c>
      <c r="J15" s="54" t="n">
        <v>6.38</v>
      </c>
      <c r="K15" s="54" t="n">
        <v>6</v>
      </c>
      <c r="L15" s="54" t="n">
        <v>5</v>
      </c>
      <c r="M15" s="54" t="n">
        <v>1</v>
      </c>
      <c r="N15" s="54" t="n">
        <v>1</v>
      </c>
      <c r="O15" s="54" t="n">
        <v>4</v>
      </c>
      <c r="P15" s="54" t="n">
        <v>151.754179342575</v>
      </c>
      <c r="Q15" s="54" t="n">
        <v>5.39284982225185</v>
      </c>
      <c r="R15" s="54" t="n">
        <v>1300</v>
      </c>
      <c r="S15" s="54" t="n">
        <v>1</v>
      </c>
      <c r="T15" s="54" t="n">
        <v>7</v>
      </c>
      <c r="U15" s="54" t="n">
        <v>120</v>
      </c>
      <c r="V15" s="54" t="n">
        <v>0</v>
      </c>
      <c r="W15" s="54" t="n">
        <v>800</v>
      </c>
      <c r="X15" s="54" t="n">
        <v>13.4</v>
      </c>
    </row>
    <row r="16">
      <c r="A16" s="54" t="inlineStr">
        <is>
          <t>Apricot shells</t>
        </is>
      </c>
      <c r="B16" s="54" t="n">
        <v>33.3</v>
      </c>
      <c r="C16" s="54" t="n">
        <v>27.8</v>
      </c>
      <c r="D16" s="54" t="n">
        <v>52</v>
      </c>
      <c r="E16" s="54" t="n">
        <v>73.84</v>
      </c>
      <c r="F16" s="54" t="n">
        <v>0.9399999999999999</v>
      </c>
      <c r="G16" s="54" t="n">
        <v>15.51</v>
      </c>
      <c r="H16" s="54" t="n">
        <v>46.88</v>
      </c>
      <c r="I16" s="54" t="n">
        <v>45.45</v>
      </c>
      <c r="J16" s="54" t="n">
        <v>6.38</v>
      </c>
      <c r="K16" s="54" t="n">
        <v>6</v>
      </c>
      <c r="L16" s="54" t="n">
        <v>5</v>
      </c>
      <c r="M16" s="54" t="n">
        <v>0</v>
      </c>
      <c r="N16" s="54" t="n">
        <v>1</v>
      </c>
      <c r="O16" s="54" t="n">
        <v>4</v>
      </c>
      <c r="P16" s="54" t="n">
        <v>108.933637305437</v>
      </c>
      <c r="Q16" s="54" t="n">
        <v>6.90041440165281</v>
      </c>
      <c r="R16" s="54" t="n">
        <v>1300</v>
      </c>
      <c r="S16" s="54" t="n">
        <v>0</v>
      </c>
      <c r="T16" s="54" t="n">
        <v>5</v>
      </c>
      <c r="U16" s="54" t="n">
        <v>0</v>
      </c>
      <c r="V16" s="54" t="n">
        <v>0</v>
      </c>
      <c r="W16" s="54" t="n">
        <v>0</v>
      </c>
      <c r="X16" s="54" t="n">
        <v>12.5</v>
      </c>
    </row>
    <row r="17">
      <c r="A17" s="54" t="inlineStr">
        <is>
          <t>Apricot shells</t>
        </is>
      </c>
      <c r="B17" s="54" t="n">
        <v>33.3</v>
      </c>
      <c r="C17" s="54" t="n">
        <v>27.8</v>
      </c>
      <c r="D17" s="54" t="n">
        <v>52</v>
      </c>
      <c r="E17" s="54" t="n">
        <v>73.84</v>
      </c>
      <c r="F17" s="54" t="n">
        <v>0.9399999999999999</v>
      </c>
      <c r="G17" s="54" t="n">
        <v>15.51</v>
      </c>
      <c r="H17" s="54" t="n">
        <v>46.88</v>
      </c>
      <c r="I17" s="54" t="n">
        <v>45.45</v>
      </c>
      <c r="J17" s="54" t="n">
        <v>6.38</v>
      </c>
      <c r="K17" s="54" t="n">
        <v>6</v>
      </c>
      <c r="L17" s="54" t="n">
        <v>5</v>
      </c>
      <c r="M17" s="54" t="n">
        <v>1</v>
      </c>
      <c r="N17" s="54" t="n">
        <v>1</v>
      </c>
      <c r="O17" s="54" t="n">
        <v>4</v>
      </c>
      <c r="P17" s="54" t="n">
        <v>98.223951146399</v>
      </c>
      <c r="Q17" s="54" t="n">
        <v>5.40205937727459</v>
      </c>
      <c r="R17" s="54" t="n">
        <v>1500</v>
      </c>
      <c r="S17" s="54" t="n">
        <v>1</v>
      </c>
      <c r="T17" s="54" t="n">
        <v>7</v>
      </c>
      <c r="U17" s="54" t="n">
        <v>120</v>
      </c>
      <c r="V17" s="54" t="n">
        <v>0</v>
      </c>
      <c r="W17" s="54" t="n">
        <v>800</v>
      </c>
      <c r="X17" s="54" t="n">
        <v>12.4</v>
      </c>
    </row>
    <row r="18">
      <c r="A18" s="54" t="inlineStr">
        <is>
          <t>Apricot shells</t>
        </is>
      </c>
      <c r="B18" s="54" t="n">
        <v>33.3</v>
      </c>
      <c r="C18" s="54" t="n">
        <v>27.8</v>
      </c>
      <c r="D18" s="54" t="n">
        <v>52</v>
      </c>
      <c r="E18" s="54" t="n">
        <v>73.84</v>
      </c>
      <c r="F18" s="54" t="n">
        <v>0.9399999999999999</v>
      </c>
      <c r="G18" s="54" t="n">
        <v>15.51</v>
      </c>
      <c r="H18" s="54" t="n">
        <v>46.88</v>
      </c>
      <c r="I18" s="54" t="n">
        <v>45.45</v>
      </c>
      <c r="J18" s="54" t="n">
        <v>6.38</v>
      </c>
      <c r="K18" s="54" t="n">
        <v>6</v>
      </c>
      <c r="L18" s="54" t="n">
        <v>5</v>
      </c>
      <c r="M18" s="54" t="n">
        <v>0</v>
      </c>
      <c r="N18" s="54" t="n">
        <v>1</v>
      </c>
      <c r="O18" s="54" t="n">
        <v>4</v>
      </c>
      <c r="P18" s="54" t="n">
        <v>176.338690644737</v>
      </c>
      <c r="Q18" s="54" t="n">
        <v>5.14879432218149</v>
      </c>
      <c r="R18" s="54" t="n">
        <v>1500</v>
      </c>
      <c r="S18" s="54" t="n">
        <v>0</v>
      </c>
      <c r="T18" s="54" t="n">
        <v>5</v>
      </c>
      <c r="U18" s="54" t="n">
        <v>0</v>
      </c>
      <c r="V18" s="54" t="n">
        <v>0</v>
      </c>
      <c r="W18" s="54" t="n">
        <v>0</v>
      </c>
      <c r="X18" s="54" t="n">
        <v>11.3</v>
      </c>
    </row>
    <row r="19">
      <c r="A19" s="54" t="inlineStr">
        <is>
          <t>Apricot shells</t>
        </is>
      </c>
      <c r="B19" s="54" t="n">
        <v>33.3</v>
      </c>
      <c r="C19" s="54" t="n">
        <v>27.8</v>
      </c>
      <c r="D19" s="54" t="n">
        <v>52</v>
      </c>
      <c r="E19" s="54" t="n">
        <v>73.84</v>
      </c>
      <c r="F19" s="54" t="n">
        <v>0.9399999999999999</v>
      </c>
      <c r="G19" s="54" t="n">
        <v>15.51</v>
      </c>
      <c r="H19" s="54" t="n">
        <v>46.88</v>
      </c>
      <c r="I19" s="54" t="n">
        <v>45.45</v>
      </c>
      <c r="J19" s="54" t="n">
        <v>6.38</v>
      </c>
      <c r="K19" s="54" t="n">
        <v>6</v>
      </c>
      <c r="L19" s="54" t="n">
        <v>5</v>
      </c>
      <c r="M19" s="54" t="n">
        <v>0</v>
      </c>
      <c r="N19" s="54" t="n">
        <v>1</v>
      </c>
      <c r="O19" s="54" t="n">
        <v>4</v>
      </c>
      <c r="P19" s="54" t="n">
        <v>115.233460818891</v>
      </c>
      <c r="Q19" s="54" t="n">
        <v>3.72149353752073</v>
      </c>
      <c r="R19" s="54" t="n">
        <v>900</v>
      </c>
      <c r="S19" s="54" t="n">
        <v>0</v>
      </c>
      <c r="T19" s="54" t="n">
        <v>5</v>
      </c>
      <c r="U19" s="54" t="n">
        <v>0</v>
      </c>
      <c r="V19" s="54" t="n">
        <v>0</v>
      </c>
      <c r="W19" s="54" t="n">
        <v>0</v>
      </c>
      <c r="X19" s="54" t="n">
        <v>2.7</v>
      </c>
    </row>
    <row r="20">
      <c r="A20" s="54" t="inlineStr">
        <is>
          <t>Argan shell</t>
        </is>
      </c>
      <c r="B20" s="54" t="n">
        <v>31.07</v>
      </c>
      <c r="C20" s="54" t="n">
        <v>27.76</v>
      </c>
      <c r="D20" s="54" t="n">
        <v>37.53</v>
      </c>
      <c r="E20" s="54" t="n">
        <v>61</v>
      </c>
      <c r="F20" s="54" t="n">
        <v>28</v>
      </c>
      <c r="G20" s="54" t="n">
        <v>1.5</v>
      </c>
      <c r="H20" s="54" t="n">
        <v>51.33</v>
      </c>
      <c r="I20" s="54" t="n">
        <v>42.345</v>
      </c>
      <c r="J20" s="54" t="n">
        <v>6.32</v>
      </c>
      <c r="K20" s="54" t="n">
        <v>1</v>
      </c>
      <c r="L20" s="54" t="n">
        <v>5</v>
      </c>
      <c r="M20" s="54" t="n">
        <v>0</v>
      </c>
      <c r="N20" s="54" t="n">
        <v>1</v>
      </c>
      <c r="O20" s="54" t="n">
        <v>4</v>
      </c>
      <c r="P20" s="54" t="n">
        <v>60</v>
      </c>
      <c r="Q20" s="54" t="n">
        <v>5</v>
      </c>
      <c r="R20" s="54" t="n">
        <v>800</v>
      </c>
      <c r="S20" s="54" t="n">
        <v>0</v>
      </c>
      <c r="T20" s="54" t="n">
        <v>5</v>
      </c>
      <c r="U20" s="54" t="n">
        <v>0</v>
      </c>
      <c r="V20" s="54" t="n">
        <v>0</v>
      </c>
      <c r="W20" s="54" t="n">
        <v>0</v>
      </c>
      <c r="X20" s="54" t="n">
        <v>380</v>
      </c>
    </row>
    <row r="21">
      <c r="A21" s="54" t="inlineStr">
        <is>
          <t>Argan shell</t>
        </is>
      </c>
      <c r="B21" s="54" t="n">
        <v>31.07</v>
      </c>
      <c r="C21" s="54" t="n">
        <v>27.76</v>
      </c>
      <c r="D21" s="54" t="n">
        <v>37.53</v>
      </c>
      <c r="E21" s="54" t="n">
        <v>61</v>
      </c>
      <c r="F21" s="54" t="n">
        <v>28</v>
      </c>
      <c r="G21" s="54" t="n">
        <v>1.5</v>
      </c>
      <c r="H21" s="54" t="n">
        <v>51.33</v>
      </c>
      <c r="I21" s="54" t="n">
        <v>42.345</v>
      </c>
      <c r="J21" s="54" t="n">
        <v>6.32</v>
      </c>
      <c r="K21" s="54" t="n">
        <v>1</v>
      </c>
      <c r="L21" s="54" t="n">
        <v>5</v>
      </c>
      <c r="M21" s="54" t="n">
        <v>0</v>
      </c>
      <c r="N21" s="54" t="n">
        <v>1</v>
      </c>
      <c r="O21" s="54" t="n">
        <v>4</v>
      </c>
      <c r="P21" s="54" t="n">
        <v>60</v>
      </c>
      <c r="Q21" s="54" t="n">
        <v>5</v>
      </c>
      <c r="R21" s="54" t="n">
        <v>1000</v>
      </c>
      <c r="S21" s="54" t="n">
        <v>0</v>
      </c>
      <c r="T21" s="54" t="n">
        <v>5</v>
      </c>
      <c r="U21" s="54" t="n">
        <v>0</v>
      </c>
      <c r="V21" s="54" t="n">
        <v>0</v>
      </c>
      <c r="W21" s="54" t="n">
        <v>0</v>
      </c>
      <c r="X21" s="54" t="n">
        <v>270</v>
      </c>
    </row>
    <row r="22">
      <c r="A22" s="54" t="inlineStr">
        <is>
          <t>Argan shell</t>
        </is>
      </c>
      <c r="B22" s="54" t="n">
        <v>31.07</v>
      </c>
      <c r="C22" s="54" t="n">
        <v>27.76</v>
      </c>
      <c r="D22" s="54" t="n">
        <v>37.53</v>
      </c>
      <c r="E22" s="54" t="n">
        <v>61</v>
      </c>
      <c r="F22" s="54" t="n">
        <v>28</v>
      </c>
      <c r="G22" s="54" t="n">
        <v>1.5</v>
      </c>
      <c r="H22" s="54" t="n">
        <v>51.33</v>
      </c>
      <c r="I22" s="54" t="n">
        <v>42.345</v>
      </c>
      <c r="J22" s="54" t="n">
        <v>6.32</v>
      </c>
      <c r="K22" s="54" t="n">
        <v>5</v>
      </c>
      <c r="L22" s="54" t="n">
        <v>5</v>
      </c>
      <c r="M22" s="54" t="n">
        <v>0</v>
      </c>
      <c r="N22" s="54" t="n">
        <v>1</v>
      </c>
      <c r="O22" s="54" t="n">
        <v>4</v>
      </c>
      <c r="P22" s="54" t="n">
        <v>60</v>
      </c>
      <c r="Q22" s="54" t="n">
        <v>5</v>
      </c>
      <c r="R22" s="54" t="n">
        <v>800</v>
      </c>
      <c r="S22" s="54" t="n">
        <v>0</v>
      </c>
      <c r="T22" s="54" t="n">
        <v>5</v>
      </c>
      <c r="U22" s="54" t="n">
        <v>0</v>
      </c>
      <c r="V22" s="54" t="n">
        <v>0</v>
      </c>
      <c r="W22" s="54" t="n">
        <v>0</v>
      </c>
      <c r="X22" s="54" t="n">
        <v>99</v>
      </c>
    </row>
    <row r="23">
      <c r="A23" s="54" t="inlineStr">
        <is>
          <t>Argan shell</t>
        </is>
      </c>
      <c r="B23" s="54" t="n">
        <v>31.07</v>
      </c>
      <c r="C23" s="54" t="n">
        <v>27.76</v>
      </c>
      <c r="D23" s="54" t="n">
        <v>37.53</v>
      </c>
      <c r="E23" s="54" t="n">
        <v>61</v>
      </c>
      <c r="F23" s="54" t="n">
        <v>28</v>
      </c>
      <c r="G23" s="54" t="n">
        <v>1.5</v>
      </c>
      <c r="H23" s="54" t="n">
        <v>51.33</v>
      </c>
      <c r="I23" s="54" t="n">
        <v>42.345</v>
      </c>
      <c r="J23" s="54" t="n">
        <v>6.32</v>
      </c>
      <c r="K23" s="54" t="n">
        <v>1</v>
      </c>
      <c r="L23" s="54" t="n">
        <v>5</v>
      </c>
      <c r="M23" s="54" t="n">
        <v>0</v>
      </c>
      <c r="N23" s="54" t="n">
        <v>1</v>
      </c>
      <c r="O23" s="54" t="n">
        <v>4</v>
      </c>
      <c r="P23" s="54" t="n">
        <v>60</v>
      </c>
      <c r="Q23" s="54" t="n">
        <v>5</v>
      </c>
      <c r="R23" s="54" t="n">
        <v>1300</v>
      </c>
      <c r="S23" s="54" t="n">
        <v>0</v>
      </c>
      <c r="T23" s="54" t="n">
        <v>5</v>
      </c>
      <c r="U23" s="54" t="n">
        <v>0</v>
      </c>
      <c r="V23" s="54" t="n">
        <v>0</v>
      </c>
      <c r="W23" s="54" t="n">
        <v>0</v>
      </c>
      <c r="X23" s="54" t="n">
        <v>24</v>
      </c>
    </row>
    <row r="24">
      <c r="A24" s="54" t="inlineStr">
        <is>
          <t>Argan shell</t>
        </is>
      </c>
      <c r="B24" s="54" t="n">
        <v>31.07</v>
      </c>
      <c r="C24" s="54" t="n">
        <v>27.76</v>
      </c>
      <c r="D24" s="54" t="n">
        <v>37.53</v>
      </c>
      <c r="E24" s="54" t="n">
        <v>61</v>
      </c>
      <c r="F24" s="54" t="n">
        <v>28</v>
      </c>
      <c r="G24" s="54" t="n">
        <v>1.5</v>
      </c>
      <c r="H24" s="54" t="n">
        <v>51.33</v>
      </c>
      <c r="I24" s="54" t="n">
        <v>42.345</v>
      </c>
      <c r="J24" s="54" t="n">
        <v>6.32</v>
      </c>
      <c r="K24" s="54" t="n">
        <v>1</v>
      </c>
      <c r="L24" s="54" t="n">
        <v>5</v>
      </c>
      <c r="M24" s="54" t="n">
        <v>0</v>
      </c>
      <c r="N24" s="54" t="n">
        <v>1</v>
      </c>
      <c r="O24" s="54" t="n">
        <v>4</v>
      </c>
      <c r="P24" s="54" t="n">
        <v>60</v>
      </c>
      <c r="Q24" s="54" t="n">
        <v>5</v>
      </c>
      <c r="R24" s="54" t="n">
        <v>1200</v>
      </c>
      <c r="S24" s="54" t="n">
        <v>0</v>
      </c>
      <c r="T24" s="54" t="n">
        <v>5</v>
      </c>
      <c r="U24" s="54" t="n">
        <v>0</v>
      </c>
      <c r="V24" s="54" t="n">
        <v>0</v>
      </c>
      <c r="W24" s="54" t="n">
        <v>0</v>
      </c>
      <c r="X24" s="54" t="n">
        <v>23</v>
      </c>
    </row>
    <row r="25">
      <c r="A25" s="54" t="inlineStr">
        <is>
          <t>Argan shell</t>
        </is>
      </c>
      <c r="B25" s="54" t="n">
        <v>31.07</v>
      </c>
      <c r="C25" s="54" t="n">
        <v>27.76</v>
      </c>
      <c r="D25" s="54" t="n">
        <v>37.53</v>
      </c>
      <c r="E25" s="54" t="n">
        <v>61</v>
      </c>
      <c r="F25" s="54" t="n">
        <v>28</v>
      </c>
      <c r="G25" s="54" t="n">
        <v>1.5</v>
      </c>
      <c r="H25" s="54" t="n">
        <v>51.33</v>
      </c>
      <c r="I25" s="54" t="n">
        <v>42.345</v>
      </c>
      <c r="J25" s="54" t="n">
        <v>6.32</v>
      </c>
      <c r="K25" s="54" t="n">
        <v>5</v>
      </c>
      <c r="L25" s="54" t="n">
        <v>5</v>
      </c>
      <c r="M25" s="54" t="n">
        <v>0</v>
      </c>
      <c r="N25" s="54" t="n">
        <v>1</v>
      </c>
      <c r="O25" s="54" t="n">
        <v>4</v>
      </c>
      <c r="P25" s="54" t="n">
        <v>60</v>
      </c>
      <c r="Q25" s="54" t="n">
        <v>5</v>
      </c>
      <c r="R25" s="54" t="n">
        <v>1000</v>
      </c>
      <c r="S25" s="54" t="n">
        <v>0</v>
      </c>
      <c r="T25" s="54" t="n">
        <v>5</v>
      </c>
      <c r="U25" s="54" t="n">
        <v>0</v>
      </c>
      <c r="V25" s="54" t="n">
        <v>0</v>
      </c>
      <c r="W25" s="54" t="n">
        <v>0</v>
      </c>
      <c r="X25" s="54" t="n">
        <v>7.7</v>
      </c>
    </row>
    <row r="26">
      <c r="A26" s="54" t="inlineStr">
        <is>
          <t>Argan shell</t>
        </is>
      </c>
      <c r="B26" s="54" t="n">
        <v>31.07</v>
      </c>
      <c r="C26" s="54" t="n">
        <v>27.76</v>
      </c>
      <c r="D26" s="54" t="n">
        <v>37.53</v>
      </c>
      <c r="E26" s="54" t="n">
        <v>61</v>
      </c>
      <c r="F26" s="54" t="n">
        <v>28</v>
      </c>
      <c r="G26" s="54" t="n">
        <v>1.5</v>
      </c>
      <c r="H26" s="54" t="n">
        <v>51.33</v>
      </c>
      <c r="I26" s="54" t="n">
        <v>42.345</v>
      </c>
      <c r="J26" s="54" t="n">
        <v>6.32</v>
      </c>
      <c r="K26" s="54" t="n">
        <v>5</v>
      </c>
      <c r="L26" s="54" t="n">
        <v>5</v>
      </c>
      <c r="M26" s="54" t="n">
        <v>0</v>
      </c>
      <c r="N26" s="54" t="n">
        <v>1</v>
      </c>
      <c r="O26" s="54" t="n">
        <v>4</v>
      </c>
      <c r="P26" s="54" t="n">
        <v>60</v>
      </c>
      <c r="Q26" s="54" t="n">
        <v>5</v>
      </c>
      <c r="R26" s="54" t="n">
        <v>1200</v>
      </c>
      <c r="S26" s="54" t="n">
        <v>0</v>
      </c>
      <c r="T26" s="54" t="n">
        <v>5</v>
      </c>
      <c r="U26" s="54" t="n">
        <v>0</v>
      </c>
      <c r="V26" s="54" t="n">
        <v>0</v>
      </c>
      <c r="W26" s="54" t="n">
        <v>0</v>
      </c>
      <c r="X26" s="54" t="n">
        <v>3.9</v>
      </c>
    </row>
    <row r="27">
      <c r="A27" s="54" t="inlineStr">
        <is>
          <t>Argan shell</t>
        </is>
      </c>
      <c r="B27" s="54" t="n">
        <v>31.07</v>
      </c>
      <c r="C27" s="54" t="n">
        <v>27.76</v>
      </c>
      <c r="D27" s="54" t="n">
        <v>37.53</v>
      </c>
      <c r="E27" s="54" t="n">
        <v>61</v>
      </c>
      <c r="F27" s="54" t="n">
        <v>28</v>
      </c>
      <c r="G27" s="54" t="n">
        <v>1.5</v>
      </c>
      <c r="H27" s="54" t="n">
        <v>51.33</v>
      </c>
      <c r="I27" s="54" t="n">
        <v>42.345</v>
      </c>
      <c r="J27" s="54" t="n">
        <v>6.32</v>
      </c>
      <c r="K27" s="54" t="n">
        <v>5</v>
      </c>
      <c r="L27" s="54" t="n">
        <v>5</v>
      </c>
      <c r="M27" s="54" t="n">
        <v>0</v>
      </c>
      <c r="N27" s="54" t="n">
        <v>1</v>
      </c>
      <c r="O27" s="54" t="n">
        <v>4</v>
      </c>
      <c r="P27" s="54" t="n">
        <v>60</v>
      </c>
      <c r="Q27" s="54" t="n">
        <v>5</v>
      </c>
      <c r="R27" s="54" t="n">
        <v>1300</v>
      </c>
      <c r="S27" s="54" t="n">
        <v>0</v>
      </c>
      <c r="T27" s="54" t="n">
        <v>5</v>
      </c>
      <c r="U27" s="54" t="n">
        <v>0</v>
      </c>
      <c r="V27" s="54" t="n">
        <v>0</v>
      </c>
      <c r="W27" s="54" t="n">
        <v>0</v>
      </c>
      <c r="X27" s="54" t="n">
        <v>2.6</v>
      </c>
    </row>
    <row r="28">
      <c r="A28" s="54" t="inlineStr">
        <is>
          <t>Ash wood</t>
        </is>
      </c>
      <c r="B28" s="54" t="n">
        <v>47.9</v>
      </c>
      <c r="C28" s="54" t="n">
        <v>23.2</v>
      </c>
      <c r="D28" s="54" t="n">
        <v>25.5</v>
      </c>
      <c r="E28" s="54" t="n">
        <v>77</v>
      </c>
      <c r="F28" s="54" t="n">
        <v>1</v>
      </c>
      <c r="G28" s="54" t="n">
        <v>22</v>
      </c>
      <c r="H28" s="54" t="n">
        <v>50</v>
      </c>
      <c r="I28" s="54" t="n">
        <v>42</v>
      </c>
      <c r="J28" s="54" t="n">
        <v>6</v>
      </c>
      <c r="K28" s="54" t="n">
        <v>4</v>
      </c>
      <c r="L28" s="54" t="n">
        <v>5</v>
      </c>
      <c r="M28" s="54" t="n">
        <v>0</v>
      </c>
      <c r="N28" s="54" t="n">
        <v>1</v>
      </c>
      <c r="O28" s="54" t="n">
        <v>4</v>
      </c>
      <c r="P28" s="54" t="n">
        <v>206.709375</v>
      </c>
      <c r="Q28" s="54" t="n">
        <v>5</v>
      </c>
      <c r="R28" s="54" t="n">
        <v>1400</v>
      </c>
      <c r="S28" s="54" t="n">
        <v>0</v>
      </c>
      <c r="T28" s="54" t="n">
        <v>5</v>
      </c>
      <c r="U28" s="54" t="n">
        <v>0</v>
      </c>
      <c r="V28" s="54" t="n">
        <v>0</v>
      </c>
      <c r="W28" s="54" t="n">
        <v>0</v>
      </c>
      <c r="X28" s="54" t="n">
        <v>3</v>
      </c>
    </row>
    <row r="29">
      <c r="A29" s="54" t="inlineStr">
        <is>
          <t>Bagasse</t>
        </is>
      </c>
      <c r="B29" s="54" t="n">
        <v>36.5</v>
      </c>
      <c r="C29" s="54" t="n">
        <v>26</v>
      </c>
      <c r="D29" s="54" t="n">
        <v>18.5</v>
      </c>
      <c r="E29" s="54" t="n">
        <v>83.5</v>
      </c>
      <c r="F29" s="54" t="n">
        <v>4.2</v>
      </c>
      <c r="G29" s="54" t="n">
        <v>12.5</v>
      </c>
      <c r="H29" s="54" t="n">
        <v>43.1</v>
      </c>
      <c r="I29" s="54" t="n">
        <v>51.4</v>
      </c>
      <c r="J29" s="54" t="n">
        <v>5.51</v>
      </c>
      <c r="K29" s="54" t="n">
        <v>4</v>
      </c>
      <c r="L29" s="54" t="n">
        <v>5</v>
      </c>
      <c r="M29" s="54" t="n">
        <v>0</v>
      </c>
      <c r="N29" s="54" t="n">
        <v>1</v>
      </c>
      <c r="O29" s="54" t="n">
        <v>4</v>
      </c>
      <c r="P29" s="54" t="n">
        <v>120</v>
      </c>
      <c r="Q29" s="54" t="n">
        <v>5</v>
      </c>
      <c r="R29" s="54" t="n">
        <v>900</v>
      </c>
      <c r="S29" s="54" t="n">
        <v>0</v>
      </c>
      <c r="T29" s="54" t="n">
        <v>5</v>
      </c>
      <c r="U29" s="54" t="n">
        <v>0</v>
      </c>
      <c r="V29" s="54" t="n">
        <v>0</v>
      </c>
      <c r="W29" s="54" t="n">
        <v>0</v>
      </c>
      <c r="X29" s="54" t="n">
        <v>378</v>
      </c>
    </row>
    <row r="30">
      <c r="A30" s="54" t="inlineStr">
        <is>
          <t>Bagasse</t>
        </is>
      </c>
      <c r="B30" s="54" t="n">
        <v>36.5</v>
      </c>
      <c r="C30" s="54" t="n">
        <v>26</v>
      </c>
      <c r="D30" s="54" t="n">
        <v>18.5</v>
      </c>
      <c r="E30" s="54" t="n">
        <v>83.5</v>
      </c>
      <c r="F30" s="54" t="n">
        <v>4.2</v>
      </c>
      <c r="G30" s="54" t="n">
        <v>12.5</v>
      </c>
      <c r="H30" s="54" t="n">
        <v>43.1</v>
      </c>
      <c r="I30" s="54" t="n">
        <v>51.4</v>
      </c>
      <c r="J30" s="54" t="n">
        <v>5.51</v>
      </c>
      <c r="K30" s="54" t="n">
        <v>4</v>
      </c>
      <c r="L30" s="54" t="n">
        <v>5</v>
      </c>
      <c r="M30" s="54" t="n">
        <v>0</v>
      </c>
      <c r="N30" s="54" t="n">
        <v>1</v>
      </c>
      <c r="O30" s="54" t="n">
        <v>4</v>
      </c>
      <c r="P30" s="54" t="n">
        <v>120</v>
      </c>
      <c r="Q30" s="54" t="n">
        <v>5</v>
      </c>
      <c r="R30" s="54" t="n">
        <v>1000</v>
      </c>
      <c r="S30" s="54" t="n">
        <v>0</v>
      </c>
      <c r="T30" s="54" t="n">
        <v>5</v>
      </c>
      <c r="U30" s="54" t="n">
        <v>0</v>
      </c>
      <c r="V30" s="54" t="n">
        <v>0</v>
      </c>
      <c r="W30" s="54" t="n">
        <v>0</v>
      </c>
      <c r="X30" s="54" t="n">
        <v>92.3</v>
      </c>
    </row>
    <row r="31">
      <c r="A31" s="54" t="inlineStr">
        <is>
          <t>Bagasse</t>
        </is>
      </c>
      <c r="B31" s="54" t="n">
        <v>36.5</v>
      </c>
      <c r="C31" s="54" t="n">
        <v>26</v>
      </c>
      <c r="D31" s="54" t="n">
        <v>18.5</v>
      </c>
      <c r="E31" s="54" t="n">
        <v>83.5</v>
      </c>
      <c r="F31" s="54" t="n">
        <v>4.2</v>
      </c>
      <c r="G31" s="54" t="n">
        <v>12.5</v>
      </c>
      <c r="H31" s="54" t="n">
        <v>43.1</v>
      </c>
      <c r="I31" s="54" t="n">
        <v>51.4</v>
      </c>
      <c r="J31" s="54" t="n">
        <v>5.51</v>
      </c>
      <c r="K31" s="54" t="n">
        <v>4</v>
      </c>
      <c r="L31" s="54" t="n">
        <v>5</v>
      </c>
      <c r="M31" s="54" t="n">
        <v>0</v>
      </c>
      <c r="N31" s="54" t="n">
        <v>1</v>
      </c>
      <c r="O31" s="54" t="n">
        <v>4</v>
      </c>
      <c r="P31" s="54" t="n">
        <v>60</v>
      </c>
      <c r="Q31" s="54" t="n">
        <v>5</v>
      </c>
      <c r="R31" s="54" t="n">
        <v>1400</v>
      </c>
      <c r="S31" s="54" t="n">
        <v>0</v>
      </c>
      <c r="T31" s="54" t="n">
        <v>5</v>
      </c>
      <c r="U31" s="54" t="n">
        <v>0</v>
      </c>
      <c r="V31" s="54" t="n">
        <v>0</v>
      </c>
      <c r="W31" s="54" t="n">
        <v>0</v>
      </c>
      <c r="X31" s="54" t="n">
        <v>74.43000000000001</v>
      </c>
    </row>
    <row r="32">
      <c r="A32" s="54" t="inlineStr">
        <is>
          <t>Bagasse</t>
        </is>
      </c>
      <c r="B32" s="54" t="n">
        <v>36.5</v>
      </c>
      <c r="C32" s="54" t="n">
        <v>26</v>
      </c>
      <c r="D32" s="54" t="n">
        <v>18.5</v>
      </c>
      <c r="E32" s="54" t="n">
        <v>83.5</v>
      </c>
      <c r="F32" s="54" t="n">
        <v>4.2</v>
      </c>
      <c r="G32" s="54" t="n">
        <v>12.5</v>
      </c>
      <c r="H32" s="54" t="n">
        <v>43.1</v>
      </c>
      <c r="I32" s="54" t="n">
        <v>51.4</v>
      </c>
      <c r="J32" s="54" t="n">
        <v>5.51</v>
      </c>
      <c r="K32" s="54" t="n">
        <v>4</v>
      </c>
      <c r="L32" s="54" t="n">
        <v>5</v>
      </c>
      <c r="M32" s="54" t="n">
        <v>0</v>
      </c>
      <c r="N32" s="54" t="n">
        <v>1</v>
      </c>
      <c r="O32" s="54" t="n">
        <v>4</v>
      </c>
      <c r="P32" s="54" t="n">
        <v>120</v>
      </c>
      <c r="Q32" s="54" t="n">
        <v>5</v>
      </c>
      <c r="R32" s="54" t="n">
        <v>1100</v>
      </c>
      <c r="S32" s="54" t="n">
        <v>0</v>
      </c>
      <c r="T32" s="54" t="n">
        <v>5</v>
      </c>
      <c r="U32" s="54" t="n">
        <v>0</v>
      </c>
      <c r="V32" s="54" t="n">
        <v>0</v>
      </c>
      <c r="W32" s="54" t="n">
        <v>0</v>
      </c>
      <c r="X32" s="54" t="n">
        <v>20.3</v>
      </c>
    </row>
    <row r="33">
      <c r="A33" s="54" t="inlineStr">
        <is>
          <t>Bamboo leaves</t>
        </is>
      </c>
      <c r="B33" s="54" t="n">
        <v>49.1</v>
      </c>
      <c r="C33" s="54" t="n">
        <v>24.8</v>
      </c>
      <c r="D33" s="54" t="n">
        <v>26.1</v>
      </c>
      <c r="E33" s="54" t="n">
        <v>68.8</v>
      </c>
      <c r="F33" s="54" t="n">
        <v>0.57</v>
      </c>
      <c r="G33" s="54" t="n">
        <v>24.23</v>
      </c>
      <c r="H33" s="54" t="n">
        <v>48.24</v>
      </c>
      <c r="I33" s="54" t="n">
        <v>6.94</v>
      </c>
      <c r="J33" s="54" t="n">
        <v>44.56</v>
      </c>
      <c r="K33" s="54" t="n">
        <v>6</v>
      </c>
      <c r="L33" s="54" t="n">
        <v>7</v>
      </c>
      <c r="M33" s="54" t="n">
        <v>0</v>
      </c>
      <c r="N33" s="54" t="n">
        <v>1</v>
      </c>
      <c r="O33" s="54" t="n">
        <v>5</v>
      </c>
      <c r="P33" s="54" t="n">
        <v>154.762160847392</v>
      </c>
      <c r="Q33" s="54" t="n">
        <v>3.78857305996005</v>
      </c>
      <c r="R33" s="54" t="n">
        <v>600</v>
      </c>
      <c r="S33" s="54" t="n">
        <v>0</v>
      </c>
      <c r="T33" s="54" t="n">
        <v>5</v>
      </c>
      <c r="U33" s="54" t="n">
        <v>0</v>
      </c>
      <c r="V33" s="54" t="n">
        <v>0</v>
      </c>
      <c r="W33" s="54" t="n">
        <v>0</v>
      </c>
      <c r="X33" s="54" t="n">
        <v>527</v>
      </c>
    </row>
    <row r="34">
      <c r="A34" s="54" t="inlineStr">
        <is>
          <t>Bamboo leaves</t>
        </is>
      </c>
      <c r="B34" s="54" t="n">
        <v>49.1</v>
      </c>
      <c r="C34" s="54" t="n">
        <v>24.8</v>
      </c>
      <c r="D34" s="54" t="n">
        <v>26.1</v>
      </c>
      <c r="E34" s="54" t="n">
        <v>68.8</v>
      </c>
      <c r="F34" s="54" t="n">
        <v>0.57</v>
      </c>
      <c r="G34" s="54" t="n">
        <v>24.23</v>
      </c>
      <c r="H34" s="54" t="n">
        <v>48.24</v>
      </c>
      <c r="I34" s="54" t="n">
        <v>6.94</v>
      </c>
      <c r="J34" s="54" t="n">
        <v>44.56</v>
      </c>
      <c r="K34" s="54" t="n">
        <v>6</v>
      </c>
      <c r="L34" s="54" t="n">
        <v>7</v>
      </c>
      <c r="M34" s="54" t="n">
        <v>0</v>
      </c>
      <c r="N34" s="54" t="n">
        <v>1</v>
      </c>
      <c r="O34" s="54" t="n">
        <v>5</v>
      </c>
      <c r="P34" s="54" t="n">
        <v>83.6581829105336</v>
      </c>
      <c r="Q34" s="54" t="n">
        <v>4.18532351613348</v>
      </c>
      <c r="R34" s="54" t="n">
        <v>700</v>
      </c>
      <c r="S34" s="54" t="n">
        <v>0</v>
      </c>
      <c r="T34" s="54" t="n">
        <v>5</v>
      </c>
      <c r="U34" s="54" t="n">
        <v>0</v>
      </c>
      <c r="V34" s="54" t="n">
        <v>0</v>
      </c>
      <c r="W34" s="54" t="n">
        <v>0</v>
      </c>
      <c r="X34" s="54" t="n">
        <v>475.9</v>
      </c>
    </row>
    <row r="35">
      <c r="A35" s="54" t="inlineStr">
        <is>
          <t>Bamboo leaves</t>
        </is>
      </c>
      <c r="B35" s="54" t="n">
        <v>49.1</v>
      </c>
      <c r="C35" s="54" t="n">
        <v>24.8</v>
      </c>
      <c r="D35" s="54" t="n">
        <v>26.1</v>
      </c>
      <c r="E35" s="54" t="n">
        <v>68.8</v>
      </c>
      <c r="F35" s="54" t="n">
        <v>0.57</v>
      </c>
      <c r="G35" s="54" t="n">
        <v>24.23</v>
      </c>
      <c r="H35" s="54" t="n">
        <v>48.24</v>
      </c>
      <c r="I35" s="54" t="n">
        <v>6.94</v>
      </c>
      <c r="J35" s="54" t="n">
        <v>44.56</v>
      </c>
      <c r="K35" s="54" t="n">
        <v>6</v>
      </c>
      <c r="L35" s="54" t="n">
        <v>7</v>
      </c>
      <c r="M35" s="54" t="n">
        <v>0</v>
      </c>
      <c r="N35" s="54" t="n">
        <v>1</v>
      </c>
      <c r="O35" s="54" t="n">
        <v>5</v>
      </c>
      <c r="P35" s="54" t="n">
        <v>123.532895633131</v>
      </c>
      <c r="Q35" s="54" t="n">
        <v>3.85507022587388</v>
      </c>
      <c r="R35" s="54" t="n">
        <v>800</v>
      </c>
      <c r="S35" s="54" t="n">
        <v>0</v>
      </c>
      <c r="T35" s="54" t="n">
        <v>5</v>
      </c>
      <c r="U35" s="54" t="n">
        <v>0</v>
      </c>
      <c r="V35" s="54" t="n">
        <v>0</v>
      </c>
      <c r="W35" s="54" t="n">
        <v>0</v>
      </c>
      <c r="X35" s="54" t="n">
        <v>394</v>
      </c>
    </row>
    <row r="36">
      <c r="A36" s="54" t="inlineStr">
        <is>
          <t>Bamboo powder</t>
        </is>
      </c>
      <c r="B36" s="54" t="n">
        <v>52.588285374521</v>
      </c>
      <c r="C36" s="54" t="n">
        <v>17.7960632822424</v>
      </c>
      <c r="D36" s="54" t="n">
        <v>18.8230555230696</v>
      </c>
      <c r="E36" s="54" t="n">
        <v>89.94</v>
      </c>
      <c r="F36" s="54" t="n">
        <v>0.51</v>
      </c>
      <c r="G36" s="54" t="n">
        <v>14.55</v>
      </c>
      <c r="H36" s="54" t="n">
        <v>48.75</v>
      </c>
      <c r="I36" s="54" t="n">
        <v>45.02</v>
      </c>
      <c r="J36" s="54" t="n">
        <v>5.98</v>
      </c>
      <c r="K36" s="54" t="n">
        <v>1</v>
      </c>
      <c r="L36" s="54" t="n">
        <v>5</v>
      </c>
      <c r="M36" s="54" t="n">
        <v>1</v>
      </c>
      <c r="N36" s="54" t="n">
        <v>1</v>
      </c>
      <c r="O36" s="54" t="n">
        <v>4</v>
      </c>
      <c r="P36" s="54" t="n">
        <v>300</v>
      </c>
      <c r="Q36" s="54" t="n">
        <v>4</v>
      </c>
      <c r="R36" s="54" t="n">
        <v>400</v>
      </c>
      <c r="S36" s="54" t="n">
        <v>1</v>
      </c>
      <c r="T36" s="54" t="n">
        <v>5</v>
      </c>
      <c r="U36" s="54" t="n">
        <v>120</v>
      </c>
      <c r="V36" s="54" t="n">
        <v>5</v>
      </c>
      <c r="W36" s="54" t="n">
        <v>1000</v>
      </c>
      <c r="X36" s="54" t="n">
        <v>61.14</v>
      </c>
    </row>
    <row r="37">
      <c r="A37" s="54" t="inlineStr">
        <is>
          <t>Bamboo powder</t>
        </is>
      </c>
      <c r="B37" s="54" t="n">
        <v>52.588285374521</v>
      </c>
      <c r="C37" s="54" t="n">
        <v>17.7960632822424</v>
      </c>
      <c r="D37" s="54" t="n">
        <v>18.8230555230696</v>
      </c>
      <c r="E37" s="54" t="n">
        <v>89.94</v>
      </c>
      <c r="F37" s="54" t="n">
        <v>0.51</v>
      </c>
      <c r="G37" s="54" t="n">
        <v>14.55</v>
      </c>
      <c r="H37" s="54" t="n">
        <v>48.75</v>
      </c>
      <c r="I37" s="54" t="n">
        <v>45.02</v>
      </c>
      <c r="J37" s="54" t="n">
        <v>5.98</v>
      </c>
      <c r="K37" s="54" t="n">
        <v>1</v>
      </c>
      <c r="L37" s="54" t="n">
        <v>5</v>
      </c>
      <c r="M37" s="54" t="n">
        <v>1</v>
      </c>
      <c r="N37" s="54" t="n">
        <v>1</v>
      </c>
      <c r="O37" s="54" t="n">
        <v>4</v>
      </c>
      <c r="P37" s="54" t="n">
        <v>300</v>
      </c>
      <c r="Q37" s="54" t="n">
        <v>4</v>
      </c>
      <c r="R37" s="54" t="n">
        <v>400</v>
      </c>
      <c r="S37" s="54" t="n">
        <v>1</v>
      </c>
      <c r="T37" s="54" t="n">
        <v>5</v>
      </c>
      <c r="U37" s="54" t="n">
        <v>120</v>
      </c>
      <c r="V37" s="54" t="n">
        <v>5</v>
      </c>
      <c r="W37" s="54" t="n">
        <v>1200</v>
      </c>
      <c r="X37" s="54" t="n">
        <v>35.02</v>
      </c>
    </row>
    <row r="38">
      <c r="A38" s="54" t="inlineStr">
        <is>
          <t>Bamboo powder</t>
        </is>
      </c>
      <c r="B38" s="54" t="n">
        <v>52.588285374521</v>
      </c>
      <c r="C38" s="54" t="n">
        <v>17.7960632822424</v>
      </c>
      <c r="D38" s="54" t="n">
        <v>18.8230555230696</v>
      </c>
      <c r="E38" s="54" t="n">
        <v>89.94</v>
      </c>
      <c r="F38" s="54" t="n">
        <v>0.51</v>
      </c>
      <c r="G38" s="54" t="n">
        <v>14.55</v>
      </c>
      <c r="H38" s="54" t="n">
        <v>48.75</v>
      </c>
      <c r="I38" s="54" t="n">
        <v>45.02</v>
      </c>
      <c r="J38" s="54" t="n">
        <v>5.98</v>
      </c>
      <c r="K38" s="54" t="n">
        <v>1</v>
      </c>
      <c r="L38" s="54" t="n">
        <v>5</v>
      </c>
      <c r="M38" s="54" t="n">
        <v>1</v>
      </c>
      <c r="N38" s="54" t="n">
        <v>1</v>
      </c>
      <c r="O38" s="54" t="n">
        <v>4</v>
      </c>
      <c r="P38" s="54" t="n">
        <v>300</v>
      </c>
      <c r="Q38" s="54" t="n">
        <v>4</v>
      </c>
      <c r="R38" s="54" t="n">
        <v>400</v>
      </c>
      <c r="S38" s="54" t="n">
        <v>1</v>
      </c>
      <c r="T38" s="54" t="n">
        <v>5</v>
      </c>
      <c r="U38" s="54" t="n">
        <v>120</v>
      </c>
      <c r="V38" s="54" t="n">
        <v>5</v>
      </c>
      <c r="W38" s="54" t="n">
        <v>1400</v>
      </c>
      <c r="X38" s="54" t="n">
        <v>10.78</v>
      </c>
    </row>
    <row r="39">
      <c r="A39" s="54" t="inlineStr">
        <is>
          <t>Bamboo powder</t>
        </is>
      </c>
      <c r="B39" s="54" t="n">
        <v>52.588285374521</v>
      </c>
      <c r="C39" s="54" t="n">
        <v>17.7960632822424</v>
      </c>
      <c r="D39" s="54" t="n">
        <v>18.8230555230696</v>
      </c>
      <c r="E39" s="54" t="n">
        <v>89.94</v>
      </c>
      <c r="F39" s="54" t="n">
        <v>0.51</v>
      </c>
      <c r="G39" s="54" t="n">
        <v>14.55</v>
      </c>
      <c r="H39" s="54" t="n">
        <v>48.75</v>
      </c>
      <c r="I39" s="54" t="n">
        <v>45.02</v>
      </c>
      <c r="J39" s="54" t="n">
        <v>5.98</v>
      </c>
      <c r="K39" s="54" t="n">
        <v>1</v>
      </c>
      <c r="L39" s="54" t="n">
        <v>5</v>
      </c>
      <c r="M39" s="54" t="n">
        <v>1</v>
      </c>
      <c r="N39" s="54" t="n">
        <v>1</v>
      </c>
      <c r="O39" s="54" t="n">
        <v>4</v>
      </c>
      <c r="P39" s="54" t="n">
        <v>300</v>
      </c>
      <c r="Q39" s="54" t="n">
        <v>4</v>
      </c>
      <c r="R39" s="54" t="n">
        <v>400</v>
      </c>
      <c r="S39" s="54" t="n">
        <v>1</v>
      </c>
      <c r="T39" s="54" t="n">
        <v>5</v>
      </c>
      <c r="U39" s="54" t="n">
        <v>120</v>
      </c>
      <c r="V39" s="54" t="n">
        <v>5</v>
      </c>
      <c r="W39" s="54" t="n">
        <v>1600</v>
      </c>
      <c r="X39" s="54" t="n">
        <v>10.48</v>
      </c>
    </row>
    <row r="40">
      <c r="A40" s="54" t="inlineStr">
        <is>
          <t>Bamboo wood powder</t>
        </is>
      </c>
      <c r="B40" s="54" t="n">
        <v>52.588285374521</v>
      </c>
      <c r="C40" s="54" t="n">
        <v>17.7960632822424</v>
      </c>
      <c r="D40" s="54" t="n">
        <v>18.8230555230696</v>
      </c>
      <c r="E40" s="54" t="n">
        <v>89.94</v>
      </c>
      <c r="F40" s="54" t="n">
        <v>0.51</v>
      </c>
      <c r="G40" s="54" t="n">
        <v>14.55</v>
      </c>
      <c r="H40" s="54" t="n">
        <v>48.75</v>
      </c>
      <c r="I40" s="54" t="n">
        <v>45.02</v>
      </c>
      <c r="J40" s="54" t="n">
        <v>5.98</v>
      </c>
      <c r="K40" s="54" t="n">
        <v>4</v>
      </c>
      <c r="L40" s="54" t="n">
        <v>5</v>
      </c>
      <c r="M40" s="54" t="n">
        <v>1</v>
      </c>
      <c r="N40" s="54" t="n">
        <v>1</v>
      </c>
      <c r="O40" s="54" t="n">
        <v>4</v>
      </c>
      <c r="P40" s="54" t="n">
        <v>240</v>
      </c>
      <c r="Q40" s="54" t="n">
        <v>2.5</v>
      </c>
      <c r="R40" s="54" t="n">
        <v>360</v>
      </c>
      <c r="S40" s="54" t="n">
        <v>1</v>
      </c>
      <c r="T40" s="54" t="n">
        <v>5</v>
      </c>
      <c r="U40" s="54" t="n">
        <v>120</v>
      </c>
      <c r="V40" s="54" t="n">
        <v>1.32558139534884</v>
      </c>
      <c r="W40" s="54" t="n">
        <v>1300</v>
      </c>
      <c r="X40" s="54" t="n">
        <v>13.62</v>
      </c>
    </row>
    <row r="41">
      <c r="A41" s="54" t="inlineStr">
        <is>
          <t>Banana peel</t>
        </is>
      </c>
      <c r="B41" s="54" t="n">
        <v>9.9</v>
      </c>
      <c r="C41" s="54" t="n">
        <v>41.38</v>
      </c>
      <c r="D41" s="54" t="n">
        <v>8.9</v>
      </c>
      <c r="E41" s="54" t="n">
        <v>88.02</v>
      </c>
      <c r="F41" s="54" t="n">
        <v>9.279999999999999</v>
      </c>
      <c r="G41" s="54" t="n">
        <v>2.7</v>
      </c>
      <c r="H41" s="54" t="n">
        <v>35.65</v>
      </c>
      <c r="I41" s="54" t="n">
        <v>45.94</v>
      </c>
      <c r="J41" s="54" t="n">
        <v>6.19</v>
      </c>
      <c r="K41" s="54" t="n">
        <v>6</v>
      </c>
      <c r="L41" s="54" t="n">
        <v>4</v>
      </c>
      <c r="M41" s="54" t="n">
        <v>1</v>
      </c>
      <c r="N41" s="54" t="n">
        <v>1</v>
      </c>
      <c r="O41" s="54" t="n">
        <v>4</v>
      </c>
      <c r="P41" s="54" t="n">
        <v>300</v>
      </c>
      <c r="Q41" s="54" t="n">
        <v>5</v>
      </c>
      <c r="R41" s="54" t="n">
        <v>1100</v>
      </c>
      <c r="S41" s="54" t="n">
        <v>1</v>
      </c>
      <c r="T41" s="54" t="n">
        <v>6</v>
      </c>
      <c r="U41" s="54" t="n">
        <v>5</v>
      </c>
      <c r="V41" s="54" t="n">
        <v>1.32558139534884</v>
      </c>
      <c r="W41" s="54" t="n">
        <v>300</v>
      </c>
      <c r="X41" s="54" t="n">
        <v>763.3</v>
      </c>
    </row>
    <row r="42">
      <c r="A42" s="54" t="inlineStr">
        <is>
          <t>Banana peel</t>
        </is>
      </c>
      <c r="B42" s="54" t="n">
        <v>9.9</v>
      </c>
      <c r="C42" s="54" t="n">
        <v>41.38</v>
      </c>
      <c r="D42" s="54" t="n">
        <v>8.9</v>
      </c>
      <c r="E42" s="54" t="n">
        <v>88.02</v>
      </c>
      <c r="F42" s="54" t="n">
        <v>9.279999999999999</v>
      </c>
      <c r="G42" s="54" t="n">
        <v>2.7</v>
      </c>
      <c r="H42" s="54" t="n">
        <v>35.65</v>
      </c>
      <c r="I42" s="54" t="n">
        <v>45.94</v>
      </c>
      <c r="J42" s="54" t="n">
        <v>6.19</v>
      </c>
      <c r="K42" s="54" t="n">
        <v>6</v>
      </c>
      <c r="L42" s="54" t="n">
        <v>2</v>
      </c>
      <c r="M42" s="54" t="n">
        <v>1</v>
      </c>
      <c r="N42" s="54" t="n">
        <v>1</v>
      </c>
      <c r="O42" s="54" t="n">
        <v>4</v>
      </c>
      <c r="P42" s="54" t="n">
        <v>300</v>
      </c>
      <c r="Q42" s="54" t="n">
        <v>5</v>
      </c>
      <c r="R42" s="54" t="n">
        <v>800</v>
      </c>
      <c r="S42" s="54" t="n">
        <v>1</v>
      </c>
      <c r="T42" s="54" t="n">
        <v>6</v>
      </c>
      <c r="U42" s="54" t="n">
        <v>3</v>
      </c>
      <c r="V42" s="54" t="n">
        <v>5</v>
      </c>
      <c r="W42" s="54" t="n">
        <v>300</v>
      </c>
      <c r="X42" s="54" t="n">
        <v>217.3</v>
      </c>
    </row>
    <row r="43">
      <c r="A43" s="54" t="inlineStr">
        <is>
          <t>Banana peel</t>
        </is>
      </c>
      <c r="B43" s="54" t="n">
        <v>9.9</v>
      </c>
      <c r="C43" s="54" t="n">
        <v>41.38</v>
      </c>
      <c r="D43" s="54" t="n">
        <v>8.9</v>
      </c>
      <c r="E43" s="54" t="n">
        <v>88.02</v>
      </c>
      <c r="F43" s="54" t="n">
        <v>9.279999999999999</v>
      </c>
      <c r="G43" s="54" t="n">
        <v>2.7</v>
      </c>
      <c r="H43" s="54" t="n">
        <v>35.65</v>
      </c>
      <c r="I43" s="54" t="n">
        <v>45.94</v>
      </c>
      <c r="J43" s="54" t="n">
        <v>6.19</v>
      </c>
      <c r="K43" s="54" t="n">
        <v>6</v>
      </c>
      <c r="L43" s="54" t="n">
        <v>2</v>
      </c>
      <c r="M43" s="54" t="n">
        <v>1</v>
      </c>
      <c r="N43" s="54" t="n">
        <v>1</v>
      </c>
      <c r="O43" s="54" t="n">
        <v>4</v>
      </c>
      <c r="P43" s="54" t="n">
        <v>300</v>
      </c>
      <c r="Q43" s="54" t="n">
        <v>5</v>
      </c>
      <c r="R43" s="54" t="n">
        <v>1100</v>
      </c>
      <c r="S43" s="54" t="n">
        <v>1</v>
      </c>
      <c r="T43" s="54" t="n">
        <v>6</v>
      </c>
      <c r="U43" s="54" t="n">
        <v>3</v>
      </c>
      <c r="V43" s="54" t="n">
        <v>5</v>
      </c>
      <c r="W43" s="54" t="n">
        <v>300</v>
      </c>
      <c r="X43" s="54" t="n">
        <v>130.8</v>
      </c>
    </row>
    <row r="44">
      <c r="A44" s="54" t="inlineStr">
        <is>
          <t>Banana peel</t>
        </is>
      </c>
      <c r="B44" s="54" t="n">
        <v>9.9</v>
      </c>
      <c r="C44" s="54" t="n">
        <v>41.38</v>
      </c>
      <c r="D44" s="54" t="n">
        <v>8.9</v>
      </c>
      <c r="E44" s="54" t="n">
        <v>88.02</v>
      </c>
      <c r="F44" s="54" t="n">
        <v>9.279999999999999</v>
      </c>
      <c r="G44" s="54" t="n">
        <v>2.7</v>
      </c>
      <c r="H44" s="54" t="n">
        <v>35.65</v>
      </c>
      <c r="I44" s="54" t="n">
        <v>45.94</v>
      </c>
      <c r="J44" s="54" t="n">
        <v>6.19</v>
      </c>
      <c r="K44" s="54" t="n">
        <v>6</v>
      </c>
      <c r="L44" s="54" t="n">
        <v>2</v>
      </c>
      <c r="M44" s="54" t="n">
        <v>1</v>
      </c>
      <c r="N44" s="54" t="n">
        <v>1</v>
      </c>
      <c r="O44" s="54" t="n">
        <v>4</v>
      </c>
      <c r="P44" s="54" t="n">
        <v>300</v>
      </c>
      <c r="Q44" s="54" t="n">
        <v>5</v>
      </c>
      <c r="R44" s="54" t="n">
        <v>1400</v>
      </c>
      <c r="S44" s="54" t="n">
        <v>1</v>
      </c>
      <c r="T44" s="54" t="n">
        <v>6</v>
      </c>
      <c r="U44" s="54" t="n">
        <v>3</v>
      </c>
      <c r="V44" s="54" t="n">
        <v>5</v>
      </c>
      <c r="W44" s="54" t="n">
        <v>300</v>
      </c>
      <c r="X44" s="54" t="n">
        <v>62.1</v>
      </c>
    </row>
    <row r="45">
      <c r="A45" s="54" t="inlineStr">
        <is>
          <t>Banana peel</t>
        </is>
      </c>
      <c r="B45" s="54" t="n">
        <v>9.9</v>
      </c>
      <c r="C45" s="54" t="n">
        <v>41.38</v>
      </c>
      <c r="D45" s="54" t="n">
        <v>8.9</v>
      </c>
      <c r="E45" s="54" t="n">
        <v>88.02</v>
      </c>
      <c r="F45" s="54" t="n">
        <v>9.279999999999999</v>
      </c>
      <c r="G45" s="54" t="n">
        <v>2.7</v>
      </c>
      <c r="H45" s="54" t="n">
        <v>35.65</v>
      </c>
      <c r="I45" s="54" t="n">
        <v>45.94</v>
      </c>
      <c r="J45" s="54" t="n">
        <v>6.19</v>
      </c>
      <c r="K45" s="54" t="n">
        <v>6</v>
      </c>
      <c r="L45" s="54" t="n">
        <v>2</v>
      </c>
      <c r="M45" s="54" t="n">
        <v>0</v>
      </c>
      <c r="N45" s="54" t="n">
        <v>1</v>
      </c>
      <c r="O45" s="54" t="n">
        <v>4</v>
      </c>
      <c r="P45" s="54" t="n">
        <v>300</v>
      </c>
      <c r="Q45" s="54" t="n">
        <v>5</v>
      </c>
      <c r="R45" s="54" t="n">
        <v>800</v>
      </c>
      <c r="S45" s="54" t="n">
        <v>0</v>
      </c>
      <c r="T45" s="54" t="n">
        <v>5</v>
      </c>
      <c r="U45" s="54" t="n">
        <v>0</v>
      </c>
      <c r="V45" s="54" t="n">
        <v>0</v>
      </c>
      <c r="W45" s="54" t="n">
        <v>0</v>
      </c>
      <c r="X45" s="54" t="n">
        <v>33</v>
      </c>
    </row>
    <row r="46">
      <c r="A46" s="54" t="inlineStr">
        <is>
          <t>Banana peel</t>
        </is>
      </c>
      <c r="B46" s="54" t="n">
        <v>9.9</v>
      </c>
      <c r="C46" s="54" t="n">
        <v>41.38</v>
      </c>
      <c r="D46" s="54" t="n">
        <v>8.9</v>
      </c>
      <c r="E46" s="54" t="n">
        <v>88.02</v>
      </c>
      <c r="F46" s="54" t="n">
        <v>9.279999999999999</v>
      </c>
      <c r="G46" s="54" t="n">
        <v>2.7</v>
      </c>
      <c r="H46" s="54" t="n">
        <v>35.65</v>
      </c>
      <c r="I46" s="54" t="n">
        <v>45.94</v>
      </c>
      <c r="J46" s="54" t="n">
        <v>6.19</v>
      </c>
      <c r="K46" s="54" t="n">
        <v>6</v>
      </c>
      <c r="L46" s="54" t="n">
        <v>2</v>
      </c>
      <c r="M46" s="54" t="n">
        <v>0</v>
      </c>
      <c r="N46" s="54" t="n">
        <v>1</v>
      </c>
      <c r="O46" s="54" t="n">
        <v>4</v>
      </c>
      <c r="P46" s="54" t="n">
        <v>300</v>
      </c>
      <c r="Q46" s="54" t="n">
        <v>5</v>
      </c>
      <c r="R46" s="54" t="n">
        <v>1100</v>
      </c>
      <c r="S46" s="54" t="n">
        <v>0</v>
      </c>
      <c r="T46" s="54" t="n">
        <v>5</v>
      </c>
      <c r="U46" s="54" t="n">
        <v>0</v>
      </c>
      <c r="V46" s="54" t="n">
        <v>0</v>
      </c>
      <c r="W46" s="54" t="n">
        <v>0</v>
      </c>
      <c r="X46" s="54" t="n">
        <v>19.3</v>
      </c>
    </row>
    <row r="47">
      <c r="A47" s="54" t="inlineStr">
        <is>
          <t>Banana peel</t>
        </is>
      </c>
      <c r="B47" s="54" t="n">
        <v>9.9</v>
      </c>
      <c r="C47" s="54" t="n">
        <v>41.38</v>
      </c>
      <c r="D47" s="54" t="n">
        <v>8.9</v>
      </c>
      <c r="E47" s="54" t="n">
        <v>88.02</v>
      </c>
      <c r="F47" s="54" t="n">
        <v>9.279999999999999</v>
      </c>
      <c r="G47" s="54" t="n">
        <v>2.7</v>
      </c>
      <c r="H47" s="54" t="n">
        <v>35.65</v>
      </c>
      <c r="I47" s="54" t="n">
        <v>45.94</v>
      </c>
      <c r="J47" s="54" t="n">
        <v>6.19</v>
      </c>
      <c r="K47" s="54" t="n">
        <v>6</v>
      </c>
      <c r="L47" s="54" t="n">
        <v>2</v>
      </c>
      <c r="M47" s="54" t="n">
        <v>0</v>
      </c>
      <c r="N47" s="54" t="n">
        <v>1</v>
      </c>
      <c r="O47" s="54" t="n">
        <v>4</v>
      </c>
      <c r="P47" s="54" t="n">
        <v>300</v>
      </c>
      <c r="Q47" s="54" t="n">
        <v>5</v>
      </c>
      <c r="R47" s="54" t="n">
        <v>1400</v>
      </c>
      <c r="S47" s="54" t="n">
        <v>0</v>
      </c>
      <c r="T47" s="54" t="n">
        <v>5</v>
      </c>
      <c r="U47" s="54" t="n">
        <v>0</v>
      </c>
      <c r="V47" s="54" t="n">
        <v>0</v>
      </c>
      <c r="W47" s="54" t="n">
        <v>0</v>
      </c>
      <c r="X47" s="54" t="n">
        <v>14.5</v>
      </c>
    </row>
    <row r="48">
      <c r="A48" s="54" t="inlineStr">
        <is>
          <t>Basswood</t>
        </is>
      </c>
      <c r="B48" s="54" t="n">
        <v>29.3121867273089</v>
      </c>
      <c r="C48" s="54" t="n">
        <v>22.2352358295365</v>
      </c>
      <c r="D48" s="54" t="n">
        <v>16.8870037601724</v>
      </c>
      <c r="E48" s="54" t="n">
        <v>88.7</v>
      </c>
      <c r="F48" s="54" t="n">
        <v>11.81</v>
      </c>
      <c r="G48" s="54" t="n">
        <v>0.53</v>
      </c>
      <c r="H48" s="54" t="n">
        <v>47.2611698334523</v>
      </c>
      <c r="I48" s="54" t="n">
        <v>41.8151448652321</v>
      </c>
      <c r="J48" s="54" t="n">
        <v>5.87578690417066</v>
      </c>
      <c r="K48" s="54" t="n">
        <v>6</v>
      </c>
      <c r="L48" s="54" t="n">
        <v>1</v>
      </c>
      <c r="M48" s="54" t="n">
        <v>0</v>
      </c>
      <c r="N48" s="54" t="n">
        <v>1</v>
      </c>
      <c r="O48" s="54" t="n">
        <v>0</v>
      </c>
      <c r="P48" s="54" t="n">
        <v>131.878371938153</v>
      </c>
      <c r="Q48" s="54" t="n">
        <v>2.78242096734295</v>
      </c>
      <c r="R48" s="54" t="n">
        <v>500</v>
      </c>
      <c r="S48" s="54" t="n">
        <v>0</v>
      </c>
      <c r="T48" s="54" t="n">
        <v>5</v>
      </c>
      <c r="U48" s="54" t="n">
        <v>0</v>
      </c>
      <c r="V48" s="54" t="n">
        <v>0</v>
      </c>
      <c r="W48" s="54" t="n">
        <v>0</v>
      </c>
      <c r="X48" s="54" t="n">
        <v>992.6</v>
      </c>
    </row>
    <row r="49">
      <c r="A49" s="54" t="inlineStr">
        <is>
          <t>Beech wood</t>
        </is>
      </c>
      <c r="B49" s="54" t="n">
        <v>41.7</v>
      </c>
      <c r="C49" s="54" t="n">
        <v>37.1</v>
      </c>
      <c r="D49" s="54" t="n">
        <v>18.9</v>
      </c>
      <c r="E49" s="54" t="n">
        <v>77.90000000000001</v>
      </c>
      <c r="F49" s="54" t="n">
        <v>0.5</v>
      </c>
      <c r="G49" s="54" t="n">
        <v>21.4</v>
      </c>
      <c r="H49" s="54" t="n">
        <v>47.8</v>
      </c>
      <c r="I49" s="54" t="n">
        <v>45.1</v>
      </c>
      <c r="J49" s="54" t="n">
        <v>6.3</v>
      </c>
      <c r="K49" s="54" t="n">
        <v>4</v>
      </c>
      <c r="L49" s="54" t="n">
        <v>5</v>
      </c>
      <c r="M49" s="54" t="n">
        <v>0</v>
      </c>
      <c r="N49" s="54" t="n">
        <v>1</v>
      </c>
      <c r="O49" s="54" t="n">
        <v>4</v>
      </c>
      <c r="P49" s="54" t="n">
        <v>60</v>
      </c>
      <c r="Q49" s="54" t="n">
        <v>3.3</v>
      </c>
      <c r="R49" s="54" t="n">
        <v>1000</v>
      </c>
      <c r="S49" s="54" t="n">
        <v>0</v>
      </c>
      <c r="T49" s="54" t="n">
        <v>5</v>
      </c>
      <c r="U49" s="54" t="n">
        <v>0</v>
      </c>
      <c r="V49" s="54" t="n">
        <v>0</v>
      </c>
      <c r="W49" s="54" t="n">
        <v>0</v>
      </c>
      <c r="X49" s="54" t="n">
        <v>16</v>
      </c>
    </row>
    <row r="50">
      <c r="A50" s="54" t="inlineStr">
        <is>
          <t>Beech wood</t>
        </is>
      </c>
      <c r="B50" s="54" t="n">
        <v>41.7</v>
      </c>
      <c r="C50" s="54" t="n">
        <v>37.1</v>
      </c>
      <c r="D50" s="54" t="n">
        <v>18.9</v>
      </c>
      <c r="E50" s="54" t="n">
        <v>77.90000000000001</v>
      </c>
      <c r="F50" s="54" t="n">
        <v>0.5</v>
      </c>
      <c r="G50" s="54" t="n">
        <v>21.4</v>
      </c>
      <c r="H50" s="54" t="n">
        <v>47.8</v>
      </c>
      <c r="I50" s="54" t="n">
        <v>45.1</v>
      </c>
      <c r="J50" s="54" t="n">
        <v>6.3</v>
      </c>
      <c r="K50" s="54" t="n">
        <v>4</v>
      </c>
      <c r="L50" s="54" t="n">
        <v>5</v>
      </c>
      <c r="M50" s="54" t="n">
        <v>0</v>
      </c>
      <c r="N50" s="54" t="n">
        <v>1</v>
      </c>
      <c r="O50" s="54" t="n">
        <v>4</v>
      </c>
      <c r="P50" s="54" t="n">
        <v>60</v>
      </c>
      <c r="Q50" s="54" t="n">
        <v>3.3</v>
      </c>
      <c r="R50" s="54" t="n">
        <v>1200</v>
      </c>
      <c r="S50" s="54" t="n">
        <v>0</v>
      </c>
      <c r="T50" s="54" t="n">
        <v>5</v>
      </c>
      <c r="U50" s="54" t="n">
        <v>0</v>
      </c>
      <c r="V50" s="54" t="n">
        <v>0</v>
      </c>
      <c r="W50" s="54" t="n">
        <v>0</v>
      </c>
      <c r="X50" s="54" t="n">
        <v>6</v>
      </c>
    </row>
    <row r="51">
      <c r="A51" s="54" t="inlineStr">
        <is>
          <t>Beech wood</t>
        </is>
      </c>
      <c r="B51" s="54" t="n">
        <v>41.7</v>
      </c>
      <c r="C51" s="54" t="n">
        <v>37.1</v>
      </c>
      <c r="D51" s="54" t="n">
        <v>18.9</v>
      </c>
      <c r="E51" s="54" t="n">
        <v>77.90000000000001</v>
      </c>
      <c r="F51" s="54" t="n">
        <v>0.5</v>
      </c>
      <c r="G51" s="54" t="n">
        <v>21.4</v>
      </c>
      <c r="H51" s="54" t="n">
        <v>47.8</v>
      </c>
      <c r="I51" s="54" t="n">
        <v>45.1</v>
      </c>
      <c r="J51" s="54" t="n">
        <v>6.3</v>
      </c>
      <c r="K51" s="54" t="n">
        <v>4</v>
      </c>
      <c r="L51" s="54" t="n">
        <v>5</v>
      </c>
      <c r="M51" s="54" t="n">
        <v>0</v>
      </c>
      <c r="N51" s="54" t="n">
        <v>1</v>
      </c>
      <c r="O51" s="54" t="n">
        <v>4</v>
      </c>
      <c r="P51" s="54" t="n">
        <v>60</v>
      </c>
      <c r="Q51" s="54" t="n">
        <v>3.3</v>
      </c>
      <c r="R51" s="54" t="n">
        <v>1400</v>
      </c>
      <c r="S51" s="54" t="n">
        <v>0</v>
      </c>
      <c r="T51" s="54" t="n">
        <v>5</v>
      </c>
      <c r="U51" s="54" t="n">
        <v>0</v>
      </c>
      <c r="V51" s="54" t="n">
        <v>0</v>
      </c>
      <c r="W51" s="54" t="n">
        <v>0</v>
      </c>
      <c r="X51" s="54" t="n">
        <v>4.8</v>
      </c>
    </row>
    <row r="52">
      <c r="A52" s="54" t="inlineStr">
        <is>
          <t>Buckwheat hulls</t>
        </is>
      </c>
      <c r="B52" s="54" t="n">
        <v>20.4</v>
      </c>
      <c r="C52" s="54" t="n">
        <v>18.5</v>
      </c>
      <c r="D52" s="54" t="n">
        <v>27</v>
      </c>
      <c r="E52" s="54" t="n">
        <v>66.90000000000001</v>
      </c>
      <c r="F52" s="54" t="n">
        <v>2.6</v>
      </c>
      <c r="G52" s="54" t="n">
        <v>18.1</v>
      </c>
      <c r="H52" s="54" t="n">
        <v>47.5</v>
      </c>
      <c r="I52" s="54" t="n">
        <v>44.1</v>
      </c>
      <c r="J52" s="54" t="n">
        <v>5.8</v>
      </c>
      <c r="K52" s="54" t="n">
        <v>3</v>
      </c>
      <c r="L52" s="54" t="n">
        <v>5</v>
      </c>
      <c r="M52" s="54" t="n">
        <v>0</v>
      </c>
      <c r="N52" s="54" t="n">
        <v>1</v>
      </c>
      <c r="O52" s="54" t="n">
        <v>4</v>
      </c>
      <c r="P52" s="54" t="n">
        <v>120</v>
      </c>
      <c r="Q52" s="54" t="n">
        <v>3</v>
      </c>
      <c r="R52" s="54" t="n">
        <v>700</v>
      </c>
      <c r="S52" s="54" t="n">
        <v>0</v>
      </c>
      <c r="T52" s="54" t="n">
        <v>5</v>
      </c>
      <c r="U52" s="54" t="n">
        <v>0</v>
      </c>
      <c r="V52" s="54" t="n">
        <v>0</v>
      </c>
      <c r="W52" s="54" t="n">
        <v>0</v>
      </c>
      <c r="X52" s="54" t="n">
        <v>40.48</v>
      </c>
    </row>
    <row r="53">
      <c r="A53" s="54" t="inlineStr">
        <is>
          <t>Buckwheat hulls</t>
        </is>
      </c>
      <c r="B53" s="54" t="n">
        <v>20.4</v>
      </c>
      <c r="C53" s="54" t="n">
        <v>18.5</v>
      </c>
      <c r="D53" s="54" t="n">
        <v>27</v>
      </c>
      <c r="E53" s="54" t="n">
        <v>66.90000000000001</v>
      </c>
      <c r="F53" s="54" t="n">
        <v>2.6</v>
      </c>
      <c r="G53" s="54" t="n">
        <v>18.1</v>
      </c>
      <c r="H53" s="54" t="n">
        <v>47.5</v>
      </c>
      <c r="I53" s="54" t="n">
        <v>44.1</v>
      </c>
      <c r="J53" s="54" t="n">
        <v>5.8</v>
      </c>
      <c r="K53" s="54" t="n">
        <v>3</v>
      </c>
      <c r="L53" s="54" t="n">
        <v>5</v>
      </c>
      <c r="M53" s="54" t="n">
        <v>0</v>
      </c>
      <c r="N53" s="54" t="n">
        <v>1</v>
      </c>
      <c r="O53" s="54" t="n">
        <v>4</v>
      </c>
      <c r="P53" s="54" t="n">
        <v>120</v>
      </c>
      <c r="Q53" s="54" t="n">
        <v>3</v>
      </c>
      <c r="R53" s="54" t="n">
        <v>900</v>
      </c>
      <c r="S53" s="54" t="n">
        <v>0</v>
      </c>
      <c r="T53" s="54" t="n">
        <v>5</v>
      </c>
      <c r="U53" s="54" t="n">
        <v>0</v>
      </c>
      <c r="V53" s="54" t="n">
        <v>0</v>
      </c>
      <c r="W53" s="54" t="n">
        <v>0</v>
      </c>
      <c r="X53" s="54" t="n">
        <v>33.23</v>
      </c>
    </row>
    <row r="54">
      <c r="A54" s="54" t="inlineStr">
        <is>
          <t>Buckwheat hulls</t>
        </is>
      </c>
      <c r="B54" s="54" t="n">
        <v>20.4</v>
      </c>
      <c r="C54" s="54" t="n">
        <v>18.5</v>
      </c>
      <c r="D54" s="54" t="n">
        <v>27</v>
      </c>
      <c r="E54" s="54" t="n">
        <v>66.90000000000001</v>
      </c>
      <c r="F54" s="54" t="n">
        <v>2.6</v>
      </c>
      <c r="G54" s="54" t="n">
        <v>18.1</v>
      </c>
      <c r="H54" s="54" t="n">
        <v>47.5</v>
      </c>
      <c r="I54" s="54" t="n">
        <v>44.1</v>
      </c>
      <c r="J54" s="54" t="n">
        <v>5.8</v>
      </c>
      <c r="K54" s="54" t="n">
        <v>3</v>
      </c>
      <c r="L54" s="54" t="n">
        <v>5</v>
      </c>
      <c r="M54" s="54" t="n">
        <v>0</v>
      </c>
      <c r="N54" s="54" t="n">
        <v>1</v>
      </c>
      <c r="O54" s="54" t="n">
        <v>4</v>
      </c>
      <c r="P54" s="54" t="n">
        <v>120</v>
      </c>
      <c r="Q54" s="54" t="n">
        <v>3</v>
      </c>
      <c r="R54" s="54" t="n">
        <v>1100</v>
      </c>
      <c r="S54" s="54" t="n">
        <v>0</v>
      </c>
      <c r="T54" s="54" t="n">
        <v>5</v>
      </c>
      <c r="U54" s="54" t="n">
        <v>0</v>
      </c>
      <c r="V54" s="54" t="n">
        <v>0</v>
      </c>
      <c r="W54" s="54" t="n">
        <v>0</v>
      </c>
      <c r="X54" s="54" t="n">
        <v>28</v>
      </c>
    </row>
    <row r="55">
      <c r="A55" s="54" t="inlineStr">
        <is>
          <t>Buckwheat hulls</t>
        </is>
      </c>
      <c r="B55" s="54" t="n">
        <v>20.4</v>
      </c>
      <c r="C55" s="54" t="n">
        <v>18.5</v>
      </c>
      <c r="D55" s="54" t="n">
        <v>27</v>
      </c>
      <c r="E55" s="54" t="n">
        <v>66.90000000000001</v>
      </c>
      <c r="F55" s="54" t="n">
        <v>2.6</v>
      </c>
      <c r="G55" s="54" t="n">
        <v>18.1</v>
      </c>
      <c r="H55" s="54" t="n">
        <v>47.5</v>
      </c>
      <c r="I55" s="54" t="n">
        <v>44.1</v>
      </c>
      <c r="J55" s="54" t="n">
        <v>5.8</v>
      </c>
      <c r="K55" s="54" t="n">
        <v>3</v>
      </c>
      <c r="L55" s="54" t="n">
        <v>5</v>
      </c>
      <c r="M55" s="54" t="n">
        <v>0</v>
      </c>
      <c r="N55" s="54" t="n">
        <v>1</v>
      </c>
      <c r="O55" s="54" t="n">
        <v>4</v>
      </c>
      <c r="P55" s="54" t="n">
        <v>120</v>
      </c>
      <c r="Q55" s="54" t="n">
        <v>3</v>
      </c>
      <c r="R55" s="54" t="n">
        <v>1300</v>
      </c>
      <c r="S55" s="54" t="n">
        <v>0</v>
      </c>
      <c r="T55" s="54" t="n">
        <v>5</v>
      </c>
      <c r="U55" s="54" t="n">
        <v>0</v>
      </c>
      <c r="V55" s="54" t="n">
        <v>0</v>
      </c>
      <c r="W55" s="54" t="n">
        <v>0</v>
      </c>
      <c r="X55" s="54" t="n">
        <v>20.74</v>
      </c>
    </row>
    <row r="56">
      <c r="A56" s="54" t="inlineStr">
        <is>
          <t>Cedarwood bark</t>
        </is>
      </c>
      <c r="B56" s="54" t="n">
        <v>43.6145551728204</v>
      </c>
      <c r="C56" s="54" t="n">
        <v>33.6995583465329</v>
      </c>
      <c r="D56" s="54" t="n">
        <v>13.3610322755561</v>
      </c>
      <c r="E56" s="54" t="n">
        <v>69.78239425311681</v>
      </c>
      <c r="F56" s="54" t="n">
        <v>4.5727416202086</v>
      </c>
      <c r="G56" s="54" t="n">
        <v>23.9632619582685</v>
      </c>
      <c r="H56" s="54" t="n">
        <v>48.69</v>
      </c>
      <c r="I56" s="54" t="n">
        <v>44.72</v>
      </c>
      <c r="J56" s="54" t="n">
        <v>6.13</v>
      </c>
      <c r="K56" s="54" t="n">
        <v>6</v>
      </c>
      <c r="L56" s="54" t="n">
        <v>1</v>
      </c>
      <c r="M56" s="54" t="n">
        <v>0</v>
      </c>
      <c r="N56" s="54" t="n">
        <v>1</v>
      </c>
      <c r="O56" s="54" t="n">
        <v>4</v>
      </c>
      <c r="P56" s="54" t="n">
        <v>120</v>
      </c>
      <c r="Q56" s="54" t="n">
        <v>3</v>
      </c>
      <c r="R56" s="54" t="n">
        <v>800</v>
      </c>
      <c r="S56" s="54" t="n">
        <v>0</v>
      </c>
      <c r="T56" s="54" t="n">
        <v>5</v>
      </c>
      <c r="U56" s="54" t="n">
        <v>0</v>
      </c>
      <c r="V56" s="54" t="n">
        <v>0</v>
      </c>
      <c r="W56" s="54" t="n">
        <v>0</v>
      </c>
      <c r="X56" s="54" t="n">
        <v>441</v>
      </c>
    </row>
    <row r="57">
      <c r="A57" s="54" t="inlineStr">
        <is>
          <t>Cedarwood bark</t>
        </is>
      </c>
      <c r="B57" s="54" t="n">
        <v>43.6145551728204</v>
      </c>
      <c r="C57" s="54" t="n">
        <v>33.6995583465329</v>
      </c>
      <c r="D57" s="54" t="n">
        <v>13.3610322755561</v>
      </c>
      <c r="E57" s="54" t="n">
        <v>69.78239425311681</v>
      </c>
      <c r="F57" s="54" t="n">
        <v>4.5727416202086</v>
      </c>
      <c r="G57" s="54" t="n">
        <v>23.9632619582685</v>
      </c>
      <c r="H57" s="54" t="n">
        <v>48.69</v>
      </c>
      <c r="I57" s="54" t="n">
        <v>44.72</v>
      </c>
      <c r="J57" s="54" t="n">
        <v>6.13</v>
      </c>
      <c r="K57" s="54" t="n">
        <v>6</v>
      </c>
      <c r="L57" s="54" t="n">
        <v>1</v>
      </c>
      <c r="M57" s="54" t="n">
        <v>0</v>
      </c>
      <c r="N57" s="54" t="n">
        <v>1</v>
      </c>
      <c r="O57" s="54" t="n">
        <v>4</v>
      </c>
      <c r="P57" s="54" t="n">
        <v>120</v>
      </c>
      <c r="Q57" s="54" t="n">
        <v>3</v>
      </c>
      <c r="R57" s="54" t="n">
        <v>1000</v>
      </c>
      <c r="S57" s="54" t="n">
        <v>0</v>
      </c>
      <c r="T57" s="54" t="n">
        <v>5</v>
      </c>
      <c r="U57" s="54" t="n">
        <v>0</v>
      </c>
      <c r="V57" s="54" t="n">
        <v>0</v>
      </c>
      <c r="W57" s="54" t="n">
        <v>0</v>
      </c>
      <c r="X57" s="54" t="n">
        <v>74.7</v>
      </c>
    </row>
    <row r="58">
      <c r="A58" s="54" t="inlineStr">
        <is>
          <t>Cedarwood bark</t>
        </is>
      </c>
      <c r="B58" s="54" t="n">
        <v>43.6145551728204</v>
      </c>
      <c r="C58" s="54" t="n">
        <v>33.6995583465329</v>
      </c>
      <c r="D58" s="54" t="n">
        <v>13.3610322755561</v>
      </c>
      <c r="E58" s="54" t="n">
        <v>69.78239425311681</v>
      </c>
      <c r="F58" s="54" t="n">
        <v>4.5727416202086</v>
      </c>
      <c r="G58" s="54" t="n">
        <v>23.9632619582685</v>
      </c>
      <c r="H58" s="54" t="n">
        <v>48.69</v>
      </c>
      <c r="I58" s="54" t="n">
        <v>44.72</v>
      </c>
      <c r="J58" s="54" t="n">
        <v>6.13</v>
      </c>
      <c r="K58" s="54" t="n">
        <v>6</v>
      </c>
      <c r="L58" s="54" t="n">
        <v>1</v>
      </c>
      <c r="M58" s="54" t="n">
        <v>0</v>
      </c>
      <c r="N58" s="54" t="n">
        <v>1</v>
      </c>
      <c r="O58" s="54" t="n">
        <v>4</v>
      </c>
      <c r="P58" s="54" t="n">
        <v>120</v>
      </c>
      <c r="Q58" s="54" t="n">
        <v>3</v>
      </c>
      <c r="R58" s="54" t="n">
        <v>600</v>
      </c>
      <c r="S58" s="54" t="n">
        <v>0</v>
      </c>
      <c r="T58" s="54" t="n">
        <v>5</v>
      </c>
      <c r="U58" s="54" t="n">
        <v>0</v>
      </c>
      <c r="V58" s="54" t="n">
        <v>0</v>
      </c>
      <c r="W58" s="54" t="n">
        <v>0</v>
      </c>
      <c r="X58" s="54" t="n">
        <v>7.72</v>
      </c>
    </row>
    <row r="59">
      <c r="A59" s="54" t="inlineStr">
        <is>
          <t>Cellulose</t>
        </is>
      </c>
      <c r="B59" s="54" t="n">
        <v>100</v>
      </c>
      <c r="C59" s="54" t="n">
        <v>0</v>
      </c>
      <c r="D59" s="54" t="n">
        <v>0</v>
      </c>
      <c r="E59" s="54" t="n">
        <v>69.67887361178821</v>
      </c>
      <c r="F59" s="54" t="n">
        <v>11.1154831649635</v>
      </c>
      <c r="G59" s="54" t="n">
        <v>21.6494943291595</v>
      </c>
      <c r="H59" s="54" t="n">
        <v>47.6838622176796</v>
      </c>
      <c r="I59" s="54" t="n">
        <v>42.9268367741664</v>
      </c>
      <c r="J59" s="54" t="n">
        <v>6.15110801567795</v>
      </c>
      <c r="K59" s="54" t="n">
        <v>1</v>
      </c>
      <c r="L59" s="54" t="n">
        <v>5</v>
      </c>
      <c r="M59" s="54" t="n">
        <v>0</v>
      </c>
      <c r="N59" s="54" t="n">
        <v>1</v>
      </c>
      <c r="O59" s="54" t="n">
        <v>4</v>
      </c>
      <c r="P59" s="54" t="n">
        <v>120</v>
      </c>
      <c r="Q59" s="54" t="n">
        <v>5</v>
      </c>
      <c r="R59" s="54" t="n">
        <v>1000</v>
      </c>
      <c r="S59" s="54" t="n">
        <v>0</v>
      </c>
      <c r="T59" s="54" t="n">
        <v>5</v>
      </c>
      <c r="U59" s="54" t="n">
        <v>0</v>
      </c>
      <c r="V59" s="54" t="n">
        <v>0</v>
      </c>
      <c r="W59" s="54" t="n">
        <v>0</v>
      </c>
      <c r="X59" s="54" t="n">
        <v>328.5</v>
      </c>
    </row>
    <row r="60">
      <c r="A60" s="54" t="inlineStr">
        <is>
          <t>Cellulose</t>
        </is>
      </c>
      <c r="B60" s="54" t="n">
        <v>100</v>
      </c>
      <c r="C60" s="54" t="n">
        <v>0</v>
      </c>
      <c r="D60" s="54" t="n">
        <v>0</v>
      </c>
      <c r="E60" s="54" t="n">
        <v>69.67887361178821</v>
      </c>
      <c r="F60" s="54" t="n">
        <v>11.1154831649635</v>
      </c>
      <c r="G60" s="54" t="n">
        <v>21.6494943291595</v>
      </c>
      <c r="H60" s="54" t="n">
        <v>47.6838622176796</v>
      </c>
      <c r="I60" s="54" t="n">
        <v>42.9268367741664</v>
      </c>
      <c r="J60" s="54" t="n">
        <v>6.15110801567795</v>
      </c>
      <c r="K60" s="54" t="n">
        <v>4</v>
      </c>
      <c r="L60" s="54" t="n">
        <v>5</v>
      </c>
      <c r="M60" s="54" t="n">
        <v>1</v>
      </c>
      <c r="N60" s="54" t="n">
        <v>0</v>
      </c>
      <c r="O60" s="54" t="n">
        <v>4</v>
      </c>
      <c r="P60" s="54" t="n">
        <v>120</v>
      </c>
      <c r="Q60" s="54" t="n">
        <v>5</v>
      </c>
      <c r="R60" s="54" t="n">
        <v>1100</v>
      </c>
      <c r="S60" s="54" t="n">
        <v>0</v>
      </c>
      <c r="T60" s="54" t="n">
        <v>5</v>
      </c>
      <c r="U60" s="54" t="n">
        <v>0</v>
      </c>
      <c r="V60" s="54" t="n">
        <v>0</v>
      </c>
      <c r="W60" s="54" t="n">
        <v>0</v>
      </c>
      <c r="X60" s="54" t="n">
        <v>228</v>
      </c>
    </row>
    <row r="61">
      <c r="A61" s="54" t="inlineStr">
        <is>
          <t>Cellulose</t>
        </is>
      </c>
      <c r="B61" s="54" t="n">
        <v>100</v>
      </c>
      <c r="C61" s="54" t="n">
        <v>0</v>
      </c>
      <c r="D61" s="54" t="n">
        <v>0</v>
      </c>
      <c r="E61" s="54" t="n">
        <v>69.67887361178821</v>
      </c>
      <c r="F61" s="54" t="n">
        <v>11.1154831649635</v>
      </c>
      <c r="G61" s="54" t="n">
        <v>21.6494943291595</v>
      </c>
      <c r="H61" s="54" t="n">
        <v>47.6838622176796</v>
      </c>
      <c r="I61" s="54" t="n">
        <v>42.9268367741664</v>
      </c>
      <c r="J61" s="54" t="n">
        <v>6.15110801567795</v>
      </c>
      <c r="K61" s="54" t="n">
        <v>1</v>
      </c>
      <c r="L61" s="54" t="n">
        <v>5</v>
      </c>
      <c r="M61" s="54" t="n">
        <v>1</v>
      </c>
      <c r="N61" s="54" t="n">
        <v>1</v>
      </c>
      <c r="O61" s="54" t="n">
        <v>4</v>
      </c>
      <c r="P61" s="54" t="n">
        <v>60</v>
      </c>
      <c r="Q61" s="54" t="n">
        <v>10</v>
      </c>
      <c r="R61" s="54" t="n">
        <v>800</v>
      </c>
      <c r="S61" s="54" t="n">
        <v>1</v>
      </c>
      <c r="T61" s="54" t="n">
        <v>5</v>
      </c>
      <c r="U61" s="54" t="n">
        <v>480</v>
      </c>
      <c r="V61" s="54" t="n">
        <v>10</v>
      </c>
      <c r="W61" s="54" t="n">
        <v>1300</v>
      </c>
      <c r="X61" s="54" t="n">
        <v>216</v>
      </c>
    </row>
    <row r="62">
      <c r="A62" s="54" t="inlineStr">
        <is>
          <t>Cellulose</t>
        </is>
      </c>
      <c r="B62" s="54" t="n">
        <v>100</v>
      </c>
      <c r="C62" s="54" t="n">
        <v>0</v>
      </c>
      <c r="D62" s="54" t="n">
        <v>0</v>
      </c>
      <c r="E62" s="54" t="n">
        <v>69.67887361178821</v>
      </c>
      <c r="F62" s="54" t="n">
        <v>11.1154831649635</v>
      </c>
      <c r="G62" s="54" t="n">
        <v>21.6494943291595</v>
      </c>
      <c r="H62" s="54" t="n">
        <v>47.6838622176796</v>
      </c>
      <c r="I62" s="54" t="n">
        <v>42.9268367741664</v>
      </c>
      <c r="J62" s="54" t="n">
        <v>6.15110801567795</v>
      </c>
      <c r="K62" s="54" t="n">
        <v>1</v>
      </c>
      <c r="L62" s="54" t="n">
        <v>5</v>
      </c>
      <c r="M62" s="54" t="n">
        <v>0</v>
      </c>
      <c r="N62" s="54" t="n">
        <v>1</v>
      </c>
      <c r="O62" s="54" t="n">
        <v>4</v>
      </c>
      <c r="P62" s="54" t="n">
        <v>120</v>
      </c>
      <c r="Q62" s="54" t="n">
        <v>5</v>
      </c>
      <c r="R62" s="54" t="n">
        <v>1200</v>
      </c>
      <c r="S62" s="54" t="n">
        <v>0</v>
      </c>
      <c r="T62" s="54" t="n">
        <v>5</v>
      </c>
      <c r="U62" s="54" t="n">
        <v>0</v>
      </c>
      <c r="V62" s="54" t="n">
        <v>0</v>
      </c>
      <c r="W62" s="54" t="n">
        <v>0</v>
      </c>
      <c r="X62" s="54" t="n">
        <v>132.7</v>
      </c>
    </row>
    <row r="63">
      <c r="A63" s="54" t="inlineStr">
        <is>
          <t>Cellulose</t>
        </is>
      </c>
      <c r="B63" s="54" t="n">
        <v>100</v>
      </c>
      <c r="C63" s="54" t="n">
        <v>0</v>
      </c>
      <c r="D63" s="54" t="n">
        <v>0</v>
      </c>
      <c r="E63" s="54" t="n">
        <v>69.67887361178821</v>
      </c>
      <c r="F63" s="54" t="n">
        <v>11.1154831649635</v>
      </c>
      <c r="G63" s="54" t="n">
        <v>21.6494943291595</v>
      </c>
      <c r="H63" s="54" t="n">
        <v>47.6838622176796</v>
      </c>
      <c r="I63" s="54" t="n">
        <v>42.9268367741664</v>
      </c>
      <c r="J63" s="54" t="n">
        <v>6.15110801567795</v>
      </c>
      <c r="K63" s="54" t="n">
        <v>1</v>
      </c>
      <c r="L63" s="54" t="n">
        <v>5</v>
      </c>
      <c r="M63" s="54" t="n">
        <v>0</v>
      </c>
      <c r="N63" s="54" t="n">
        <v>1</v>
      </c>
      <c r="O63" s="54" t="n">
        <v>4</v>
      </c>
      <c r="P63" s="54" t="n">
        <v>120</v>
      </c>
      <c r="Q63" s="54" t="n">
        <v>5</v>
      </c>
      <c r="R63" s="54" t="n">
        <v>1400</v>
      </c>
      <c r="S63" s="54" t="n">
        <v>0</v>
      </c>
      <c r="T63" s="54" t="n">
        <v>5</v>
      </c>
      <c r="U63" s="54" t="n">
        <v>0</v>
      </c>
      <c r="V63" s="54" t="n">
        <v>0</v>
      </c>
      <c r="W63" s="54" t="n">
        <v>0</v>
      </c>
      <c r="X63" s="54" t="n">
        <v>64.5</v>
      </c>
    </row>
    <row r="64">
      <c r="A64" s="54" t="inlineStr">
        <is>
          <t>Cellulose</t>
        </is>
      </c>
      <c r="B64" s="54" t="n">
        <v>100</v>
      </c>
      <c r="C64" s="54" t="n">
        <v>0</v>
      </c>
      <c r="D64" s="54" t="n">
        <v>0</v>
      </c>
      <c r="E64" s="54" t="n">
        <v>69.67887361178821</v>
      </c>
      <c r="F64" s="54" t="n">
        <v>11.1154831649635</v>
      </c>
      <c r="G64" s="54" t="n">
        <v>21.6494943291595</v>
      </c>
      <c r="H64" s="54" t="n">
        <v>47.6838622176796</v>
      </c>
      <c r="I64" s="54" t="n">
        <v>42.9268367741664</v>
      </c>
      <c r="J64" s="54" t="n">
        <v>6.15110801567795</v>
      </c>
      <c r="K64" s="54" t="n">
        <v>1</v>
      </c>
      <c r="L64" s="54" t="n">
        <v>5</v>
      </c>
      <c r="M64" s="54" t="n">
        <v>0</v>
      </c>
      <c r="N64" s="54" t="n">
        <v>1</v>
      </c>
      <c r="O64" s="54" t="n">
        <v>4</v>
      </c>
      <c r="P64" s="54" t="n">
        <v>120</v>
      </c>
      <c r="Q64" s="54" t="n">
        <v>5</v>
      </c>
      <c r="R64" s="54" t="n">
        <v>1800</v>
      </c>
      <c r="S64" s="54" t="n">
        <v>0</v>
      </c>
      <c r="T64" s="54" t="n">
        <v>5</v>
      </c>
      <c r="U64" s="54" t="n">
        <v>0</v>
      </c>
      <c r="V64" s="54" t="n">
        <v>0</v>
      </c>
      <c r="W64" s="54" t="n">
        <v>0</v>
      </c>
      <c r="X64" s="54" t="n">
        <v>56.6</v>
      </c>
    </row>
    <row r="65">
      <c r="A65" s="54" t="inlineStr">
        <is>
          <t>Cellulose</t>
        </is>
      </c>
      <c r="B65" s="54" t="n">
        <v>100</v>
      </c>
      <c r="C65" s="54" t="n">
        <v>0</v>
      </c>
      <c r="D65" s="54" t="n">
        <v>0</v>
      </c>
      <c r="E65" s="54" t="n">
        <v>69.67887361178821</v>
      </c>
      <c r="F65" s="54" t="n">
        <v>11.1154831649635</v>
      </c>
      <c r="G65" s="54" t="n">
        <v>21.6494943291595</v>
      </c>
      <c r="H65" s="54" t="n">
        <v>47.6838622176796</v>
      </c>
      <c r="I65" s="54" t="n">
        <v>42.9268367741664</v>
      </c>
      <c r="J65" s="54" t="n">
        <v>6.15110801567795</v>
      </c>
      <c r="K65" s="54" t="n">
        <v>1</v>
      </c>
      <c r="L65" s="54" t="n">
        <v>5</v>
      </c>
      <c r="M65" s="54" t="n">
        <v>0</v>
      </c>
      <c r="N65" s="54" t="n">
        <v>1</v>
      </c>
      <c r="O65" s="54" t="n">
        <v>4</v>
      </c>
      <c r="P65" s="54" t="n">
        <v>120</v>
      </c>
      <c r="Q65" s="54" t="n">
        <v>5</v>
      </c>
      <c r="R65" s="54" t="n">
        <v>1600</v>
      </c>
      <c r="S65" s="54" t="n">
        <v>0</v>
      </c>
      <c r="T65" s="54" t="n">
        <v>5</v>
      </c>
      <c r="U65" s="54" t="n">
        <v>0</v>
      </c>
      <c r="V65" s="54" t="n">
        <v>0</v>
      </c>
      <c r="W65" s="54" t="n">
        <v>0</v>
      </c>
      <c r="X65" s="54" t="n">
        <v>47</v>
      </c>
    </row>
    <row r="66">
      <c r="A66" s="54" t="inlineStr">
        <is>
          <t>Cellulose</t>
        </is>
      </c>
      <c r="B66" s="54" t="n">
        <v>100</v>
      </c>
      <c r="C66" s="54" t="n">
        <v>0</v>
      </c>
      <c r="D66" s="54" t="n">
        <v>0</v>
      </c>
      <c r="E66" s="54" t="n">
        <v>69.67887361178821</v>
      </c>
      <c r="F66" s="54" t="n">
        <v>11.1154831649635</v>
      </c>
      <c r="G66" s="54" t="n">
        <v>21.6494943291595</v>
      </c>
      <c r="H66" s="54" t="n">
        <v>47.6838622176796</v>
      </c>
      <c r="I66" s="54" t="n">
        <v>42.9268367741664</v>
      </c>
      <c r="J66" s="54" t="n">
        <v>6.15110801567795</v>
      </c>
      <c r="K66" s="54" t="n">
        <v>4</v>
      </c>
      <c r="L66" s="54" t="n">
        <v>5</v>
      </c>
      <c r="M66" s="54" t="n">
        <v>1</v>
      </c>
      <c r="N66" s="54" t="n">
        <v>0</v>
      </c>
      <c r="O66" s="54" t="n">
        <v>4</v>
      </c>
      <c r="P66" s="54" t="n">
        <v>720</v>
      </c>
      <c r="Q66" s="54" t="n">
        <v>6.11111111111111</v>
      </c>
      <c r="R66" s="54" t="n">
        <v>230</v>
      </c>
      <c r="S66" s="54" t="n">
        <v>0</v>
      </c>
      <c r="T66" s="54" t="n">
        <v>5</v>
      </c>
      <c r="U66" s="54" t="n">
        <v>106.666666666667</v>
      </c>
      <c r="V66" s="54" t="n">
        <v>2.22222222222222</v>
      </c>
      <c r="W66" s="54" t="n">
        <v>1500</v>
      </c>
      <c r="X66" s="54" t="n">
        <v>11</v>
      </c>
    </row>
    <row r="67">
      <c r="A67" s="54" t="inlineStr">
        <is>
          <t>Cellulose</t>
        </is>
      </c>
      <c r="B67" s="54" t="n">
        <v>100</v>
      </c>
      <c r="C67" s="54" t="n">
        <v>0</v>
      </c>
      <c r="D67" s="54" t="n">
        <v>0</v>
      </c>
      <c r="E67" s="54" t="n">
        <v>69.67887361178821</v>
      </c>
      <c r="F67" s="54" t="n">
        <v>11.1154831649635</v>
      </c>
      <c r="G67" s="54" t="n">
        <v>21.6494943291595</v>
      </c>
      <c r="H67" s="54" t="n">
        <v>47.6838622176796</v>
      </c>
      <c r="I67" s="54" t="n">
        <v>42.9268367741664</v>
      </c>
      <c r="J67" s="54" t="n">
        <v>6.15110801567795</v>
      </c>
      <c r="K67" s="54" t="n">
        <v>4</v>
      </c>
      <c r="L67" s="54" t="n">
        <v>5</v>
      </c>
      <c r="M67" s="54" t="n">
        <v>1</v>
      </c>
      <c r="N67" s="54" t="n">
        <v>0</v>
      </c>
      <c r="O67" s="54" t="n">
        <v>4</v>
      </c>
      <c r="P67" s="54" t="n">
        <v>720</v>
      </c>
      <c r="Q67" s="54" t="n">
        <v>6.11111111111111</v>
      </c>
      <c r="R67" s="54" t="n">
        <v>230</v>
      </c>
      <c r="S67" s="54" t="n">
        <v>0</v>
      </c>
      <c r="T67" s="54" t="n">
        <v>5</v>
      </c>
      <c r="U67" s="54" t="n">
        <v>106.666666666667</v>
      </c>
      <c r="V67" s="54" t="n">
        <v>2.22222222222222</v>
      </c>
      <c r="W67" s="54" t="n">
        <v>1300</v>
      </c>
      <c r="X67" s="54" t="n">
        <v>10</v>
      </c>
    </row>
    <row r="68">
      <c r="A68" s="54" t="inlineStr">
        <is>
          <t>Cellulose</t>
        </is>
      </c>
      <c r="B68" s="54" t="n">
        <v>100</v>
      </c>
      <c r="C68" s="54" t="n">
        <v>0</v>
      </c>
      <c r="D68" s="54" t="n">
        <v>0</v>
      </c>
      <c r="E68" s="54" t="n">
        <v>69.67887361178821</v>
      </c>
      <c r="F68" s="54" t="n">
        <v>11.1154831649635</v>
      </c>
      <c r="G68" s="54" t="n">
        <v>21.6494943291595</v>
      </c>
      <c r="H68" s="54" t="n">
        <v>47.6838622176796</v>
      </c>
      <c r="I68" s="54" t="n">
        <v>42.9268367741664</v>
      </c>
      <c r="J68" s="54" t="n">
        <v>6.15110801567795</v>
      </c>
      <c r="K68" s="54" t="n">
        <v>4</v>
      </c>
      <c r="L68" s="54" t="n">
        <v>5</v>
      </c>
      <c r="M68" s="54" t="n">
        <v>1</v>
      </c>
      <c r="N68" s="54" t="n">
        <v>0</v>
      </c>
      <c r="O68" s="54" t="n">
        <v>4</v>
      </c>
      <c r="P68" s="54" t="n">
        <v>720</v>
      </c>
      <c r="Q68" s="54" t="n">
        <v>6.11111111111111</v>
      </c>
      <c r="R68" s="54" t="n">
        <v>230</v>
      </c>
      <c r="S68" s="54" t="n">
        <v>0</v>
      </c>
      <c r="T68" s="54" t="n">
        <v>5</v>
      </c>
      <c r="U68" s="54" t="n">
        <v>106.666666666667</v>
      </c>
      <c r="V68" s="54" t="n">
        <v>2.22222222222222</v>
      </c>
      <c r="W68" s="54" t="n">
        <v>1700</v>
      </c>
      <c r="X68" s="54" t="n">
        <v>7</v>
      </c>
    </row>
    <row r="69">
      <c r="A69" s="54" t="inlineStr">
        <is>
          <t>Cellulose</t>
        </is>
      </c>
      <c r="B69" s="54" t="n">
        <v>100</v>
      </c>
      <c r="C69" s="54" t="n">
        <v>0</v>
      </c>
      <c r="D69" s="54" t="n">
        <v>0</v>
      </c>
      <c r="E69" s="54" t="n">
        <v>69.67887361178821</v>
      </c>
      <c r="F69" s="54" t="n">
        <v>11.1154831649635</v>
      </c>
      <c r="G69" s="54" t="n">
        <v>21.6494943291595</v>
      </c>
      <c r="H69" s="54" t="n">
        <v>47.6838622176796</v>
      </c>
      <c r="I69" s="54" t="n">
        <v>42.9268367741664</v>
      </c>
      <c r="J69" s="54" t="n">
        <v>6.15110801567795</v>
      </c>
      <c r="K69" s="54" t="n">
        <v>4</v>
      </c>
      <c r="L69" s="54" t="n">
        <v>5</v>
      </c>
      <c r="M69" s="54" t="n">
        <v>1</v>
      </c>
      <c r="N69" s="54" t="n">
        <v>0</v>
      </c>
      <c r="O69" s="54" t="n">
        <v>4</v>
      </c>
      <c r="P69" s="54" t="n">
        <v>720</v>
      </c>
      <c r="Q69" s="54" t="n">
        <v>6.11111111111111</v>
      </c>
      <c r="R69" s="54" t="n">
        <v>230</v>
      </c>
      <c r="S69" s="54" t="n">
        <v>0</v>
      </c>
      <c r="T69" s="54" t="n">
        <v>5</v>
      </c>
      <c r="U69" s="54" t="n">
        <v>106.666666666667</v>
      </c>
      <c r="V69" s="54" t="n">
        <v>2.22222222222222</v>
      </c>
      <c r="W69" s="54" t="n">
        <v>1000</v>
      </c>
      <c r="X69" s="54" t="n">
        <v>3.82</v>
      </c>
    </row>
    <row r="70">
      <c r="A70" s="54" t="inlineStr">
        <is>
          <t>Chrysanthemum</t>
        </is>
      </c>
      <c r="B70" s="54" t="n">
        <v>21.55</v>
      </c>
      <c r="C70" s="54" t="n">
        <v>28.4826744868035</v>
      </c>
      <c r="D70" s="54" t="n">
        <v>23.03</v>
      </c>
      <c r="E70" s="54" t="n">
        <v>69.45999999999999</v>
      </c>
      <c r="F70" s="54" t="n">
        <v>11.82</v>
      </c>
      <c r="G70" s="54" t="n">
        <v>18.69</v>
      </c>
      <c r="H70" s="54" t="n">
        <v>47.5102741880838</v>
      </c>
      <c r="I70" s="54" t="n">
        <v>40.1987410269694</v>
      </c>
      <c r="J70" s="54" t="n">
        <v>6.24645822039441</v>
      </c>
      <c r="K70" s="54" t="n">
        <v>6</v>
      </c>
      <c r="L70" s="54" t="n">
        <v>1</v>
      </c>
      <c r="M70" s="54" t="n">
        <v>0</v>
      </c>
      <c r="N70" s="54" t="n">
        <v>1</v>
      </c>
      <c r="O70" s="54" t="n">
        <v>1</v>
      </c>
      <c r="P70" s="54" t="n">
        <v>60</v>
      </c>
      <c r="Q70" s="54" t="n">
        <v>5</v>
      </c>
      <c r="R70" s="54" t="n">
        <v>700</v>
      </c>
      <c r="S70" s="54" t="n">
        <v>0</v>
      </c>
      <c r="T70" s="54" t="n">
        <v>5</v>
      </c>
      <c r="U70" s="54" t="n">
        <v>0</v>
      </c>
      <c r="V70" s="54" t="n">
        <v>0</v>
      </c>
      <c r="W70" s="54" t="n">
        <v>0</v>
      </c>
      <c r="X70" s="54" t="n">
        <v>800</v>
      </c>
    </row>
    <row r="71">
      <c r="A71" s="54" t="inlineStr">
        <is>
          <t>Coconut endocarp</t>
        </is>
      </c>
      <c r="B71" s="54" t="n">
        <v>33.6613953233538</v>
      </c>
      <c r="C71" s="54" t="n">
        <v>20.9825955589292</v>
      </c>
      <c r="D71" s="54" t="n">
        <v>34.9116770903997</v>
      </c>
      <c r="E71" s="54" t="n">
        <v>72.656882719756</v>
      </c>
      <c r="F71" s="54" t="n">
        <v>2.44715830164062</v>
      </c>
      <c r="G71" s="54" t="n">
        <v>19.9810529839057</v>
      </c>
      <c r="H71" s="54" t="n">
        <v>51.1</v>
      </c>
      <c r="I71" s="54" t="n">
        <v>42.6</v>
      </c>
      <c r="J71" s="54" t="n">
        <v>5.53</v>
      </c>
      <c r="K71" s="54" t="n">
        <v>6</v>
      </c>
      <c r="L71" s="54" t="n">
        <v>5</v>
      </c>
      <c r="M71" s="54" t="n">
        <v>0</v>
      </c>
      <c r="N71" s="54" t="n">
        <v>1</v>
      </c>
      <c r="O71" s="54" t="n">
        <v>4</v>
      </c>
      <c r="P71" s="54" t="n">
        <v>206.709375</v>
      </c>
      <c r="Q71" s="54" t="n">
        <v>5.1814588723049</v>
      </c>
      <c r="R71" s="54" t="n">
        <v>1100</v>
      </c>
      <c r="S71" s="54" t="n">
        <v>0</v>
      </c>
      <c r="T71" s="54" t="n">
        <v>5</v>
      </c>
      <c r="U71" s="54" t="n">
        <v>0</v>
      </c>
      <c r="V71" s="54" t="n">
        <v>0</v>
      </c>
      <c r="W71" s="54" t="n">
        <v>0</v>
      </c>
      <c r="X71" s="54" t="n">
        <v>103.83</v>
      </c>
    </row>
    <row r="72">
      <c r="A72" s="54" t="inlineStr">
        <is>
          <t>Coconut endocarp</t>
        </is>
      </c>
      <c r="B72" s="54" t="n">
        <v>33.6613953233538</v>
      </c>
      <c r="C72" s="54" t="n">
        <v>20.9825955589292</v>
      </c>
      <c r="D72" s="54" t="n">
        <v>34.9116770903997</v>
      </c>
      <c r="E72" s="54" t="n">
        <v>72.656882719756</v>
      </c>
      <c r="F72" s="54" t="n">
        <v>2.44715830164062</v>
      </c>
      <c r="G72" s="54" t="n">
        <v>19.9810529839057</v>
      </c>
      <c r="H72" s="54" t="n">
        <v>51.1</v>
      </c>
      <c r="I72" s="54" t="n">
        <v>42.6</v>
      </c>
      <c r="J72" s="54" t="n">
        <v>5.53</v>
      </c>
      <c r="K72" s="54" t="n">
        <v>6</v>
      </c>
      <c r="L72" s="54" t="n">
        <v>5</v>
      </c>
      <c r="M72" s="54" t="n">
        <v>0</v>
      </c>
      <c r="N72" s="54" t="n">
        <v>1</v>
      </c>
      <c r="O72" s="54" t="n">
        <v>4</v>
      </c>
      <c r="P72" s="54" t="n">
        <v>206.709375</v>
      </c>
      <c r="Q72" s="54" t="n">
        <v>5.1814588723049</v>
      </c>
      <c r="R72" s="54" t="n">
        <v>1100</v>
      </c>
      <c r="S72" s="54" t="n">
        <v>0</v>
      </c>
      <c r="T72" s="54" t="n">
        <v>5</v>
      </c>
      <c r="U72" s="54" t="n">
        <v>0</v>
      </c>
      <c r="V72" s="54" t="n">
        <v>0</v>
      </c>
      <c r="W72" s="54" t="n">
        <v>0</v>
      </c>
      <c r="X72" s="54" t="n">
        <v>78.97</v>
      </c>
    </row>
    <row r="73">
      <c r="A73" s="54" t="inlineStr">
        <is>
          <t>Coconut shells</t>
        </is>
      </c>
      <c r="B73" s="54" t="n">
        <v>17.89</v>
      </c>
      <c r="C73" s="54" t="n">
        <v>56.29</v>
      </c>
      <c r="D73" s="54" t="n">
        <v>25.82</v>
      </c>
      <c r="E73" s="54" t="n">
        <v>83.98220245</v>
      </c>
      <c r="F73" s="54" t="n">
        <v>3.56</v>
      </c>
      <c r="G73" s="54" t="n">
        <v>12.46</v>
      </c>
      <c r="H73" s="54" t="n">
        <v>64.23</v>
      </c>
      <c r="I73" s="54" t="n">
        <v>27.61</v>
      </c>
      <c r="J73" s="54" t="n">
        <v>6.89</v>
      </c>
      <c r="K73" s="54" t="n">
        <v>4</v>
      </c>
      <c r="L73" s="54" t="n">
        <v>5</v>
      </c>
      <c r="M73" s="54" t="n">
        <v>1</v>
      </c>
      <c r="N73" s="54" t="n">
        <v>1</v>
      </c>
      <c r="O73" s="54" t="n">
        <v>4</v>
      </c>
      <c r="P73" s="54" t="n">
        <v>120</v>
      </c>
      <c r="Q73" s="54" t="n">
        <v>5</v>
      </c>
      <c r="R73" s="54" t="n">
        <v>1300</v>
      </c>
      <c r="S73" s="54" t="n">
        <v>1</v>
      </c>
      <c r="T73" s="54" t="n">
        <v>4</v>
      </c>
      <c r="U73" s="54" t="n">
        <v>120</v>
      </c>
      <c r="V73" s="54" t="n">
        <v>5</v>
      </c>
      <c r="W73" s="54" t="n">
        <v>300</v>
      </c>
      <c r="X73" s="54" t="n">
        <v>24.52</v>
      </c>
    </row>
    <row r="74">
      <c r="A74" s="54" t="inlineStr">
        <is>
          <t>Coconut shells</t>
        </is>
      </c>
      <c r="B74" s="54" t="n">
        <v>17.89</v>
      </c>
      <c r="C74" s="54" t="n">
        <v>56.29</v>
      </c>
      <c r="D74" s="54" t="n">
        <v>25.82</v>
      </c>
      <c r="E74" s="54" t="n">
        <v>83.98220245</v>
      </c>
      <c r="F74" s="54" t="n">
        <v>3.56</v>
      </c>
      <c r="G74" s="54" t="n">
        <v>12.46</v>
      </c>
      <c r="H74" s="54" t="n">
        <v>64.23</v>
      </c>
      <c r="I74" s="54" t="n">
        <v>27.61</v>
      </c>
      <c r="J74" s="54" t="n">
        <v>6.89</v>
      </c>
      <c r="K74" s="54" t="n">
        <v>4</v>
      </c>
      <c r="L74" s="54" t="n">
        <v>5</v>
      </c>
      <c r="M74" s="54" t="n">
        <v>1</v>
      </c>
      <c r="N74" s="54" t="n">
        <v>1</v>
      </c>
      <c r="O74" s="54" t="n">
        <v>4</v>
      </c>
      <c r="P74" s="54" t="n">
        <v>120</v>
      </c>
      <c r="Q74" s="54" t="n">
        <v>5</v>
      </c>
      <c r="R74" s="54" t="n">
        <v>1300</v>
      </c>
      <c r="S74" s="54" t="n">
        <v>1</v>
      </c>
      <c r="T74" s="54" t="n">
        <v>4</v>
      </c>
      <c r="U74" s="54" t="n">
        <v>120</v>
      </c>
      <c r="V74" s="54" t="n">
        <v>5</v>
      </c>
      <c r="W74" s="54" t="n">
        <v>300</v>
      </c>
      <c r="X74" s="54" t="n">
        <v>8.09</v>
      </c>
    </row>
    <row r="75">
      <c r="A75" s="54" t="inlineStr">
        <is>
          <t>Coconut shells</t>
        </is>
      </c>
      <c r="B75" s="54" t="n">
        <v>17.89</v>
      </c>
      <c r="C75" s="54" t="n">
        <v>56.29</v>
      </c>
      <c r="D75" s="54" t="n">
        <v>25.82</v>
      </c>
      <c r="E75" s="54" t="n">
        <v>83.98220245</v>
      </c>
      <c r="F75" s="54" t="n">
        <v>3.56</v>
      </c>
      <c r="G75" s="54" t="n">
        <v>12.46</v>
      </c>
      <c r="H75" s="54" t="n">
        <v>64.23</v>
      </c>
      <c r="I75" s="54" t="n">
        <v>27.61</v>
      </c>
      <c r="J75" s="54" t="n">
        <v>6.89</v>
      </c>
      <c r="K75" s="54" t="n">
        <v>4</v>
      </c>
      <c r="L75" s="54" t="n">
        <v>1</v>
      </c>
      <c r="M75" s="54" t="n">
        <v>0</v>
      </c>
      <c r="N75" s="54" t="n">
        <v>1</v>
      </c>
      <c r="O75" s="54" t="n">
        <v>4</v>
      </c>
      <c r="P75" s="54" t="n">
        <v>60</v>
      </c>
      <c r="Q75" s="54" t="n">
        <v>5</v>
      </c>
      <c r="R75" s="54" t="n">
        <v>1300</v>
      </c>
      <c r="S75" s="54" t="n">
        <v>0</v>
      </c>
      <c r="T75" s="54" t="n">
        <v>5</v>
      </c>
      <c r="U75" s="54" t="n">
        <v>0</v>
      </c>
      <c r="V75" s="54" t="n">
        <v>0</v>
      </c>
      <c r="W75" s="54" t="n">
        <v>0</v>
      </c>
      <c r="X75" s="54" t="n">
        <v>7</v>
      </c>
    </row>
    <row r="76">
      <c r="A76" s="54" t="inlineStr">
        <is>
          <t>Coconut shells</t>
        </is>
      </c>
      <c r="B76" s="54" t="n">
        <v>17.89</v>
      </c>
      <c r="C76" s="54" t="n">
        <v>56.29</v>
      </c>
      <c r="D76" s="54" t="n">
        <v>25.82</v>
      </c>
      <c r="E76" s="54" t="n">
        <v>83.98220245</v>
      </c>
      <c r="F76" s="54" t="n">
        <v>3.56</v>
      </c>
      <c r="G76" s="54" t="n">
        <v>12.46</v>
      </c>
      <c r="H76" s="54" t="n">
        <v>64.23</v>
      </c>
      <c r="I76" s="54" t="n">
        <v>27.61</v>
      </c>
      <c r="J76" s="54" t="n">
        <v>6.89</v>
      </c>
      <c r="K76" s="54" t="n">
        <v>4</v>
      </c>
      <c r="L76" s="54" t="n">
        <v>3</v>
      </c>
      <c r="M76" s="54" t="n">
        <v>0</v>
      </c>
      <c r="N76" s="54" t="n">
        <v>1</v>
      </c>
      <c r="O76" s="54" t="n">
        <v>4</v>
      </c>
      <c r="P76" s="54" t="n">
        <v>100</v>
      </c>
      <c r="Q76" s="54" t="n">
        <v>5</v>
      </c>
      <c r="R76" s="54" t="n">
        <v>1300</v>
      </c>
      <c r="S76" s="54" t="n">
        <v>0</v>
      </c>
      <c r="T76" s="54" t="n">
        <v>5</v>
      </c>
      <c r="U76" s="54" t="n">
        <v>0</v>
      </c>
      <c r="V76" s="54" t="n">
        <v>0</v>
      </c>
      <c r="W76" s="54" t="n">
        <v>0</v>
      </c>
      <c r="X76" s="54" t="n">
        <v>6</v>
      </c>
    </row>
    <row r="77">
      <c r="A77" s="54" t="inlineStr">
        <is>
          <t>Coffee ground</t>
        </is>
      </c>
      <c r="B77" s="54" t="n">
        <v>12.4</v>
      </c>
      <c r="C77" s="54" t="n">
        <v>39.1</v>
      </c>
      <c r="D77" s="54" t="n">
        <v>23.9</v>
      </c>
      <c r="E77" s="54" t="n">
        <v>83.3</v>
      </c>
      <c r="F77" s="54" t="n">
        <v>15.3</v>
      </c>
      <c r="G77" s="54" t="n">
        <v>1.5</v>
      </c>
      <c r="H77" s="54" t="n">
        <v>54.2</v>
      </c>
      <c r="I77" s="54" t="n">
        <v>33.1</v>
      </c>
      <c r="J77" s="54" t="n">
        <v>7</v>
      </c>
      <c r="K77" s="54" t="n">
        <v>4</v>
      </c>
      <c r="L77" s="54" t="n">
        <v>5</v>
      </c>
      <c r="M77" s="54" t="n">
        <v>0</v>
      </c>
      <c r="N77" s="54" t="n">
        <v>1</v>
      </c>
      <c r="O77" s="54" t="n">
        <v>0</v>
      </c>
      <c r="P77" s="54" t="n">
        <v>480</v>
      </c>
      <c r="Q77" s="54" t="n">
        <v>10</v>
      </c>
      <c r="R77" s="54" t="n">
        <v>970</v>
      </c>
      <c r="S77" s="54" t="n">
        <v>0</v>
      </c>
      <c r="T77" s="54" t="n">
        <v>5</v>
      </c>
      <c r="U77" s="54" t="n">
        <v>0</v>
      </c>
      <c r="V77" s="54" t="n">
        <v>0</v>
      </c>
      <c r="W77" s="54" t="n">
        <v>0</v>
      </c>
      <c r="X77" s="54" t="n">
        <v>787.26</v>
      </c>
    </row>
    <row r="78">
      <c r="A78" s="54" t="inlineStr">
        <is>
          <t>Coffee ground</t>
        </is>
      </c>
      <c r="B78" s="54" t="n">
        <v>12.4</v>
      </c>
      <c r="C78" s="54" t="n">
        <v>39.1</v>
      </c>
      <c r="D78" s="54" t="n">
        <v>23.9</v>
      </c>
      <c r="E78" s="54" t="n">
        <v>83.3</v>
      </c>
      <c r="F78" s="54" t="n">
        <v>15.3</v>
      </c>
      <c r="G78" s="54" t="n">
        <v>1.5</v>
      </c>
      <c r="H78" s="54" t="n">
        <v>54.2</v>
      </c>
      <c r="I78" s="54" t="n">
        <v>33.1</v>
      </c>
      <c r="J78" s="54" t="n">
        <v>7</v>
      </c>
      <c r="K78" s="54" t="n">
        <v>4</v>
      </c>
      <c r="L78" s="54" t="n">
        <v>1</v>
      </c>
      <c r="M78" s="54" t="n">
        <v>1</v>
      </c>
      <c r="N78" s="54" t="n">
        <v>1</v>
      </c>
      <c r="O78" s="54" t="n">
        <v>4</v>
      </c>
      <c r="P78" s="54" t="n">
        <v>120</v>
      </c>
      <c r="Q78" s="54" t="n">
        <v>3</v>
      </c>
      <c r="R78" s="54" t="n">
        <v>400</v>
      </c>
      <c r="S78" s="54" t="n">
        <v>1</v>
      </c>
      <c r="T78" s="54" t="n">
        <v>5</v>
      </c>
      <c r="U78" s="54" t="n">
        <v>120</v>
      </c>
      <c r="V78" s="54" t="n">
        <v>5</v>
      </c>
      <c r="W78" s="54" t="n">
        <v>1000</v>
      </c>
      <c r="X78" s="54" t="n">
        <v>57.79</v>
      </c>
    </row>
    <row r="79">
      <c r="A79" s="54" t="inlineStr">
        <is>
          <t>Coir</t>
        </is>
      </c>
      <c r="B79" s="54" t="n">
        <v>34.3359770079627</v>
      </c>
      <c r="C79" s="54" t="n">
        <v>13.4133843597305</v>
      </c>
      <c r="D79" s="54" t="n">
        <v>25.0938963518179</v>
      </c>
      <c r="E79" s="54" t="n">
        <v>69.2</v>
      </c>
      <c r="F79" s="54" t="n">
        <v>15.1</v>
      </c>
      <c r="G79" s="54" t="n">
        <v>21.6</v>
      </c>
      <c r="H79" s="54" t="n">
        <v>40.8</v>
      </c>
      <c r="I79" s="54" t="n">
        <v>40.3</v>
      </c>
      <c r="J79" s="54" t="n">
        <v>3.5</v>
      </c>
      <c r="K79" s="54" t="n">
        <v>5</v>
      </c>
      <c r="L79" s="54" t="n">
        <v>2</v>
      </c>
      <c r="M79" s="54" t="n">
        <v>1</v>
      </c>
      <c r="N79" s="54" t="n">
        <v>1</v>
      </c>
      <c r="O79" s="54" t="n">
        <v>4</v>
      </c>
      <c r="P79" s="54" t="n">
        <v>120</v>
      </c>
      <c r="Q79" s="54" t="n">
        <v>5</v>
      </c>
      <c r="R79" s="54" t="n">
        <v>1000</v>
      </c>
      <c r="S79" s="54" t="n">
        <v>1</v>
      </c>
      <c r="T79" s="54" t="n">
        <v>0</v>
      </c>
      <c r="U79" s="54" t="n">
        <v>5</v>
      </c>
      <c r="V79" s="54" t="n">
        <v>0</v>
      </c>
      <c r="W79" s="54" t="n">
        <v>500</v>
      </c>
      <c r="X79" s="54" t="n">
        <v>607</v>
      </c>
    </row>
    <row r="80">
      <c r="A80" s="54" t="inlineStr">
        <is>
          <t>Coir</t>
        </is>
      </c>
      <c r="B80" s="54" t="n">
        <v>34.3359770079627</v>
      </c>
      <c r="C80" s="54" t="n">
        <v>13.4133843597305</v>
      </c>
      <c r="D80" s="54" t="n">
        <v>25.0938963518179</v>
      </c>
      <c r="E80" s="54" t="n">
        <v>69.2</v>
      </c>
      <c r="F80" s="54" t="n">
        <v>15.1</v>
      </c>
      <c r="G80" s="54" t="n">
        <v>21.6</v>
      </c>
      <c r="H80" s="54" t="n">
        <v>40.8</v>
      </c>
      <c r="I80" s="54" t="n">
        <v>40.3</v>
      </c>
      <c r="J80" s="54" t="n">
        <v>3.5</v>
      </c>
      <c r="K80" s="54" t="n">
        <v>5</v>
      </c>
      <c r="L80" s="54" t="n">
        <v>2</v>
      </c>
      <c r="M80" s="54" t="n">
        <v>0</v>
      </c>
      <c r="N80" s="54" t="n">
        <v>1</v>
      </c>
      <c r="O80" s="54" t="n">
        <v>4</v>
      </c>
      <c r="P80" s="54" t="n">
        <v>120</v>
      </c>
      <c r="Q80" s="54" t="n">
        <v>5</v>
      </c>
      <c r="R80" s="54" t="n">
        <v>1200</v>
      </c>
      <c r="S80" s="54" t="n">
        <v>0</v>
      </c>
      <c r="T80" s="54" t="n">
        <v>5</v>
      </c>
      <c r="U80" s="54" t="n">
        <v>0</v>
      </c>
      <c r="V80" s="54" t="n">
        <v>0</v>
      </c>
      <c r="W80" s="54" t="n">
        <v>0</v>
      </c>
      <c r="X80" s="54" t="n">
        <v>73</v>
      </c>
    </row>
    <row r="81">
      <c r="A81" s="54" t="inlineStr">
        <is>
          <t>Corn cob</t>
        </is>
      </c>
      <c r="B81" s="54" t="n">
        <v>45.88</v>
      </c>
      <c r="C81" s="54" t="n">
        <v>39.4</v>
      </c>
      <c r="D81" s="54" t="n">
        <v>11.32</v>
      </c>
      <c r="E81" s="54" t="n">
        <v>87.76000000000001</v>
      </c>
      <c r="F81" s="54" t="n">
        <v>1.05</v>
      </c>
      <c r="G81" s="54" t="n">
        <v>11.19</v>
      </c>
      <c r="H81" s="54" t="n">
        <v>43.81</v>
      </c>
      <c r="I81" s="54" t="n">
        <v>48.19</v>
      </c>
      <c r="J81" s="54" t="n">
        <v>6.54</v>
      </c>
      <c r="K81" s="54" t="n">
        <v>4</v>
      </c>
      <c r="L81" s="54" t="n">
        <v>5</v>
      </c>
      <c r="M81" s="54" t="n">
        <v>1</v>
      </c>
      <c r="N81" s="54" t="n">
        <v>1</v>
      </c>
      <c r="O81" s="54" t="n">
        <v>4</v>
      </c>
      <c r="P81" s="54" t="n">
        <v>120</v>
      </c>
      <c r="Q81" s="54" t="n">
        <v>5</v>
      </c>
      <c r="R81" s="54" t="n">
        <v>500</v>
      </c>
      <c r="S81" s="54" t="n">
        <v>1</v>
      </c>
      <c r="T81" s="54" t="n">
        <v>0</v>
      </c>
      <c r="U81" s="54" t="n">
        <v>120</v>
      </c>
      <c r="V81" s="54" t="n">
        <v>0</v>
      </c>
      <c r="W81" s="54" t="n">
        <v>1450</v>
      </c>
      <c r="X81" s="54" t="n">
        <v>14.9</v>
      </c>
    </row>
    <row r="82">
      <c r="A82" s="54" t="inlineStr">
        <is>
          <t>Corn cob</t>
        </is>
      </c>
      <c r="B82" s="54" t="n">
        <v>45.88</v>
      </c>
      <c r="C82" s="54" t="n">
        <v>39.4</v>
      </c>
      <c r="D82" s="54" t="n">
        <v>11.32</v>
      </c>
      <c r="E82" s="54" t="n">
        <v>87.76000000000001</v>
      </c>
      <c r="F82" s="54" t="n">
        <v>1.05</v>
      </c>
      <c r="G82" s="54" t="n">
        <v>11.19</v>
      </c>
      <c r="H82" s="54" t="n">
        <v>43.81</v>
      </c>
      <c r="I82" s="54" t="n">
        <v>48.19</v>
      </c>
      <c r="J82" s="54" t="n">
        <v>6.54</v>
      </c>
      <c r="K82" s="54" t="n">
        <v>4</v>
      </c>
      <c r="L82" s="54" t="n">
        <v>5</v>
      </c>
      <c r="M82" s="54" t="n">
        <v>1</v>
      </c>
      <c r="N82" s="54" t="n">
        <v>1</v>
      </c>
      <c r="O82" s="54" t="n">
        <v>4</v>
      </c>
      <c r="P82" s="54" t="n">
        <v>120</v>
      </c>
      <c r="Q82" s="54" t="n">
        <v>5</v>
      </c>
      <c r="R82" s="54" t="n">
        <v>500</v>
      </c>
      <c r="S82" s="54" t="n">
        <v>1</v>
      </c>
      <c r="T82" s="54" t="n">
        <v>0</v>
      </c>
      <c r="U82" s="54" t="n">
        <v>120</v>
      </c>
      <c r="V82" s="54" t="n">
        <v>0</v>
      </c>
      <c r="W82" s="54" t="n">
        <v>1150</v>
      </c>
      <c r="X82" s="54" t="n">
        <v>14.27</v>
      </c>
    </row>
    <row r="83">
      <c r="A83" s="54" t="inlineStr">
        <is>
          <t>Corn cob</t>
        </is>
      </c>
      <c r="B83" s="54" t="n">
        <v>45.88</v>
      </c>
      <c r="C83" s="54" t="n">
        <v>39.4</v>
      </c>
      <c r="D83" s="54" t="n">
        <v>11.32</v>
      </c>
      <c r="E83" s="54" t="n">
        <v>87.76000000000001</v>
      </c>
      <c r="F83" s="54" t="n">
        <v>1.05</v>
      </c>
      <c r="G83" s="54" t="n">
        <v>11.19</v>
      </c>
      <c r="H83" s="54" t="n">
        <v>43.81</v>
      </c>
      <c r="I83" s="54" t="n">
        <v>48.19</v>
      </c>
      <c r="J83" s="54" t="n">
        <v>6.54</v>
      </c>
      <c r="K83" s="54" t="n">
        <v>4</v>
      </c>
      <c r="L83" s="54" t="n">
        <v>5</v>
      </c>
      <c r="M83" s="54" t="n">
        <v>1</v>
      </c>
      <c r="N83" s="54" t="n">
        <v>1</v>
      </c>
      <c r="O83" s="54" t="n">
        <v>4</v>
      </c>
      <c r="P83" s="54" t="n">
        <v>120</v>
      </c>
      <c r="Q83" s="54" t="n">
        <v>5</v>
      </c>
      <c r="R83" s="54" t="n">
        <v>500</v>
      </c>
      <c r="S83" s="54" t="n">
        <v>1</v>
      </c>
      <c r="T83" s="54" t="n">
        <v>0</v>
      </c>
      <c r="U83" s="54" t="n">
        <v>120</v>
      </c>
      <c r="V83" s="54" t="n">
        <v>0</v>
      </c>
      <c r="W83" s="54" t="n">
        <v>1300</v>
      </c>
      <c r="X83" s="54" t="n">
        <v>12.9</v>
      </c>
    </row>
    <row r="84">
      <c r="A84" s="54" t="inlineStr">
        <is>
          <t>Corn cob</t>
        </is>
      </c>
      <c r="B84" s="54" t="n">
        <v>45.88</v>
      </c>
      <c r="C84" s="54" t="n">
        <v>39.4</v>
      </c>
      <c r="D84" s="54" t="n">
        <v>11.32</v>
      </c>
      <c r="E84" s="54" t="n">
        <v>87.76000000000001</v>
      </c>
      <c r="F84" s="54" t="n">
        <v>1.05</v>
      </c>
      <c r="G84" s="54" t="n">
        <v>11.19</v>
      </c>
      <c r="H84" s="54" t="n">
        <v>43.81</v>
      </c>
      <c r="I84" s="54" t="n">
        <v>48.19</v>
      </c>
      <c r="J84" s="54" t="n">
        <v>6.54</v>
      </c>
      <c r="K84" s="54" t="n">
        <v>4</v>
      </c>
      <c r="L84" s="54" t="n">
        <v>5</v>
      </c>
      <c r="M84" s="54" t="n">
        <v>0</v>
      </c>
      <c r="N84" s="54" t="n">
        <v>1</v>
      </c>
      <c r="O84" s="54" t="n">
        <v>4</v>
      </c>
      <c r="P84" s="54" t="n">
        <v>120</v>
      </c>
      <c r="Q84" s="54" t="n">
        <v>5</v>
      </c>
      <c r="R84" s="54" t="n">
        <v>1300</v>
      </c>
      <c r="S84" s="54" t="n">
        <v>0</v>
      </c>
      <c r="T84" s="54" t="n">
        <v>5</v>
      </c>
      <c r="U84" s="54" t="n">
        <v>0</v>
      </c>
      <c r="V84" s="54" t="n">
        <v>0</v>
      </c>
      <c r="W84" s="54" t="n">
        <v>0</v>
      </c>
      <c r="X84" s="54" t="n">
        <v>3.733</v>
      </c>
    </row>
    <row r="85">
      <c r="A85" s="54" t="inlineStr">
        <is>
          <t>Corn cob</t>
        </is>
      </c>
      <c r="B85" s="54" t="n">
        <v>45.88</v>
      </c>
      <c r="C85" s="54" t="n">
        <v>39.4</v>
      </c>
      <c r="D85" s="54" t="n">
        <v>11.32</v>
      </c>
      <c r="E85" s="54" t="n">
        <v>87.76000000000001</v>
      </c>
      <c r="F85" s="54" t="n">
        <v>1.05</v>
      </c>
      <c r="G85" s="54" t="n">
        <v>11.19</v>
      </c>
      <c r="H85" s="54" t="n">
        <v>43.81</v>
      </c>
      <c r="I85" s="54" t="n">
        <v>48.19</v>
      </c>
      <c r="J85" s="54" t="n">
        <v>6.54</v>
      </c>
      <c r="K85" s="54" t="n">
        <v>4</v>
      </c>
      <c r="L85" s="54" t="n">
        <v>5</v>
      </c>
      <c r="M85" s="54" t="n">
        <v>0</v>
      </c>
      <c r="N85" s="54" t="n">
        <v>1</v>
      </c>
      <c r="O85" s="54" t="n">
        <v>4</v>
      </c>
      <c r="P85" s="54" t="n">
        <v>60</v>
      </c>
      <c r="Q85" s="54" t="n">
        <v>5</v>
      </c>
      <c r="R85" s="54" t="n">
        <v>1400</v>
      </c>
      <c r="S85" s="54" t="n">
        <v>0</v>
      </c>
      <c r="T85" s="54" t="n">
        <v>5</v>
      </c>
      <c r="U85" s="54" t="n">
        <v>0</v>
      </c>
      <c r="V85" s="54" t="n">
        <v>0</v>
      </c>
      <c r="W85" s="54" t="n">
        <v>0</v>
      </c>
      <c r="X85" s="54" t="n">
        <v>1.5</v>
      </c>
    </row>
    <row r="86">
      <c r="A86" s="54" t="inlineStr">
        <is>
          <t>Corn cob</t>
        </is>
      </c>
      <c r="B86" s="54" t="n">
        <v>45.88</v>
      </c>
      <c r="C86" s="54" t="n">
        <v>39.4</v>
      </c>
      <c r="D86" s="54" t="n">
        <v>11.32</v>
      </c>
      <c r="E86" s="54" t="n">
        <v>87.76000000000001</v>
      </c>
      <c r="F86" s="54" t="n">
        <v>1.05</v>
      </c>
      <c r="G86" s="54" t="n">
        <v>11.19</v>
      </c>
      <c r="H86" s="54" t="n">
        <v>43.81</v>
      </c>
      <c r="I86" s="54" t="n">
        <v>48.19</v>
      </c>
      <c r="J86" s="54" t="n">
        <v>6.54</v>
      </c>
      <c r="K86" s="54" t="n">
        <v>4</v>
      </c>
      <c r="L86" s="54" t="n">
        <v>5</v>
      </c>
      <c r="M86" s="54" t="n">
        <v>0</v>
      </c>
      <c r="N86" s="54" t="n">
        <v>1</v>
      </c>
      <c r="O86" s="54" t="n">
        <v>4</v>
      </c>
      <c r="P86" s="54" t="n">
        <v>120</v>
      </c>
      <c r="Q86" s="54" t="n">
        <v>5</v>
      </c>
      <c r="R86" s="54" t="n">
        <v>1600</v>
      </c>
      <c r="S86" s="54" t="n">
        <v>0</v>
      </c>
      <c r="T86" s="54" t="n">
        <v>5</v>
      </c>
      <c r="U86" s="54" t="n">
        <v>0</v>
      </c>
      <c r="V86" s="54" t="n">
        <v>0</v>
      </c>
      <c r="W86" s="54" t="n">
        <v>0</v>
      </c>
      <c r="X86" s="54" t="n">
        <v>1.431</v>
      </c>
    </row>
    <row r="87">
      <c r="A87" s="54" t="inlineStr">
        <is>
          <t>Corn silk</t>
        </is>
      </c>
      <c r="B87" s="54" t="n">
        <v>42.36</v>
      </c>
      <c r="C87" s="54" t="n">
        <v>10.26</v>
      </c>
      <c r="D87" s="54" t="n">
        <v>27.19</v>
      </c>
      <c r="E87" s="54" t="n">
        <v>72.2</v>
      </c>
      <c r="F87" s="54" t="n">
        <v>5.4</v>
      </c>
      <c r="G87" s="54" t="n">
        <v>22.4</v>
      </c>
      <c r="H87" s="54" t="n">
        <v>45.86</v>
      </c>
      <c r="I87" s="54" t="n">
        <v>46.43</v>
      </c>
      <c r="J87" s="54" t="n">
        <v>5.96436679523687</v>
      </c>
      <c r="K87" s="54" t="n">
        <v>4</v>
      </c>
      <c r="L87" s="54" t="n">
        <v>3</v>
      </c>
      <c r="M87" s="54" t="n">
        <v>0</v>
      </c>
      <c r="N87" s="54" t="n">
        <v>1</v>
      </c>
      <c r="O87" s="54" t="n">
        <v>4</v>
      </c>
      <c r="P87" s="54" t="n">
        <v>60</v>
      </c>
      <c r="Q87" s="54" t="n">
        <v>5</v>
      </c>
      <c r="R87" s="54" t="n">
        <v>1300</v>
      </c>
      <c r="S87" s="54" t="n">
        <v>0</v>
      </c>
      <c r="T87" s="54" t="n">
        <v>5</v>
      </c>
      <c r="U87" s="54" t="n">
        <v>0</v>
      </c>
      <c r="V87" s="54" t="n">
        <v>0</v>
      </c>
      <c r="W87" s="54" t="n">
        <v>0</v>
      </c>
      <c r="X87" s="54" t="n">
        <v>10</v>
      </c>
    </row>
    <row r="88">
      <c r="A88" s="54" t="inlineStr">
        <is>
          <t>Corn Stalks</t>
        </is>
      </c>
      <c r="B88" s="54" t="n">
        <v>31.31</v>
      </c>
      <c r="C88" s="54" t="n">
        <v>40.13</v>
      </c>
      <c r="D88" s="54" t="n">
        <v>4.74</v>
      </c>
      <c r="E88" s="54" t="n">
        <v>77.48</v>
      </c>
      <c r="F88" s="54" t="n">
        <v>7.92</v>
      </c>
      <c r="G88" s="54" t="n">
        <v>6.14</v>
      </c>
      <c r="H88" s="54" t="n">
        <v>44.17</v>
      </c>
      <c r="I88" s="54" t="n">
        <v>49.07</v>
      </c>
      <c r="J88" s="54" t="n">
        <v>5.65</v>
      </c>
      <c r="K88" s="54" t="n">
        <v>4</v>
      </c>
      <c r="L88" s="54" t="n">
        <v>5</v>
      </c>
      <c r="M88" s="54" t="n">
        <v>0</v>
      </c>
      <c r="N88" s="54" t="n">
        <v>1</v>
      </c>
      <c r="O88" s="54" t="n">
        <v>4</v>
      </c>
      <c r="P88" s="54" t="n">
        <v>120</v>
      </c>
      <c r="Q88" s="54" t="n">
        <v>4.16046635891836</v>
      </c>
      <c r="R88" s="54" t="n">
        <v>1200</v>
      </c>
      <c r="S88" s="54" t="n">
        <v>0</v>
      </c>
      <c r="T88" s="54" t="n">
        <v>5</v>
      </c>
      <c r="U88" s="54" t="n">
        <v>0</v>
      </c>
      <c r="V88" s="54" t="n">
        <v>0</v>
      </c>
      <c r="W88" s="54" t="n">
        <v>0</v>
      </c>
      <c r="X88" s="54" t="n">
        <v>638.9</v>
      </c>
    </row>
    <row r="89">
      <c r="A89" s="54" t="inlineStr">
        <is>
          <t>Corn Stalks</t>
        </is>
      </c>
      <c r="B89" s="54" t="n">
        <v>31.31</v>
      </c>
      <c r="C89" s="54" t="n">
        <v>40.13</v>
      </c>
      <c r="D89" s="54" t="n">
        <v>4.74</v>
      </c>
      <c r="E89" s="54" t="n">
        <v>77.48</v>
      </c>
      <c r="F89" s="54" t="n">
        <v>7.92</v>
      </c>
      <c r="G89" s="54" t="n">
        <v>6.14</v>
      </c>
      <c r="H89" s="54" t="n">
        <v>44.17</v>
      </c>
      <c r="I89" s="54" t="n">
        <v>49.07</v>
      </c>
      <c r="J89" s="54" t="n">
        <v>5.65</v>
      </c>
      <c r="K89" s="54" t="n">
        <v>4</v>
      </c>
      <c r="L89" s="54" t="n">
        <v>5</v>
      </c>
      <c r="M89" s="54" t="n">
        <v>0</v>
      </c>
      <c r="N89" s="54" t="n">
        <v>1</v>
      </c>
      <c r="O89" s="54" t="n">
        <v>4</v>
      </c>
      <c r="P89" s="54" t="n">
        <v>120</v>
      </c>
      <c r="Q89" s="54" t="n">
        <v>4.16046637077141</v>
      </c>
      <c r="R89" s="54" t="n">
        <v>1200</v>
      </c>
      <c r="S89" s="54" t="n">
        <v>0</v>
      </c>
      <c r="T89" s="54" t="n">
        <v>5</v>
      </c>
      <c r="U89" s="54" t="n">
        <v>0</v>
      </c>
      <c r="V89" s="54" t="n">
        <v>0</v>
      </c>
      <c r="W89" s="54" t="n">
        <v>0</v>
      </c>
      <c r="X89" s="54" t="n">
        <v>27.4</v>
      </c>
    </row>
    <row r="90">
      <c r="A90" s="54" t="inlineStr">
        <is>
          <t>Corn straw pith</t>
        </is>
      </c>
      <c r="B90" s="54" t="n">
        <v>57.6</v>
      </c>
      <c r="C90" s="54" t="n">
        <v>21.3</v>
      </c>
      <c r="D90" s="54" t="n">
        <v>6.1</v>
      </c>
      <c r="E90" s="54" t="n">
        <v>80.56999999999999</v>
      </c>
      <c r="F90" s="54" t="n">
        <v>5.49</v>
      </c>
      <c r="G90" s="54" t="n">
        <v>13.89</v>
      </c>
      <c r="H90" s="54" t="n">
        <v>44.69</v>
      </c>
      <c r="I90" s="54" t="n">
        <v>49.1</v>
      </c>
      <c r="J90" s="54" t="n">
        <v>5.93</v>
      </c>
      <c r="K90" s="54" t="n">
        <v>4</v>
      </c>
      <c r="L90" s="54" t="n">
        <v>5</v>
      </c>
      <c r="M90" s="54" t="n">
        <v>0</v>
      </c>
      <c r="N90" s="54" t="n">
        <v>1</v>
      </c>
      <c r="O90" s="54" t="n">
        <v>4</v>
      </c>
      <c r="P90" s="54" t="n">
        <v>120</v>
      </c>
      <c r="Q90" s="54" t="n">
        <v>5</v>
      </c>
      <c r="R90" s="54" t="n">
        <v>1400</v>
      </c>
      <c r="S90" s="54" t="n">
        <v>0</v>
      </c>
      <c r="T90" s="54" t="n">
        <v>5</v>
      </c>
      <c r="U90" s="54" t="n">
        <v>0</v>
      </c>
      <c r="V90" s="54" t="n">
        <v>0</v>
      </c>
      <c r="W90" s="54" t="n">
        <v>0</v>
      </c>
      <c r="X90" s="54" t="n">
        <v>25</v>
      </c>
    </row>
    <row r="91">
      <c r="A91" s="54" t="inlineStr">
        <is>
          <t>Corn straw pith</t>
        </is>
      </c>
      <c r="B91" s="54" t="n">
        <v>57.6</v>
      </c>
      <c r="C91" s="54" t="n">
        <v>21.3</v>
      </c>
      <c r="D91" s="54" t="n">
        <v>6.1</v>
      </c>
      <c r="E91" s="54" t="n">
        <v>80.56999999999999</v>
      </c>
      <c r="F91" s="54" t="n">
        <v>5.49</v>
      </c>
      <c r="G91" s="54" t="n">
        <v>13.89</v>
      </c>
      <c r="H91" s="54" t="n">
        <v>44.69</v>
      </c>
      <c r="I91" s="54" t="n">
        <v>49.1</v>
      </c>
      <c r="J91" s="54" t="n">
        <v>5.93</v>
      </c>
      <c r="K91" s="54" t="n">
        <v>4</v>
      </c>
      <c r="L91" s="54" t="n">
        <v>5</v>
      </c>
      <c r="M91" s="54" t="n">
        <v>0</v>
      </c>
      <c r="N91" s="54" t="n">
        <v>1</v>
      </c>
      <c r="O91" s="54" t="n">
        <v>4</v>
      </c>
      <c r="P91" s="54" t="n">
        <v>120</v>
      </c>
      <c r="Q91" s="54" t="n">
        <v>5</v>
      </c>
      <c r="R91" s="54" t="n">
        <v>1200</v>
      </c>
      <c r="S91" s="54" t="n">
        <v>0</v>
      </c>
      <c r="T91" s="54" t="n">
        <v>5</v>
      </c>
      <c r="U91" s="54" t="n">
        <v>0</v>
      </c>
      <c r="V91" s="54" t="n">
        <v>0</v>
      </c>
      <c r="W91" s="54" t="n">
        <v>0</v>
      </c>
      <c r="X91" s="54" t="n">
        <v>24</v>
      </c>
    </row>
    <row r="92">
      <c r="A92" s="54" t="inlineStr">
        <is>
          <t>Corn straw pith</t>
        </is>
      </c>
      <c r="B92" s="54" t="n">
        <v>57.6</v>
      </c>
      <c r="C92" s="54" t="n">
        <v>21.3</v>
      </c>
      <c r="D92" s="54" t="n">
        <v>6.1</v>
      </c>
      <c r="E92" s="54" t="n">
        <v>80.56999999999999</v>
      </c>
      <c r="F92" s="54" t="n">
        <v>5.49</v>
      </c>
      <c r="G92" s="54" t="n">
        <v>13.89</v>
      </c>
      <c r="H92" s="54" t="n">
        <v>44.69</v>
      </c>
      <c r="I92" s="54" t="n">
        <v>49.1</v>
      </c>
      <c r="J92" s="54" t="n">
        <v>5.93</v>
      </c>
      <c r="K92" s="54" t="n">
        <v>4</v>
      </c>
      <c r="L92" s="54" t="n">
        <v>5</v>
      </c>
      <c r="M92" s="54" t="n">
        <v>0</v>
      </c>
      <c r="N92" s="54" t="n">
        <v>1</v>
      </c>
      <c r="O92" s="54" t="n">
        <v>4</v>
      </c>
      <c r="P92" s="54" t="n">
        <v>120</v>
      </c>
      <c r="Q92" s="54" t="n">
        <v>5</v>
      </c>
      <c r="R92" s="54" t="n">
        <v>1600</v>
      </c>
      <c r="S92" s="54" t="n">
        <v>0</v>
      </c>
      <c r="T92" s="54" t="n">
        <v>5</v>
      </c>
      <c r="U92" s="54" t="n">
        <v>0</v>
      </c>
      <c r="V92" s="54" t="n">
        <v>0</v>
      </c>
      <c r="W92" s="54" t="n">
        <v>0</v>
      </c>
      <c r="X92" s="54" t="n">
        <v>10</v>
      </c>
    </row>
    <row r="93">
      <c r="A93" s="54" t="inlineStr">
        <is>
          <t>Corncob</t>
        </is>
      </c>
      <c r="B93" s="54" t="n">
        <v>45.88</v>
      </c>
      <c r="C93" s="54" t="n">
        <v>39.4</v>
      </c>
      <c r="D93" s="54" t="n">
        <v>11.32</v>
      </c>
      <c r="E93" s="54" t="n">
        <v>87.76000000000001</v>
      </c>
      <c r="F93" s="54" t="n">
        <v>1.05</v>
      </c>
      <c r="G93" s="54" t="n">
        <v>11.19</v>
      </c>
      <c r="H93" s="54" t="n">
        <v>43.81</v>
      </c>
      <c r="I93" s="54" t="n">
        <v>48.19</v>
      </c>
      <c r="J93" s="54" t="n">
        <v>6.54</v>
      </c>
      <c r="K93" s="54" t="n">
        <v>4</v>
      </c>
      <c r="L93" s="54" t="n">
        <v>1</v>
      </c>
      <c r="M93" s="54" t="n">
        <v>1</v>
      </c>
      <c r="N93" s="54" t="n">
        <v>1</v>
      </c>
      <c r="O93" s="54" t="n">
        <v>4</v>
      </c>
      <c r="P93" s="54" t="n">
        <v>120</v>
      </c>
      <c r="Q93" s="54" t="n">
        <v>3</v>
      </c>
      <c r="R93" s="54" t="n">
        <v>500</v>
      </c>
      <c r="S93" s="54" t="n">
        <v>1</v>
      </c>
      <c r="T93" s="54" t="n">
        <v>5</v>
      </c>
      <c r="U93" s="54" t="n">
        <v>120</v>
      </c>
      <c r="V93" s="54" t="n">
        <v>5</v>
      </c>
      <c r="W93" s="54" t="n">
        <v>1000</v>
      </c>
      <c r="X93" s="54" t="n">
        <v>393.8</v>
      </c>
    </row>
    <row r="94">
      <c r="A94" s="54" t="inlineStr">
        <is>
          <t>Corncob</t>
        </is>
      </c>
      <c r="B94" s="54" t="n">
        <v>45.88</v>
      </c>
      <c r="C94" s="54" t="n">
        <v>39.4</v>
      </c>
      <c r="D94" s="54" t="n">
        <v>11.32</v>
      </c>
      <c r="E94" s="54" t="n">
        <v>87.76000000000001</v>
      </c>
      <c r="F94" s="54" t="n">
        <v>1.05</v>
      </c>
      <c r="G94" s="54" t="n">
        <v>11.19</v>
      </c>
      <c r="H94" s="54" t="n">
        <v>43.81</v>
      </c>
      <c r="I94" s="54" t="n">
        <v>48.19</v>
      </c>
      <c r="J94" s="54" t="n">
        <v>6.54</v>
      </c>
      <c r="K94" s="54" t="n">
        <v>1</v>
      </c>
      <c r="L94" s="54" t="n">
        <v>5</v>
      </c>
      <c r="M94" s="54" t="n">
        <v>0</v>
      </c>
      <c r="N94" s="54" t="n">
        <v>1</v>
      </c>
      <c r="O94" s="54" t="n">
        <v>4</v>
      </c>
      <c r="P94" s="54" t="n">
        <v>120</v>
      </c>
      <c r="Q94" s="54" t="n">
        <v>3.94444444444444</v>
      </c>
      <c r="R94" s="54" t="n">
        <v>1300</v>
      </c>
      <c r="S94" s="54" t="n">
        <v>0</v>
      </c>
      <c r="T94" s="54" t="n">
        <v>5</v>
      </c>
      <c r="U94" s="54" t="n">
        <v>0</v>
      </c>
      <c r="V94" s="54" t="n">
        <v>0</v>
      </c>
      <c r="W94" s="54" t="n">
        <v>0</v>
      </c>
      <c r="X94" s="54" t="n">
        <v>26.9</v>
      </c>
    </row>
    <row r="95">
      <c r="A95" s="54" t="inlineStr">
        <is>
          <t>Corncob</t>
        </is>
      </c>
      <c r="B95" s="54" t="n">
        <v>45.88</v>
      </c>
      <c r="C95" s="54" t="n">
        <v>39.4</v>
      </c>
      <c r="D95" s="54" t="n">
        <v>11.32</v>
      </c>
      <c r="E95" s="54" t="n">
        <v>87.76000000000001</v>
      </c>
      <c r="F95" s="54" t="n">
        <v>1.05</v>
      </c>
      <c r="G95" s="54" t="n">
        <v>11.19</v>
      </c>
      <c r="H95" s="54" t="n">
        <v>43.81</v>
      </c>
      <c r="I95" s="54" t="n">
        <v>48.19</v>
      </c>
      <c r="J95" s="54" t="n">
        <v>6.54</v>
      </c>
      <c r="K95" s="54" t="n">
        <v>4</v>
      </c>
      <c r="L95" s="54" t="n">
        <v>1</v>
      </c>
      <c r="M95" s="54" t="n">
        <v>1</v>
      </c>
      <c r="N95" s="54" t="n">
        <v>1</v>
      </c>
      <c r="O95" s="54" t="n">
        <v>4</v>
      </c>
      <c r="P95" s="54" t="n">
        <v>120</v>
      </c>
      <c r="Q95" s="54" t="n">
        <v>3</v>
      </c>
      <c r="R95" s="54" t="n">
        <v>500</v>
      </c>
      <c r="S95" s="54" t="n">
        <v>1</v>
      </c>
      <c r="T95" s="54" t="n">
        <v>5</v>
      </c>
      <c r="U95" s="54" t="n">
        <v>120</v>
      </c>
      <c r="V95" s="54" t="n">
        <v>5</v>
      </c>
      <c r="W95" s="54" t="n">
        <v>1600</v>
      </c>
      <c r="X95" s="54" t="n">
        <v>17.75</v>
      </c>
    </row>
    <row r="96">
      <c r="A96" s="54" t="inlineStr">
        <is>
          <t>Corncob</t>
        </is>
      </c>
      <c r="B96" s="54" t="n">
        <v>45.88</v>
      </c>
      <c r="C96" s="54" t="n">
        <v>39.4</v>
      </c>
      <c r="D96" s="54" t="n">
        <v>11.32</v>
      </c>
      <c r="E96" s="54" t="n">
        <v>87.76000000000001</v>
      </c>
      <c r="F96" s="54" t="n">
        <v>1.05</v>
      </c>
      <c r="G96" s="54" t="n">
        <v>11.19</v>
      </c>
      <c r="H96" s="54" t="n">
        <v>43.81</v>
      </c>
      <c r="I96" s="54" t="n">
        <v>48.19</v>
      </c>
      <c r="J96" s="54" t="n">
        <v>6.54</v>
      </c>
      <c r="K96" s="54" t="n">
        <v>1</v>
      </c>
      <c r="L96" s="54" t="n">
        <v>5</v>
      </c>
      <c r="M96" s="54" t="n">
        <v>1</v>
      </c>
      <c r="N96" s="54" t="n">
        <v>1</v>
      </c>
      <c r="O96" s="54" t="n">
        <v>4</v>
      </c>
      <c r="P96" s="54" t="n">
        <v>120</v>
      </c>
      <c r="Q96" s="54" t="n">
        <v>3.94444444444444</v>
      </c>
      <c r="R96" s="54" t="n">
        <v>400</v>
      </c>
      <c r="S96" s="54" t="n">
        <v>1</v>
      </c>
      <c r="T96" s="54" t="n">
        <v>5</v>
      </c>
      <c r="U96" s="54" t="n">
        <v>120</v>
      </c>
      <c r="V96" s="54" t="n">
        <v>4.58333333333333</v>
      </c>
      <c r="W96" s="54" t="n">
        <v>1300</v>
      </c>
      <c r="X96" s="54" t="n">
        <v>14.9</v>
      </c>
    </row>
    <row r="97">
      <c r="A97" s="54" t="inlineStr">
        <is>
          <t>Corncob</t>
        </is>
      </c>
      <c r="B97" s="54" t="n">
        <v>45.88</v>
      </c>
      <c r="C97" s="54" t="n">
        <v>39.4</v>
      </c>
      <c r="D97" s="54" t="n">
        <v>11.32</v>
      </c>
      <c r="E97" s="54" t="n">
        <v>87.76000000000001</v>
      </c>
      <c r="F97" s="54" t="n">
        <v>1.05</v>
      </c>
      <c r="G97" s="54" t="n">
        <v>11.19</v>
      </c>
      <c r="H97" s="54" t="n">
        <v>43.81</v>
      </c>
      <c r="I97" s="54" t="n">
        <v>48.19</v>
      </c>
      <c r="J97" s="54" t="n">
        <v>6.54</v>
      </c>
      <c r="K97" s="54" t="n">
        <v>1</v>
      </c>
      <c r="L97" s="54" t="n">
        <v>5</v>
      </c>
      <c r="M97" s="54" t="n">
        <v>1</v>
      </c>
      <c r="N97" s="54" t="n">
        <v>1</v>
      </c>
      <c r="O97" s="54" t="n">
        <v>4</v>
      </c>
      <c r="P97" s="54" t="n">
        <v>120</v>
      </c>
      <c r="Q97" s="54" t="n">
        <v>3.94444444444444</v>
      </c>
      <c r="R97" s="54" t="n">
        <v>500</v>
      </c>
      <c r="S97" s="54" t="n">
        <v>1</v>
      </c>
      <c r="T97" s="54" t="n">
        <v>5</v>
      </c>
      <c r="U97" s="54" t="n">
        <v>120</v>
      </c>
      <c r="V97" s="54" t="n">
        <v>4.58333333333333</v>
      </c>
      <c r="W97" s="54" t="n">
        <v>1300</v>
      </c>
      <c r="X97" s="54" t="n">
        <v>11.7</v>
      </c>
    </row>
    <row r="98">
      <c r="A98" s="54" t="inlineStr">
        <is>
          <t>Corncob</t>
        </is>
      </c>
      <c r="B98" s="54" t="n">
        <v>45.88</v>
      </c>
      <c r="C98" s="54" t="n">
        <v>39.4</v>
      </c>
      <c r="D98" s="54" t="n">
        <v>11.32</v>
      </c>
      <c r="E98" s="54" t="n">
        <v>87.76000000000001</v>
      </c>
      <c r="F98" s="54" t="n">
        <v>1.05</v>
      </c>
      <c r="G98" s="54" t="n">
        <v>11.19</v>
      </c>
      <c r="H98" s="54" t="n">
        <v>43.81</v>
      </c>
      <c r="I98" s="54" t="n">
        <v>48.19</v>
      </c>
      <c r="J98" s="54" t="n">
        <v>6.54</v>
      </c>
      <c r="K98" s="54" t="n">
        <v>4</v>
      </c>
      <c r="L98" s="54" t="n">
        <v>1</v>
      </c>
      <c r="M98" s="54" t="n">
        <v>1</v>
      </c>
      <c r="N98" s="54" t="n">
        <v>1</v>
      </c>
      <c r="O98" s="54" t="n">
        <v>4</v>
      </c>
      <c r="P98" s="54" t="n">
        <v>120</v>
      </c>
      <c r="Q98" s="54" t="n">
        <v>5</v>
      </c>
      <c r="R98" s="54" t="n">
        <v>500</v>
      </c>
      <c r="S98" s="54" t="n">
        <v>1</v>
      </c>
      <c r="T98" s="54" t="n">
        <v>5</v>
      </c>
      <c r="U98" s="54" t="n">
        <v>120</v>
      </c>
      <c r="V98" s="54" t="n">
        <v>5</v>
      </c>
      <c r="W98" s="54" t="n">
        <v>1600</v>
      </c>
      <c r="X98" s="54" t="n">
        <v>9.630000000000001</v>
      </c>
    </row>
    <row r="99">
      <c r="A99" s="54" t="inlineStr">
        <is>
          <t>Corncob</t>
        </is>
      </c>
      <c r="B99" s="54" t="n">
        <v>45.88</v>
      </c>
      <c r="C99" s="54" t="n">
        <v>39.4</v>
      </c>
      <c r="D99" s="54" t="n">
        <v>11.32</v>
      </c>
      <c r="E99" s="54" t="n">
        <v>87.76000000000001</v>
      </c>
      <c r="F99" s="54" t="n">
        <v>1.05</v>
      </c>
      <c r="G99" s="54" t="n">
        <v>11.19</v>
      </c>
      <c r="H99" s="54" t="n">
        <v>43.81</v>
      </c>
      <c r="I99" s="54" t="n">
        <v>48.19</v>
      </c>
      <c r="J99" s="54" t="n">
        <v>6.54</v>
      </c>
      <c r="K99" s="54" t="n">
        <v>4</v>
      </c>
      <c r="L99" s="54" t="n">
        <v>1</v>
      </c>
      <c r="M99" s="54" t="n">
        <v>1</v>
      </c>
      <c r="N99" s="54" t="n">
        <v>1</v>
      </c>
      <c r="O99" s="54" t="n">
        <v>4</v>
      </c>
      <c r="P99" s="54" t="n">
        <v>120</v>
      </c>
      <c r="Q99" s="54" t="n">
        <v>5</v>
      </c>
      <c r="R99" s="54" t="n">
        <v>500</v>
      </c>
      <c r="S99" s="54" t="n">
        <v>1</v>
      </c>
      <c r="T99" s="54" t="n">
        <v>5</v>
      </c>
      <c r="U99" s="54" t="n">
        <v>120</v>
      </c>
      <c r="V99" s="54" t="n">
        <v>5</v>
      </c>
      <c r="W99" s="54" t="n">
        <v>1400</v>
      </c>
      <c r="X99" s="54" t="n">
        <v>7.81</v>
      </c>
    </row>
    <row r="100">
      <c r="A100" s="54" t="inlineStr">
        <is>
          <t>Corncob</t>
        </is>
      </c>
      <c r="B100" s="54" t="n">
        <v>45.88</v>
      </c>
      <c r="C100" s="54" t="n">
        <v>39.4</v>
      </c>
      <c r="D100" s="54" t="n">
        <v>11.32</v>
      </c>
      <c r="E100" s="54" t="n">
        <v>87.76000000000001</v>
      </c>
      <c r="F100" s="54" t="n">
        <v>1.05</v>
      </c>
      <c r="G100" s="54" t="n">
        <v>11.19</v>
      </c>
      <c r="H100" s="54" t="n">
        <v>43.81</v>
      </c>
      <c r="I100" s="54" t="n">
        <v>48.19</v>
      </c>
      <c r="J100" s="54" t="n">
        <v>6.54</v>
      </c>
      <c r="K100" s="54" t="n">
        <v>4</v>
      </c>
      <c r="L100" s="54" t="n">
        <v>1</v>
      </c>
      <c r="M100" s="54" t="n">
        <v>1</v>
      </c>
      <c r="N100" s="54" t="n">
        <v>1</v>
      </c>
      <c r="O100" s="54" t="n">
        <v>4</v>
      </c>
      <c r="P100" s="54" t="n">
        <v>120</v>
      </c>
      <c r="Q100" s="54" t="n">
        <v>5</v>
      </c>
      <c r="R100" s="54" t="n">
        <v>500</v>
      </c>
      <c r="S100" s="54" t="n">
        <v>1</v>
      </c>
      <c r="T100" s="54" t="n">
        <v>5</v>
      </c>
      <c r="U100" s="54" t="n">
        <v>120</v>
      </c>
      <c r="V100" s="54" t="n">
        <v>5</v>
      </c>
      <c r="W100" s="54" t="n">
        <v>1200</v>
      </c>
      <c r="X100" s="54" t="n">
        <v>7.64</v>
      </c>
    </row>
    <row r="101">
      <c r="A101" s="54" t="inlineStr">
        <is>
          <t>Corncob</t>
        </is>
      </c>
      <c r="B101" s="54" t="n">
        <v>45.88</v>
      </c>
      <c r="C101" s="54" t="n">
        <v>39.4</v>
      </c>
      <c r="D101" s="54" t="n">
        <v>11.32</v>
      </c>
      <c r="E101" s="54" t="n">
        <v>87.76000000000001</v>
      </c>
      <c r="F101" s="54" t="n">
        <v>1.05</v>
      </c>
      <c r="G101" s="54" t="n">
        <v>11.19</v>
      </c>
      <c r="H101" s="54" t="n">
        <v>43.81</v>
      </c>
      <c r="I101" s="54" t="n">
        <v>48.19</v>
      </c>
      <c r="J101" s="54" t="n">
        <v>6.54</v>
      </c>
      <c r="K101" s="54" t="n">
        <v>4</v>
      </c>
      <c r="L101" s="54" t="n">
        <v>1</v>
      </c>
      <c r="M101" s="54" t="n">
        <v>1</v>
      </c>
      <c r="N101" s="54" t="n">
        <v>1</v>
      </c>
      <c r="O101" s="54" t="n">
        <v>4</v>
      </c>
      <c r="P101" s="54" t="n">
        <v>120</v>
      </c>
      <c r="Q101" s="54" t="n">
        <v>5</v>
      </c>
      <c r="R101" s="54" t="n">
        <v>500</v>
      </c>
      <c r="S101" s="54" t="n">
        <v>1</v>
      </c>
      <c r="T101" s="54" t="n">
        <v>5</v>
      </c>
      <c r="U101" s="54" t="n">
        <v>120</v>
      </c>
      <c r="V101" s="54" t="n">
        <v>5</v>
      </c>
      <c r="W101" s="54" t="n">
        <v>1000</v>
      </c>
      <c r="X101" s="54" t="n">
        <v>7.25</v>
      </c>
    </row>
    <row r="102">
      <c r="A102" s="54" t="inlineStr">
        <is>
          <t>Corncob</t>
        </is>
      </c>
      <c r="B102" s="54" t="n">
        <v>45.88</v>
      </c>
      <c r="C102" s="54" t="n">
        <v>39.4</v>
      </c>
      <c r="D102" s="54" t="n">
        <v>11.32</v>
      </c>
      <c r="E102" s="54" t="n">
        <v>87.76000000000001</v>
      </c>
      <c r="F102" s="54" t="n">
        <v>1.05</v>
      </c>
      <c r="G102" s="54" t="n">
        <v>11.19</v>
      </c>
      <c r="H102" s="54" t="n">
        <v>43.81</v>
      </c>
      <c r="I102" s="54" t="n">
        <v>48.19</v>
      </c>
      <c r="J102" s="54" t="n">
        <v>6.54</v>
      </c>
      <c r="K102" s="54" t="n">
        <v>4</v>
      </c>
      <c r="L102" s="54" t="n">
        <v>1</v>
      </c>
      <c r="M102" s="54" t="n">
        <v>1</v>
      </c>
      <c r="N102" s="54" t="n">
        <v>1</v>
      </c>
      <c r="O102" s="54" t="n">
        <v>4</v>
      </c>
      <c r="P102" s="54" t="n">
        <v>120</v>
      </c>
      <c r="Q102" s="54" t="n">
        <v>3</v>
      </c>
      <c r="R102" s="54" t="n">
        <v>500</v>
      </c>
      <c r="S102" s="54" t="n">
        <v>1</v>
      </c>
      <c r="T102" s="54" t="n">
        <v>5</v>
      </c>
      <c r="U102" s="54" t="n">
        <v>120</v>
      </c>
      <c r="V102" s="54" t="n">
        <v>5</v>
      </c>
      <c r="W102" s="54" t="n">
        <v>1200</v>
      </c>
      <c r="X102" s="54" t="n">
        <v>7.13</v>
      </c>
    </row>
    <row r="103">
      <c r="A103" s="54" t="inlineStr">
        <is>
          <t>Corncob</t>
        </is>
      </c>
      <c r="B103" s="54" t="n">
        <v>45.88</v>
      </c>
      <c r="C103" s="54" t="n">
        <v>39.4</v>
      </c>
      <c r="D103" s="54" t="n">
        <v>11.32</v>
      </c>
      <c r="E103" s="54" t="n">
        <v>87.76000000000001</v>
      </c>
      <c r="F103" s="54" t="n">
        <v>1.05</v>
      </c>
      <c r="G103" s="54" t="n">
        <v>11.19</v>
      </c>
      <c r="H103" s="54" t="n">
        <v>43.81</v>
      </c>
      <c r="I103" s="54" t="n">
        <v>48.19</v>
      </c>
      <c r="J103" s="54" t="n">
        <v>6.54</v>
      </c>
      <c r="K103" s="54" t="n">
        <v>4</v>
      </c>
      <c r="L103" s="54" t="n">
        <v>1</v>
      </c>
      <c r="M103" s="54" t="n">
        <v>1</v>
      </c>
      <c r="N103" s="54" t="n">
        <v>1</v>
      </c>
      <c r="O103" s="54" t="n">
        <v>4</v>
      </c>
      <c r="P103" s="54" t="n">
        <v>120</v>
      </c>
      <c r="Q103" s="54" t="n">
        <v>3</v>
      </c>
      <c r="R103" s="54" t="n">
        <v>500</v>
      </c>
      <c r="S103" s="54" t="n">
        <v>1</v>
      </c>
      <c r="T103" s="54" t="n">
        <v>5</v>
      </c>
      <c r="U103" s="54" t="n">
        <v>120</v>
      </c>
      <c r="V103" s="54" t="n">
        <v>5</v>
      </c>
      <c r="W103" s="54" t="n">
        <v>1400</v>
      </c>
      <c r="X103" s="54" t="n">
        <v>6.05</v>
      </c>
    </row>
    <row r="104">
      <c r="A104" s="54" t="inlineStr">
        <is>
          <t>Corncob</t>
        </is>
      </c>
      <c r="B104" s="54" t="n">
        <v>45.88</v>
      </c>
      <c r="C104" s="54" t="n">
        <v>39.4</v>
      </c>
      <c r="D104" s="54" t="n">
        <v>11.32</v>
      </c>
      <c r="E104" s="54" t="n">
        <v>87.76000000000001</v>
      </c>
      <c r="F104" s="54" t="n">
        <v>1.05</v>
      </c>
      <c r="G104" s="54" t="n">
        <v>11.19</v>
      </c>
      <c r="H104" s="54" t="n">
        <v>43.81</v>
      </c>
      <c r="I104" s="54" t="n">
        <v>48.19</v>
      </c>
      <c r="J104" s="54" t="n">
        <v>6.54</v>
      </c>
      <c r="K104" s="54" t="n">
        <v>1</v>
      </c>
      <c r="L104" s="54" t="n">
        <v>5</v>
      </c>
      <c r="M104" s="54" t="n">
        <v>1</v>
      </c>
      <c r="N104" s="54" t="n">
        <v>1</v>
      </c>
      <c r="O104" s="54" t="n">
        <v>4</v>
      </c>
      <c r="P104" s="54" t="n">
        <v>120</v>
      </c>
      <c r="Q104" s="54" t="n">
        <v>3.94444444444444</v>
      </c>
      <c r="R104" s="54" t="n">
        <v>600</v>
      </c>
      <c r="S104" s="54" t="n">
        <v>1</v>
      </c>
      <c r="T104" s="54" t="n">
        <v>5</v>
      </c>
      <c r="U104" s="54" t="n">
        <v>120</v>
      </c>
      <c r="V104" s="54" t="n">
        <v>4.58333333333333</v>
      </c>
      <c r="W104" s="54" t="n">
        <v>1300</v>
      </c>
      <c r="X104" s="54" t="n">
        <v>1.7</v>
      </c>
    </row>
    <row r="105">
      <c r="A105" s="54" t="inlineStr">
        <is>
          <t>Cotton</t>
        </is>
      </c>
      <c r="B105" s="54" t="n">
        <v>26.9</v>
      </c>
      <c r="C105" s="54" t="n">
        <v>19.1</v>
      </c>
      <c r="D105" s="54" t="n">
        <v>22</v>
      </c>
      <c r="E105" s="54" t="n">
        <v>69.27</v>
      </c>
      <c r="F105" s="54" t="n">
        <v>13.95</v>
      </c>
      <c r="G105" s="54" t="n">
        <v>6.19</v>
      </c>
      <c r="H105" s="54" t="n">
        <v>42.21</v>
      </c>
      <c r="I105" s="54" t="n">
        <v>51.01</v>
      </c>
      <c r="J105" s="54" t="n">
        <v>5.59</v>
      </c>
      <c r="K105" s="54" t="n">
        <v>4</v>
      </c>
      <c r="L105" s="54" t="n">
        <v>5</v>
      </c>
      <c r="M105" s="54" t="n">
        <v>0</v>
      </c>
      <c r="N105" s="54" t="n">
        <v>1</v>
      </c>
      <c r="O105" s="54" t="n">
        <v>4</v>
      </c>
      <c r="P105" s="54" t="n">
        <v>120</v>
      </c>
      <c r="Q105" s="54" t="n">
        <v>4.37303928693074</v>
      </c>
      <c r="R105" s="54" t="n">
        <v>1000</v>
      </c>
      <c r="S105" s="54" t="n">
        <v>0</v>
      </c>
      <c r="T105" s="54" t="n">
        <v>5</v>
      </c>
      <c r="U105" s="54" t="n">
        <v>0</v>
      </c>
      <c r="V105" s="54" t="n">
        <v>0</v>
      </c>
      <c r="W105" s="54" t="n">
        <v>0</v>
      </c>
      <c r="X105" s="54" t="n">
        <v>538</v>
      </c>
    </row>
    <row r="106">
      <c r="A106" s="54" t="inlineStr">
        <is>
          <t>Cotton</t>
        </is>
      </c>
      <c r="B106" s="54" t="n">
        <v>26.9</v>
      </c>
      <c r="C106" s="54" t="n">
        <v>19.1</v>
      </c>
      <c r="D106" s="54" t="n">
        <v>22</v>
      </c>
      <c r="E106" s="54" t="n">
        <v>69.27</v>
      </c>
      <c r="F106" s="54" t="n">
        <v>13.95</v>
      </c>
      <c r="G106" s="54" t="n">
        <v>6.19</v>
      </c>
      <c r="H106" s="54" t="n">
        <v>42.21</v>
      </c>
      <c r="I106" s="54" t="n">
        <v>51.01</v>
      </c>
      <c r="J106" s="54" t="n">
        <v>5.59</v>
      </c>
      <c r="K106" s="54" t="n">
        <v>4</v>
      </c>
      <c r="L106" s="54" t="n">
        <v>5</v>
      </c>
      <c r="M106" s="54" t="n">
        <v>0</v>
      </c>
      <c r="N106" s="54" t="n">
        <v>1</v>
      </c>
      <c r="O106" s="54" t="n">
        <v>4</v>
      </c>
      <c r="P106" s="54" t="n">
        <v>120</v>
      </c>
      <c r="Q106" s="54" t="n">
        <v>4.56054439435053</v>
      </c>
      <c r="R106" s="54" t="n">
        <v>1300</v>
      </c>
      <c r="S106" s="54" t="n">
        <v>0</v>
      </c>
      <c r="T106" s="54" t="n">
        <v>5</v>
      </c>
      <c r="U106" s="54" t="n">
        <v>0</v>
      </c>
      <c r="V106" s="54" t="n">
        <v>0</v>
      </c>
      <c r="W106" s="54" t="n">
        <v>0</v>
      </c>
      <c r="X106" s="54" t="n">
        <v>38</v>
      </c>
    </row>
    <row r="107">
      <c r="A107" s="54" t="inlineStr">
        <is>
          <t>Cotton</t>
        </is>
      </c>
      <c r="B107" s="54" t="n">
        <v>26.9</v>
      </c>
      <c r="C107" s="54" t="n">
        <v>19.1</v>
      </c>
      <c r="D107" s="54" t="n">
        <v>22</v>
      </c>
      <c r="E107" s="54" t="n">
        <v>69.27</v>
      </c>
      <c r="F107" s="54" t="n">
        <v>13.95</v>
      </c>
      <c r="G107" s="54" t="n">
        <v>6.19</v>
      </c>
      <c r="H107" s="54" t="n">
        <v>42.21</v>
      </c>
      <c r="I107" s="54" t="n">
        <v>51.01</v>
      </c>
      <c r="J107" s="54" t="n">
        <v>5.59</v>
      </c>
      <c r="K107" s="54" t="n">
        <v>4</v>
      </c>
      <c r="L107" s="54" t="n">
        <v>5</v>
      </c>
      <c r="M107" s="54" t="n">
        <v>0</v>
      </c>
      <c r="N107" s="54" t="n">
        <v>1</v>
      </c>
      <c r="O107" s="54" t="n">
        <v>4</v>
      </c>
      <c r="P107" s="54" t="n">
        <v>120</v>
      </c>
      <c r="Q107" s="54" t="n">
        <v>3.95339760195475</v>
      </c>
      <c r="R107" s="54" t="n">
        <v>1600</v>
      </c>
      <c r="S107" s="54" t="n">
        <v>0</v>
      </c>
      <c r="T107" s="54" t="n">
        <v>5</v>
      </c>
      <c r="U107" s="54" t="n">
        <v>0</v>
      </c>
      <c r="V107" s="54" t="n">
        <v>0</v>
      </c>
      <c r="W107" s="54" t="n">
        <v>0</v>
      </c>
      <c r="X107" s="54" t="n">
        <v>14</v>
      </c>
    </row>
    <row r="108">
      <c r="A108" s="54" t="inlineStr">
        <is>
          <t>Cucumber stem</t>
        </is>
      </c>
      <c r="B108" s="54" t="n">
        <v>16.13</v>
      </c>
      <c r="C108" s="54" t="n">
        <v>4.33</v>
      </c>
      <c r="D108" s="54" t="n">
        <v>4.51</v>
      </c>
      <c r="E108" s="54" t="n">
        <v>74.7828166810701</v>
      </c>
      <c r="F108" s="54" t="n">
        <v>6.35305071152325</v>
      </c>
      <c r="G108" s="54" t="n">
        <v>15.8378557285207</v>
      </c>
      <c r="H108" s="54" t="n">
        <v>47.3664558944195</v>
      </c>
      <c r="I108" s="54" t="n">
        <v>41.6990172190391</v>
      </c>
      <c r="J108" s="54" t="n">
        <v>5.88765023788926</v>
      </c>
      <c r="K108" s="54" t="n">
        <v>4</v>
      </c>
      <c r="L108" s="54" t="n">
        <v>2</v>
      </c>
      <c r="M108" s="54" t="n">
        <v>1</v>
      </c>
      <c r="N108" s="54" t="n">
        <v>1</v>
      </c>
      <c r="O108" s="54" t="n">
        <v>4</v>
      </c>
      <c r="P108" s="54" t="n">
        <v>420</v>
      </c>
      <c r="Q108" s="54" t="n">
        <v>5</v>
      </c>
      <c r="R108" s="54" t="n">
        <v>600</v>
      </c>
      <c r="S108" s="54" t="n">
        <v>1</v>
      </c>
      <c r="T108" s="54" t="n">
        <v>5</v>
      </c>
      <c r="U108" s="54" t="n">
        <v>120</v>
      </c>
      <c r="V108" s="54" t="n">
        <v>5</v>
      </c>
      <c r="W108" s="54" t="n">
        <v>1100</v>
      </c>
      <c r="X108" s="54" t="n">
        <v>312.63</v>
      </c>
    </row>
    <row r="109">
      <c r="A109" s="54" t="inlineStr">
        <is>
          <t>Cucumber stem</t>
        </is>
      </c>
      <c r="B109" s="54" t="n">
        <v>16.13</v>
      </c>
      <c r="C109" s="54" t="n">
        <v>4.33</v>
      </c>
      <c r="D109" s="54" t="n">
        <v>4.51</v>
      </c>
      <c r="E109" s="54" t="n">
        <v>74.7828166810701</v>
      </c>
      <c r="F109" s="54" t="n">
        <v>6.35305071152325</v>
      </c>
      <c r="G109" s="54" t="n">
        <v>15.8378557285207</v>
      </c>
      <c r="H109" s="54" t="n">
        <v>47.3664558944195</v>
      </c>
      <c r="I109" s="54" t="n">
        <v>41.6990172190391</v>
      </c>
      <c r="J109" s="54" t="n">
        <v>5.88765023788926</v>
      </c>
      <c r="K109" s="54" t="n">
        <v>4</v>
      </c>
      <c r="L109" s="54" t="n">
        <v>2</v>
      </c>
      <c r="M109" s="54" t="n">
        <v>1</v>
      </c>
      <c r="N109" s="54" t="n">
        <v>1</v>
      </c>
      <c r="O109" s="54" t="n">
        <v>4</v>
      </c>
      <c r="P109" s="54" t="n">
        <v>420</v>
      </c>
      <c r="Q109" s="54" t="n">
        <v>5</v>
      </c>
      <c r="R109" s="54" t="n">
        <v>600</v>
      </c>
      <c r="S109" s="54" t="n">
        <v>1</v>
      </c>
      <c r="T109" s="54" t="n">
        <v>5</v>
      </c>
      <c r="U109" s="54" t="n">
        <v>120</v>
      </c>
      <c r="V109" s="54" t="n">
        <v>5</v>
      </c>
      <c r="W109" s="54" t="n">
        <v>1000</v>
      </c>
      <c r="X109" s="54" t="n">
        <v>253.46</v>
      </c>
    </row>
    <row r="110">
      <c r="A110" s="54" t="inlineStr">
        <is>
          <t>Cucumber stem</t>
        </is>
      </c>
      <c r="B110" s="54" t="n">
        <v>16.13</v>
      </c>
      <c r="C110" s="54" t="n">
        <v>4.33</v>
      </c>
      <c r="D110" s="54" t="n">
        <v>4.51</v>
      </c>
      <c r="E110" s="54" t="n">
        <v>74.7828166810701</v>
      </c>
      <c r="F110" s="54" t="n">
        <v>6.35305071152325</v>
      </c>
      <c r="G110" s="54" t="n">
        <v>15.8378557285207</v>
      </c>
      <c r="H110" s="54" t="n">
        <v>47.3664558944195</v>
      </c>
      <c r="I110" s="54" t="n">
        <v>41.6990172190391</v>
      </c>
      <c r="J110" s="54" t="n">
        <v>5.88765023788926</v>
      </c>
      <c r="K110" s="54" t="n">
        <v>4</v>
      </c>
      <c r="L110" s="54" t="n">
        <v>2</v>
      </c>
      <c r="M110" s="54" t="n">
        <v>1</v>
      </c>
      <c r="N110" s="54" t="n">
        <v>1</v>
      </c>
      <c r="O110" s="54" t="n">
        <v>4</v>
      </c>
      <c r="P110" s="54" t="n">
        <v>420</v>
      </c>
      <c r="Q110" s="54" t="n">
        <v>5</v>
      </c>
      <c r="R110" s="54" t="n">
        <v>600</v>
      </c>
      <c r="S110" s="54" t="n">
        <v>1</v>
      </c>
      <c r="T110" s="54" t="n">
        <v>5</v>
      </c>
      <c r="U110" s="54" t="n">
        <v>120</v>
      </c>
      <c r="V110" s="54" t="n">
        <v>5</v>
      </c>
      <c r="W110" s="54" t="n">
        <v>900</v>
      </c>
      <c r="X110" s="54" t="n">
        <v>147.16</v>
      </c>
    </row>
    <row r="111">
      <c r="A111" s="54" t="inlineStr">
        <is>
          <t>Cucumber stem</t>
        </is>
      </c>
      <c r="B111" s="54" t="n">
        <v>16.13</v>
      </c>
      <c r="C111" s="54" t="n">
        <v>4.33</v>
      </c>
      <c r="D111" s="54" t="n">
        <v>4.51</v>
      </c>
      <c r="E111" s="54" t="n">
        <v>74.7828166810701</v>
      </c>
      <c r="F111" s="54" t="n">
        <v>6.35305071152325</v>
      </c>
      <c r="G111" s="54" t="n">
        <v>15.8378557285207</v>
      </c>
      <c r="H111" s="54" t="n">
        <v>47.3664558944195</v>
      </c>
      <c r="I111" s="54" t="n">
        <v>41.6990172190391</v>
      </c>
      <c r="J111" s="54" t="n">
        <v>5.88765023788926</v>
      </c>
      <c r="K111" s="54" t="n">
        <v>4</v>
      </c>
      <c r="L111" s="54" t="n">
        <v>2</v>
      </c>
      <c r="M111" s="54" t="n">
        <v>1</v>
      </c>
      <c r="N111" s="54" t="n">
        <v>1</v>
      </c>
      <c r="O111" s="54" t="n">
        <v>4</v>
      </c>
      <c r="P111" s="54" t="n">
        <v>420</v>
      </c>
      <c r="Q111" s="54" t="n">
        <v>5</v>
      </c>
      <c r="R111" s="54" t="n">
        <v>600</v>
      </c>
      <c r="S111" s="54" t="n">
        <v>1</v>
      </c>
      <c r="T111" s="54" t="n">
        <v>5</v>
      </c>
      <c r="U111" s="54" t="n">
        <v>120</v>
      </c>
      <c r="V111" s="54" t="n">
        <v>5</v>
      </c>
      <c r="W111" s="54" t="n">
        <v>800</v>
      </c>
      <c r="X111" s="54" t="n">
        <v>76.67</v>
      </c>
    </row>
    <row r="112">
      <c r="A112" s="54" t="inlineStr">
        <is>
          <t>Date palm pulp</t>
        </is>
      </c>
      <c r="B112" s="54" t="n">
        <v>24.9</v>
      </c>
      <c r="C112" s="54" t="n">
        <v>27.8</v>
      </c>
      <c r="D112" s="54" t="n">
        <v>22.6</v>
      </c>
      <c r="E112" s="54" t="n">
        <v>24.33</v>
      </c>
      <c r="F112" s="54" t="n">
        <v>3.02</v>
      </c>
      <c r="G112" s="54" t="n">
        <v>9.77</v>
      </c>
      <c r="H112" s="54" t="n">
        <v>94.09999999999999</v>
      </c>
      <c r="I112" s="54" t="n">
        <v>1.51</v>
      </c>
      <c r="J112" s="54" t="n">
        <v>0.25</v>
      </c>
      <c r="K112" s="54" t="n">
        <v>6</v>
      </c>
      <c r="L112" s="54" t="n">
        <v>5</v>
      </c>
      <c r="M112" s="54" t="n">
        <v>0</v>
      </c>
      <c r="N112" s="54" t="n">
        <v>1</v>
      </c>
      <c r="O112" s="54" t="n">
        <v>4</v>
      </c>
      <c r="P112" s="54" t="n">
        <v>60</v>
      </c>
      <c r="Q112" s="54" t="n">
        <v>5</v>
      </c>
      <c r="R112" s="54" t="n">
        <v>800</v>
      </c>
      <c r="S112" s="54" t="n">
        <v>0</v>
      </c>
      <c r="T112" s="54" t="n">
        <v>5</v>
      </c>
      <c r="U112" s="54" t="n">
        <v>0</v>
      </c>
      <c r="V112" s="54" t="n">
        <v>0</v>
      </c>
      <c r="W112" s="54" t="n">
        <v>0</v>
      </c>
      <c r="X112" s="54" t="n">
        <v>225.6</v>
      </c>
    </row>
    <row r="113">
      <c r="A113" s="54" t="inlineStr">
        <is>
          <t>Date palm pulp</t>
        </is>
      </c>
      <c r="B113" s="54" t="n">
        <v>24.9</v>
      </c>
      <c r="C113" s="54" t="n">
        <v>27.8</v>
      </c>
      <c r="D113" s="54" t="n">
        <v>22.6</v>
      </c>
      <c r="E113" s="54" t="n">
        <v>24.33</v>
      </c>
      <c r="F113" s="54" t="n">
        <v>3.02</v>
      </c>
      <c r="G113" s="54" t="n">
        <v>9.77</v>
      </c>
      <c r="H113" s="54" t="n">
        <v>94.09999999999999</v>
      </c>
      <c r="I113" s="54" t="n">
        <v>1.51</v>
      </c>
      <c r="J113" s="54" t="n">
        <v>0.25</v>
      </c>
      <c r="K113" s="54" t="n">
        <v>6</v>
      </c>
      <c r="L113" s="54" t="n">
        <v>5</v>
      </c>
      <c r="M113" s="54" t="n">
        <v>0</v>
      </c>
      <c r="N113" s="54" t="n">
        <v>1</v>
      </c>
      <c r="O113" s="54" t="n">
        <v>4</v>
      </c>
      <c r="P113" s="54" t="n">
        <v>60</v>
      </c>
      <c r="Q113" s="54" t="n">
        <v>5</v>
      </c>
      <c r="R113" s="54" t="n">
        <v>1000</v>
      </c>
      <c r="S113" s="54" t="n">
        <v>0</v>
      </c>
      <c r="T113" s="54" t="n">
        <v>5</v>
      </c>
      <c r="U113" s="54" t="n">
        <v>0</v>
      </c>
      <c r="V113" s="54" t="n">
        <v>0</v>
      </c>
      <c r="W113" s="54" t="n">
        <v>0</v>
      </c>
      <c r="X113" s="54" t="n">
        <v>103</v>
      </c>
    </row>
    <row r="114">
      <c r="A114" s="54" t="inlineStr">
        <is>
          <t>Date palm pulp</t>
        </is>
      </c>
      <c r="B114" s="54" t="n">
        <v>24.9</v>
      </c>
      <c r="C114" s="54" t="n">
        <v>27.8</v>
      </c>
      <c r="D114" s="54" t="n">
        <v>22.6</v>
      </c>
      <c r="E114" s="54" t="n">
        <v>24.33</v>
      </c>
      <c r="F114" s="54" t="n">
        <v>3.02</v>
      </c>
      <c r="G114" s="54" t="n">
        <v>9.77</v>
      </c>
      <c r="H114" s="54" t="n">
        <v>94.09999999999999</v>
      </c>
      <c r="I114" s="54" t="n">
        <v>1.51</v>
      </c>
      <c r="J114" s="54" t="n">
        <v>0.25</v>
      </c>
      <c r="K114" s="54" t="n">
        <v>6</v>
      </c>
      <c r="L114" s="54" t="n">
        <v>5</v>
      </c>
      <c r="M114" s="54" t="n">
        <v>0</v>
      </c>
      <c r="N114" s="54" t="n">
        <v>1</v>
      </c>
      <c r="O114" s="54" t="n">
        <v>4</v>
      </c>
      <c r="P114" s="54" t="n">
        <v>60</v>
      </c>
      <c r="Q114" s="54" t="n">
        <v>5</v>
      </c>
      <c r="R114" s="54" t="n">
        <v>1200</v>
      </c>
      <c r="S114" s="54" t="n">
        <v>0</v>
      </c>
      <c r="T114" s="54" t="n">
        <v>5</v>
      </c>
      <c r="U114" s="54" t="n">
        <v>0</v>
      </c>
      <c r="V114" s="54" t="n">
        <v>0</v>
      </c>
      <c r="W114" s="54" t="n">
        <v>0</v>
      </c>
      <c r="X114" s="54" t="n">
        <v>66.5</v>
      </c>
    </row>
    <row r="115">
      <c r="A115" s="54" t="inlineStr">
        <is>
          <t>Date palm pulp</t>
        </is>
      </c>
      <c r="B115" s="54" t="n">
        <v>24.9</v>
      </c>
      <c r="C115" s="54" t="n">
        <v>27.8</v>
      </c>
      <c r="D115" s="54" t="n">
        <v>22.6</v>
      </c>
      <c r="E115" s="54" t="n">
        <v>24.33</v>
      </c>
      <c r="F115" s="54" t="n">
        <v>3.02</v>
      </c>
      <c r="G115" s="54" t="n">
        <v>9.77</v>
      </c>
      <c r="H115" s="54" t="n">
        <v>94.09999999999999</v>
      </c>
      <c r="I115" s="54" t="n">
        <v>1.51</v>
      </c>
      <c r="J115" s="54" t="n">
        <v>0.25</v>
      </c>
      <c r="K115" s="54" t="n">
        <v>6</v>
      </c>
      <c r="L115" s="54" t="n">
        <v>5</v>
      </c>
      <c r="M115" s="54" t="n">
        <v>0</v>
      </c>
      <c r="N115" s="54" t="n">
        <v>1</v>
      </c>
      <c r="O115" s="54" t="n">
        <v>4</v>
      </c>
      <c r="P115" s="54" t="n">
        <v>60</v>
      </c>
      <c r="Q115" s="54" t="n">
        <v>5</v>
      </c>
      <c r="R115" s="54" t="n">
        <v>1300</v>
      </c>
      <c r="S115" s="54" t="n">
        <v>0</v>
      </c>
      <c r="T115" s="54" t="n">
        <v>5</v>
      </c>
      <c r="U115" s="54" t="n">
        <v>0</v>
      </c>
      <c r="V115" s="54" t="n">
        <v>0</v>
      </c>
      <c r="W115" s="54" t="n">
        <v>0</v>
      </c>
      <c r="X115" s="54" t="n">
        <v>38.6</v>
      </c>
    </row>
    <row r="116">
      <c r="A116" s="54" t="inlineStr">
        <is>
          <t>Date palm pulp</t>
        </is>
      </c>
      <c r="B116" s="54" t="n">
        <v>24.9</v>
      </c>
      <c r="C116" s="54" t="n">
        <v>27.8</v>
      </c>
      <c r="D116" s="54" t="n">
        <v>22.6</v>
      </c>
      <c r="E116" s="54" t="n">
        <v>24.33</v>
      </c>
      <c r="F116" s="54" t="n">
        <v>3.02</v>
      </c>
      <c r="G116" s="54" t="n">
        <v>9.77</v>
      </c>
      <c r="H116" s="54" t="n">
        <v>94.09999999999999</v>
      </c>
      <c r="I116" s="54" t="n">
        <v>1.51</v>
      </c>
      <c r="J116" s="54" t="n">
        <v>0.25</v>
      </c>
      <c r="K116" s="54" t="n">
        <v>6</v>
      </c>
      <c r="L116" s="54" t="n">
        <v>5</v>
      </c>
      <c r="M116" s="54" t="n">
        <v>0</v>
      </c>
      <c r="N116" s="54" t="n">
        <v>1</v>
      </c>
      <c r="O116" s="54" t="n">
        <v>4</v>
      </c>
      <c r="P116" s="54" t="n">
        <v>60</v>
      </c>
      <c r="Q116" s="54" t="n">
        <v>5</v>
      </c>
      <c r="R116" s="54" t="n">
        <v>1400</v>
      </c>
      <c r="S116" s="54" t="n">
        <v>0</v>
      </c>
      <c r="T116" s="54" t="n">
        <v>5</v>
      </c>
      <c r="U116" s="54" t="n">
        <v>0</v>
      </c>
      <c r="V116" s="54" t="n">
        <v>0</v>
      </c>
      <c r="W116" s="54" t="n">
        <v>0</v>
      </c>
      <c r="X116" s="54" t="n">
        <v>33.3</v>
      </c>
    </row>
    <row r="117">
      <c r="A117" s="54" t="inlineStr">
        <is>
          <t>Date palm seed</t>
        </is>
      </c>
      <c r="B117" s="54" t="n">
        <v>23.9</v>
      </c>
      <c r="C117" s="54" t="n">
        <v>26.8</v>
      </c>
      <c r="D117" s="54" t="n">
        <v>21.6</v>
      </c>
      <c r="E117" s="54" t="n">
        <v>75.09999999999999</v>
      </c>
      <c r="F117" s="54" t="n">
        <v>9.800000000000001</v>
      </c>
      <c r="G117" s="54" t="n">
        <v>8.1</v>
      </c>
      <c r="H117" s="54" t="n">
        <v>44.1</v>
      </c>
      <c r="I117" s="54" t="n">
        <v>48.3</v>
      </c>
      <c r="J117" s="54" t="n">
        <v>6.1</v>
      </c>
      <c r="K117" s="54" t="n">
        <v>6</v>
      </c>
      <c r="L117" s="54" t="n">
        <v>5</v>
      </c>
      <c r="M117" s="54" t="n">
        <v>0</v>
      </c>
      <c r="N117" s="54" t="n">
        <v>1</v>
      </c>
      <c r="O117" s="54" t="n">
        <v>4</v>
      </c>
      <c r="P117" s="54" t="n">
        <v>60</v>
      </c>
      <c r="Q117" s="54" t="n">
        <v>5</v>
      </c>
      <c r="R117" s="54" t="n">
        <v>800</v>
      </c>
      <c r="S117" s="54" t="n">
        <v>0</v>
      </c>
      <c r="T117" s="54" t="n">
        <v>5</v>
      </c>
      <c r="U117" s="54" t="n">
        <v>0</v>
      </c>
      <c r="V117" s="54" t="n">
        <v>0</v>
      </c>
      <c r="W117" s="54" t="n">
        <v>0</v>
      </c>
      <c r="X117" s="54" t="n">
        <v>115.6</v>
      </c>
    </row>
    <row r="118">
      <c r="A118" s="54" t="inlineStr">
        <is>
          <t>Date palm seed</t>
        </is>
      </c>
      <c r="B118" s="54" t="n">
        <v>23.9</v>
      </c>
      <c r="C118" s="54" t="n">
        <v>26.8</v>
      </c>
      <c r="D118" s="54" t="n">
        <v>21.6</v>
      </c>
      <c r="E118" s="54" t="n">
        <v>75.09999999999999</v>
      </c>
      <c r="F118" s="54" t="n">
        <v>9.800000000000001</v>
      </c>
      <c r="G118" s="54" t="n">
        <v>8.1</v>
      </c>
      <c r="H118" s="54" t="n">
        <v>44.1</v>
      </c>
      <c r="I118" s="54" t="n">
        <v>48.3</v>
      </c>
      <c r="J118" s="54" t="n">
        <v>6.1</v>
      </c>
      <c r="K118" s="54" t="n">
        <v>6</v>
      </c>
      <c r="L118" s="54" t="n">
        <v>5</v>
      </c>
      <c r="M118" s="54" t="n">
        <v>0</v>
      </c>
      <c r="N118" s="54" t="n">
        <v>1</v>
      </c>
      <c r="O118" s="54" t="n">
        <v>4</v>
      </c>
      <c r="P118" s="54" t="n">
        <v>60</v>
      </c>
      <c r="Q118" s="54" t="n">
        <v>5</v>
      </c>
      <c r="R118" s="54" t="n">
        <v>1200</v>
      </c>
      <c r="S118" s="54" t="n">
        <v>0</v>
      </c>
      <c r="T118" s="54" t="n">
        <v>5</v>
      </c>
      <c r="U118" s="54" t="n">
        <v>0</v>
      </c>
      <c r="V118" s="54" t="n">
        <v>0</v>
      </c>
      <c r="W118" s="54" t="n">
        <v>0</v>
      </c>
      <c r="X118" s="54" t="n">
        <v>35.1</v>
      </c>
    </row>
    <row r="119">
      <c r="A119" s="54" t="inlineStr">
        <is>
          <t>Date palm seed</t>
        </is>
      </c>
      <c r="B119" s="54" t="n">
        <v>23.9</v>
      </c>
      <c r="C119" s="54" t="n">
        <v>26.8</v>
      </c>
      <c r="D119" s="54" t="n">
        <v>21.6</v>
      </c>
      <c r="E119" s="54" t="n">
        <v>75.09999999999999</v>
      </c>
      <c r="F119" s="54" t="n">
        <v>9.800000000000001</v>
      </c>
      <c r="G119" s="54" t="n">
        <v>8.1</v>
      </c>
      <c r="H119" s="54" t="n">
        <v>44.1</v>
      </c>
      <c r="I119" s="54" t="n">
        <v>48.3</v>
      </c>
      <c r="J119" s="54" t="n">
        <v>6.1</v>
      </c>
      <c r="K119" s="54" t="n">
        <v>6</v>
      </c>
      <c r="L119" s="54" t="n">
        <v>5</v>
      </c>
      <c r="M119" s="54" t="n">
        <v>0</v>
      </c>
      <c r="N119" s="54" t="n">
        <v>1</v>
      </c>
      <c r="O119" s="54" t="n">
        <v>4</v>
      </c>
      <c r="P119" s="54" t="n">
        <v>60</v>
      </c>
      <c r="Q119" s="54" t="n">
        <v>5</v>
      </c>
      <c r="R119" s="54" t="n">
        <v>1400</v>
      </c>
      <c r="S119" s="54" t="n">
        <v>0</v>
      </c>
      <c r="T119" s="54" t="n">
        <v>5</v>
      </c>
      <c r="U119" s="54" t="n">
        <v>0</v>
      </c>
      <c r="V119" s="54" t="n">
        <v>0</v>
      </c>
      <c r="W119" s="54" t="n">
        <v>0</v>
      </c>
      <c r="X119" s="54" t="n">
        <v>34.7</v>
      </c>
    </row>
    <row r="120">
      <c r="A120" s="54" t="inlineStr">
        <is>
          <t>Date palm seed</t>
        </is>
      </c>
      <c r="B120" s="54" t="n">
        <v>23.9</v>
      </c>
      <c r="C120" s="54" t="n">
        <v>26.8</v>
      </c>
      <c r="D120" s="54" t="n">
        <v>21.6</v>
      </c>
      <c r="E120" s="54" t="n">
        <v>75.09999999999999</v>
      </c>
      <c r="F120" s="54" t="n">
        <v>9.800000000000001</v>
      </c>
      <c r="G120" s="54" t="n">
        <v>8.1</v>
      </c>
      <c r="H120" s="54" t="n">
        <v>44.1</v>
      </c>
      <c r="I120" s="54" t="n">
        <v>48.3</v>
      </c>
      <c r="J120" s="54" t="n">
        <v>6.1</v>
      </c>
      <c r="K120" s="54" t="n">
        <v>6</v>
      </c>
      <c r="L120" s="54" t="n">
        <v>5</v>
      </c>
      <c r="M120" s="54" t="n">
        <v>0</v>
      </c>
      <c r="N120" s="54" t="n">
        <v>1</v>
      </c>
      <c r="O120" s="54" t="n">
        <v>4</v>
      </c>
      <c r="P120" s="54" t="n">
        <v>60</v>
      </c>
      <c r="Q120" s="54" t="n">
        <v>5</v>
      </c>
      <c r="R120" s="54" t="n">
        <v>1300</v>
      </c>
      <c r="S120" s="54" t="n">
        <v>0</v>
      </c>
      <c r="T120" s="54" t="n">
        <v>5</v>
      </c>
      <c r="U120" s="54" t="n">
        <v>0</v>
      </c>
      <c r="V120" s="54" t="n">
        <v>0</v>
      </c>
      <c r="W120" s="54" t="n">
        <v>0</v>
      </c>
      <c r="X120" s="54" t="n">
        <v>26.7</v>
      </c>
    </row>
    <row r="121">
      <c r="A121" s="54" t="inlineStr">
        <is>
          <t>Date palm seed</t>
        </is>
      </c>
      <c r="B121" s="54" t="n">
        <v>23.9</v>
      </c>
      <c r="C121" s="54" t="n">
        <v>26.8</v>
      </c>
      <c r="D121" s="54" t="n">
        <v>21.6</v>
      </c>
      <c r="E121" s="54" t="n">
        <v>75.09999999999999</v>
      </c>
      <c r="F121" s="54" t="n">
        <v>9.800000000000001</v>
      </c>
      <c r="G121" s="54" t="n">
        <v>8.1</v>
      </c>
      <c r="H121" s="54" t="n">
        <v>44.1</v>
      </c>
      <c r="I121" s="54" t="n">
        <v>48.3</v>
      </c>
      <c r="J121" s="54" t="n">
        <v>6.1</v>
      </c>
      <c r="K121" s="54" t="n">
        <v>6</v>
      </c>
      <c r="L121" s="54" t="n">
        <v>5</v>
      </c>
      <c r="M121" s="54" t="n">
        <v>0</v>
      </c>
      <c r="N121" s="54" t="n">
        <v>1</v>
      </c>
      <c r="O121" s="54" t="n">
        <v>4</v>
      </c>
      <c r="P121" s="54" t="n">
        <v>60</v>
      </c>
      <c r="Q121" s="54" t="n">
        <v>5</v>
      </c>
      <c r="R121" s="54" t="n">
        <v>1000</v>
      </c>
      <c r="S121" s="54" t="n">
        <v>0</v>
      </c>
      <c r="T121" s="54" t="n">
        <v>5</v>
      </c>
      <c r="U121" s="54" t="n">
        <v>0</v>
      </c>
      <c r="V121" s="54" t="n">
        <v>0</v>
      </c>
      <c r="W121" s="54" t="n">
        <v>0</v>
      </c>
      <c r="X121" s="54" t="n">
        <v>15.6</v>
      </c>
    </row>
    <row r="122">
      <c r="A122" s="54" t="inlineStr">
        <is>
          <t>Eucalyptus wood</t>
        </is>
      </c>
      <c r="B122" s="54" t="n">
        <v>57.3</v>
      </c>
      <c r="C122" s="54" t="n">
        <v>16.8</v>
      </c>
      <c r="D122" s="54" t="n">
        <v>25.9</v>
      </c>
      <c r="E122" s="54" t="n">
        <v>74.62</v>
      </c>
      <c r="F122" s="54" t="n">
        <v>5.55</v>
      </c>
      <c r="G122" s="54" t="n">
        <v>19.83</v>
      </c>
      <c r="H122" s="54" t="n">
        <v>42.55</v>
      </c>
      <c r="I122" s="54" t="n">
        <v>46.76</v>
      </c>
      <c r="J122" s="54" t="n">
        <v>6.01</v>
      </c>
      <c r="K122" s="54" t="n">
        <v>1</v>
      </c>
      <c r="L122" s="54" t="n">
        <v>5</v>
      </c>
      <c r="M122" s="54" t="n">
        <v>0</v>
      </c>
      <c r="N122" s="54" t="n">
        <v>1</v>
      </c>
      <c r="O122" s="54" t="n">
        <v>4</v>
      </c>
      <c r="P122" s="54" t="n">
        <v>120</v>
      </c>
      <c r="Q122" s="54" t="n">
        <v>5</v>
      </c>
      <c r="R122" s="54" t="n">
        <v>700</v>
      </c>
      <c r="S122" s="54" t="n">
        <v>0</v>
      </c>
      <c r="T122" s="54" t="n">
        <v>5</v>
      </c>
      <c r="U122" s="54" t="n">
        <v>0</v>
      </c>
      <c r="V122" s="54" t="n">
        <v>0</v>
      </c>
      <c r="W122" s="54" t="n">
        <v>0</v>
      </c>
      <c r="X122" s="54" t="n">
        <v>352.06</v>
      </c>
    </row>
    <row r="123">
      <c r="A123" s="54" t="inlineStr">
        <is>
          <t>Eucalyptus wood</t>
        </is>
      </c>
      <c r="B123" s="54" t="n">
        <v>57.3</v>
      </c>
      <c r="C123" s="54" t="n">
        <v>16.8</v>
      </c>
      <c r="D123" s="54" t="n">
        <v>25.9</v>
      </c>
      <c r="E123" s="54" t="n">
        <v>74.62</v>
      </c>
      <c r="F123" s="54" t="n">
        <v>5.55</v>
      </c>
      <c r="G123" s="54" t="n">
        <v>19.83</v>
      </c>
      <c r="H123" s="54" t="n">
        <v>42.55</v>
      </c>
      <c r="I123" s="54" t="n">
        <v>46.76</v>
      </c>
      <c r="J123" s="54" t="n">
        <v>6.01</v>
      </c>
      <c r="K123" s="54" t="n">
        <v>1</v>
      </c>
      <c r="L123" s="54" t="n">
        <v>5</v>
      </c>
      <c r="M123" s="54" t="n">
        <v>0</v>
      </c>
      <c r="N123" s="54" t="n">
        <v>1</v>
      </c>
      <c r="O123" s="54" t="n">
        <v>4</v>
      </c>
      <c r="P123" s="54" t="n">
        <v>120</v>
      </c>
      <c r="Q123" s="54" t="n">
        <v>5</v>
      </c>
      <c r="R123" s="54" t="n">
        <v>900</v>
      </c>
      <c r="S123" s="54" t="n">
        <v>0</v>
      </c>
      <c r="T123" s="54" t="n">
        <v>5</v>
      </c>
      <c r="U123" s="54" t="n">
        <v>0</v>
      </c>
      <c r="V123" s="54" t="n">
        <v>0</v>
      </c>
      <c r="W123" s="54" t="n">
        <v>0</v>
      </c>
      <c r="X123" s="54" t="n">
        <v>131.8</v>
      </c>
    </row>
    <row r="124">
      <c r="A124" s="54" t="inlineStr">
        <is>
          <t>Eucalyptus wood</t>
        </is>
      </c>
      <c r="B124" s="54" t="n">
        <v>57.3</v>
      </c>
      <c r="C124" s="54" t="n">
        <v>16.8</v>
      </c>
      <c r="D124" s="54" t="n">
        <v>25.9</v>
      </c>
      <c r="E124" s="54" t="n">
        <v>74.62</v>
      </c>
      <c r="F124" s="54" t="n">
        <v>5.55</v>
      </c>
      <c r="G124" s="54" t="n">
        <v>19.83</v>
      </c>
      <c r="H124" s="54" t="n">
        <v>42.55</v>
      </c>
      <c r="I124" s="54" t="n">
        <v>46.76</v>
      </c>
      <c r="J124" s="54" t="n">
        <v>6.01</v>
      </c>
      <c r="K124" s="54" t="n">
        <v>1</v>
      </c>
      <c r="L124" s="54" t="n">
        <v>5</v>
      </c>
      <c r="M124" s="54" t="n">
        <v>0</v>
      </c>
      <c r="N124" s="54" t="n">
        <v>1</v>
      </c>
      <c r="O124" s="54" t="n">
        <v>4</v>
      </c>
      <c r="P124" s="54" t="n">
        <v>120</v>
      </c>
      <c r="Q124" s="54" t="n">
        <v>5</v>
      </c>
      <c r="R124" s="54" t="n">
        <v>1100</v>
      </c>
      <c r="S124" s="54" t="n">
        <v>0</v>
      </c>
      <c r="T124" s="54" t="n">
        <v>5</v>
      </c>
      <c r="U124" s="54" t="n">
        <v>0</v>
      </c>
      <c r="V124" s="54" t="n">
        <v>0</v>
      </c>
      <c r="W124" s="54" t="n">
        <v>0</v>
      </c>
      <c r="X124" s="54" t="n">
        <v>18.74</v>
      </c>
    </row>
    <row r="125">
      <c r="A125" s="54" t="inlineStr">
        <is>
          <t>Eucalyptus wood</t>
        </is>
      </c>
      <c r="B125" s="54" t="n">
        <v>57.3</v>
      </c>
      <c r="C125" s="54" t="n">
        <v>16.8</v>
      </c>
      <c r="D125" s="54" t="n">
        <v>25.9</v>
      </c>
      <c r="E125" s="54" t="n">
        <v>74.62</v>
      </c>
      <c r="F125" s="54" t="n">
        <v>5.55</v>
      </c>
      <c r="G125" s="54" t="n">
        <v>19.83</v>
      </c>
      <c r="H125" s="54" t="n">
        <v>42.55</v>
      </c>
      <c r="I125" s="54" t="n">
        <v>46.76</v>
      </c>
      <c r="J125" s="54" t="n">
        <v>6.01</v>
      </c>
      <c r="K125" s="54" t="n">
        <v>1</v>
      </c>
      <c r="L125" s="54" t="n">
        <v>5</v>
      </c>
      <c r="M125" s="54" t="n">
        <v>0</v>
      </c>
      <c r="N125" s="54" t="n">
        <v>1</v>
      </c>
      <c r="O125" s="54" t="n">
        <v>4</v>
      </c>
      <c r="P125" s="54" t="n">
        <v>120</v>
      </c>
      <c r="Q125" s="54" t="n">
        <v>5</v>
      </c>
      <c r="R125" s="54" t="n">
        <v>1400</v>
      </c>
      <c r="S125" s="54" t="n">
        <v>0</v>
      </c>
      <c r="T125" s="54" t="n">
        <v>5</v>
      </c>
      <c r="U125" s="54" t="n">
        <v>0</v>
      </c>
      <c r="V125" s="54" t="n">
        <v>0</v>
      </c>
      <c r="W125" s="54" t="n">
        <v>0</v>
      </c>
      <c r="X125" s="54" t="n">
        <v>6.64</v>
      </c>
    </row>
    <row r="126">
      <c r="A126" s="54" t="inlineStr">
        <is>
          <t>Fir wood</t>
        </is>
      </c>
      <c r="B126" s="54" t="n">
        <v>45.81</v>
      </c>
      <c r="C126" s="54" t="n">
        <v>26.78</v>
      </c>
      <c r="D126" s="54" t="n">
        <v>28.24</v>
      </c>
      <c r="E126" s="54" t="n">
        <v>85.5</v>
      </c>
      <c r="F126" s="54" t="n">
        <v>0.3</v>
      </c>
      <c r="G126" s="54" t="n">
        <v>10.5</v>
      </c>
      <c r="H126" s="54" t="n">
        <v>47.2</v>
      </c>
      <c r="I126" s="54" t="n">
        <v>44.8</v>
      </c>
      <c r="J126" s="54" t="n">
        <v>6.1</v>
      </c>
      <c r="K126" s="54" t="n">
        <v>4</v>
      </c>
      <c r="L126" s="54" t="n">
        <v>5</v>
      </c>
      <c r="M126" s="54" t="n">
        <v>0</v>
      </c>
      <c r="N126" s="54" t="n">
        <v>1</v>
      </c>
      <c r="O126" s="54" t="n">
        <v>4</v>
      </c>
      <c r="P126" s="54" t="n">
        <v>480</v>
      </c>
      <c r="Q126" s="54" t="n">
        <v>10</v>
      </c>
      <c r="R126" s="54" t="n">
        <v>1100</v>
      </c>
      <c r="S126" s="54" t="n">
        <v>0</v>
      </c>
      <c r="T126" s="54" t="n">
        <v>5</v>
      </c>
      <c r="U126" s="54" t="n">
        <v>0</v>
      </c>
      <c r="V126" s="54" t="n">
        <v>0</v>
      </c>
      <c r="W126" s="54" t="n">
        <v>0</v>
      </c>
      <c r="X126" s="54" t="n">
        <v>42.9</v>
      </c>
    </row>
    <row r="127">
      <c r="A127" s="54" t="inlineStr">
        <is>
          <t>Fir wood</t>
        </is>
      </c>
      <c r="B127" s="54" t="n">
        <v>45.81</v>
      </c>
      <c r="C127" s="54" t="n">
        <v>26.78</v>
      </c>
      <c r="D127" s="54" t="n">
        <v>28.24</v>
      </c>
      <c r="E127" s="54" t="n">
        <v>85.5</v>
      </c>
      <c r="F127" s="54" t="n">
        <v>0.3</v>
      </c>
      <c r="G127" s="54" t="n">
        <v>10.5</v>
      </c>
      <c r="H127" s="54" t="n">
        <v>47.2</v>
      </c>
      <c r="I127" s="54" t="n">
        <v>44.8</v>
      </c>
      <c r="J127" s="54" t="n">
        <v>6.1</v>
      </c>
      <c r="K127" s="54" t="n">
        <v>1</v>
      </c>
      <c r="L127" s="54" t="n">
        <v>5</v>
      </c>
      <c r="M127" s="54" t="n">
        <v>1</v>
      </c>
      <c r="N127" s="54" t="n">
        <v>1</v>
      </c>
      <c r="O127" s="54" t="n">
        <v>4</v>
      </c>
      <c r="P127" s="54" t="n">
        <v>60</v>
      </c>
      <c r="Q127" s="54" t="n">
        <v>10</v>
      </c>
      <c r="R127" s="54" t="n">
        <v>800</v>
      </c>
      <c r="S127" s="54" t="n">
        <v>0</v>
      </c>
      <c r="T127" s="54" t="n">
        <v>5</v>
      </c>
      <c r="U127" s="54" t="n">
        <v>300</v>
      </c>
      <c r="V127" s="54" t="n">
        <v>6.25</v>
      </c>
      <c r="W127" s="54" t="n">
        <v>812.5</v>
      </c>
      <c r="X127" s="54" t="n">
        <v>35.5</v>
      </c>
    </row>
    <row r="128">
      <c r="A128" s="54" t="inlineStr">
        <is>
          <t>Fir wood</t>
        </is>
      </c>
      <c r="B128" s="54" t="n">
        <v>45.81</v>
      </c>
      <c r="C128" s="54" t="n">
        <v>26.78</v>
      </c>
      <c r="D128" s="54" t="n">
        <v>28.24</v>
      </c>
      <c r="E128" s="54" t="n">
        <v>85.5</v>
      </c>
      <c r="F128" s="54" t="n">
        <v>0.3</v>
      </c>
      <c r="G128" s="54" t="n">
        <v>10.5</v>
      </c>
      <c r="H128" s="54" t="n">
        <v>47.2</v>
      </c>
      <c r="I128" s="54" t="n">
        <v>44.8</v>
      </c>
      <c r="J128" s="54" t="n">
        <v>6.1</v>
      </c>
      <c r="K128" s="54" t="n">
        <v>4</v>
      </c>
      <c r="L128" s="54" t="n">
        <v>5</v>
      </c>
      <c r="M128" s="54" t="n">
        <v>0</v>
      </c>
      <c r="N128" s="54" t="n">
        <v>1</v>
      </c>
      <c r="O128" s="54" t="n">
        <v>4</v>
      </c>
      <c r="P128" s="54" t="n">
        <v>480</v>
      </c>
      <c r="Q128" s="54" t="n">
        <v>10</v>
      </c>
      <c r="R128" s="54" t="n">
        <v>1300</v>
      </c>
      <c r="S128" s="54" t="n">
        <v>0</v>
      </c>
      <c r="T128" s="54" t="n">
        <v>5</v>
      </c>
      <c r="U128" s="54" t="n">
        <v>0</v>
      </c>
      <c r="V128" s="54" t="n">
        <v>0</v>
      </c>
      <c r="W128" s="54" t="n">
        <v>0</v>
      </c>
      <c r="X128" s="54" t="n">
        <v>23.7</v>
      </c>
    </row>
    <row r="129">
      <c r="A129" s="54" t="inlineStr">
        <is>
          <t>Fir wood</t>
        </is>
      </c>
      <c r="B129" s="54" t="n">
        <v>45.81</v>
      </c>
      <c r="C129" s="54" t="n">
        <v>26.78</v>
      </c>
      <c r="D129" s="54" t="n">
        <v>28.24</v>
      </c>
      <c r="E129" s="54" t="n">
        <v>85.5</v>
      </c>
      <c r="F129" s="54" t="n">
        <v>0.3</v>
      </c>
      <c r="G129" s="54" t="n">
        <v>10.5</v>
      </c>
      <c r="H129" s="54" t="n">
        <v>47.2</v>
      </c>
      <c r="I129" s="54" t="n">
        <v>44.8</v>
      </c>
      <c r="J129" s="54" t="n">
        <v>6.1</v>
      </c>
      <c r="K129" s="54" t="n">
        <v>4</v>
      </c>
      <c r="L129" s="54" t="n">
        <v>5</v>
      </c>
      <c r="M129" s="54" t="n">
        <v>0</v>
      </c>
      <c r="N129" s="54" t="n">
        <v>1</v>
      </c>
      <c r="O129" s="54" t="n">
        <v>4</v>
      </c>
      <c r="P129" s="54" t="n">
        <v>480</v>
      </c>
      <c r="Q129" s="54" t="n">
        <v>10</v>
      </c>
      <c r="R129" s="54" t="n">
        <v>1500</v>
      </c>
      <c r="S129" s="54" t="n">
        <v>0</v>
      </c>
      <c r="T129" s="54" t="n">
        <v>5</v>
      </c>
      <c r="U129" s="54" t="n">
        <v>0</v>
      </c>
      <c r="V129" s="54" t="n">
        <v>0</v>
      </c>
      <c r="W129" s="54" t="n">
        <v>0</v>
      </c>
      <c r="X129" s="54" t="n">
        <v>20.4</v>
      </c>
    </row>
    <row r="130">
      <c r="A130" s="54" t="inlineStr">
        <is>
          <t>Fir wood</t>
        </is>
      </c>
      <c r="B130" s="54" t="n">
        <v>45.81</v>
      </c>
      <c r="C130" s="54" t="n">
        <v>26.78</v>
      </c>
      <c r="D130" s="54" t="n">
        <v>28.24</v>
      </c>
      <c r="E130" s="54" t="n">
        <v>85.5</v>
      </c>
      <c r="F130" s="54" t="n">
        <v>0.3</v>
      </c>
      <c r="G130" s="54" t="n">
        <v>10.5</v>
      </c>
      <c r="H130" s="54" t="n">
        <v>47.2</v>
      </c>
      <c r="I130" s="54" t="n">
        <v>44.8</v>
      </c>
      <c r="J130" s="54" t="n">
        <v>6.1</v>
      </c>
      <c r="K130" s="54" t="n">
        <v>1</v>
      </c>
      <c r="L130" s="54" t="n">
        <v>5</v>
      </c>
      <c r="M130" s="54" t="n">
        <v>1</v>
      </c>
      <c r="N130" s="54" t="n">
        <v>1</v>
      </c>
      <c r="O130" s="54" t="n">
        <v>4</v>
      </c>
      <c r="P130" s="54" t="n">
        <v>60</v>
      </c>
      <c r="Q130" s="54" t="n">
        <v>10</v>
      </c>
      <c r="R130" s="54" t="n">
        <v>800</v>
      </c>
      <c r="S130" s="54" t="n">
        <v>1</v>
      </c>
      <c r="T130" s="54" t="n">
        <v>5</v>
      </c>
      <c r="U130" s="54" t="n">
        <v>480</v>
      </c>
      <c r="V130" s="54" t="n">
        <v>10</v>
      </c>
      <c r="W130" s="54" t="n">
        <v>1300</v>
      </c>
      <c r="X130" s="54" t="n">
        <v>10.4</v>
      </c>
    </row>
    <row r="131">
      <c r="A131" s="54" t="inlineStr">
        <is>
          <t>Ginkgo leave</t>
        </is>
      </c>
      <c r="B131" s="54" t="n">
        <v>44.9614795612291</v>
      </c>
      <c r="C131" s="54" t="n">
        <v>14.5156561431397</v>
      </c>
      <c r="D131" s="54" t="n">
        <v>35.2184623877525</v>
      </c>
      <c r="E131" s="54" t="n">
        <v>68.59999999999999</v>
      </c>
      <c r="F131" s="54" t="n">
        <v>7.8</v>
      </c>
      <c r="G131" s="54" t="n">
        <v>23.5</v>
      </c>
      <c r="H131" s="54" t="n">
        <v>45.8</v>
      </c>
      <c r="I131" s="54" t="n">
        <v>46.3</v>
      </c>
      <c r="J131" s="54" t="n">
        <v>5.9</v>
      </c>
      <c r="K131" s="54" t="n">
        <v>4</v>
      </c>
      <c r="L131" s="54" t="n">
        <v>1</v>
      </c>
      <c r="M131" s="54" t="n">
        <v>0</v>
      </c>
      <c r="N131" s="54" t="n">
        <v>1</v>
      </c>
      <c r="O131" s="54" t="n">
        <v>4</v>
      </c>
      <c r="P131" s="54" t="n">
        <v>120</v>
      </c>
      <c r="Q131" s="54" t="n">
        <v>5</v>
      </c>
      <c r="R131" s="54" t="n">
        <v>1200</v>
      </c>
      <c r="S131" s="54" t="n">
        <v>0</v>
      </c>
      <c r="T131" s="54" t="n">
        <v>5</v>
      </c>
      <c r="U131" s="54" t="n">
        <v>0</v>
      </c>
      <c r="V131" s="54" t="n">
        <v>0</v>
      </c>
      <c r="W131" s="54" t="n">
        <v>0</v>
      </c>
      <c r="X131" s="54" t="n">
        <v>242</v>
      </c>
    </row>
    <row r="132">
      <c r="A132" s="54" t="inlineStr">
        <is>
          <t>Ginkgo leave</t>
        </is>
      </c>
      <c r="B132" s="54" t="n">
        <v>44.9614795612291</v>
      </c>
      <c r="C132" s="54" t="n">
        <v>14.5156561431397</v>
      </c>
      <c r="D132" s="54" t="n">
        <v>35.2184623877525</v>
      </c>
      <c r="E132" s="54" t="n">
        <v>68.59999999999999</v>
      </c>
      <c r="F132" s="54" t="n">
        <v>7.8</v>
      </c>
      <c r="G132" s="54" t="n">
        <v>23.5</v>
      </c>
      <c r="H132" s="54" t="n">
        <v>45.8</v>
      </c>
      <c r="I132" s="54" t="n">
        <v>46.3</v>
      </c>
      <c r="J132" s="54" t="n">
        <v>5.9</v>
      </c>
      <c r="K132" s="54" t="n">
        <v>4</v>
      </c>
      <c r="L132" s="54" t="n">
        <v>1</v>
      </c>
      <c r="M132" s="54" t="n">
        <v>0</v>
      </c>
      <c r="N132" s="54" t="n">
        <v>1</v>
      </c>
      <c r="O132" s="54" t="n">
        <v>4</v>
      </c>
      <c r="P132" s="54" t="n">
        <v>120</v>
      </c>
      <c r="Q132" s="54" t="n">
        <v>5</v>
      </c>
      <c r="R132" s="54" t="n">
        <v>2500</v>
      </c>
      <c r="S132" s="54" t="n">
        <v>0</v>
      </c>
      <c r="T132" s="54" t="n">
        <v>5</v>
      </c>
      <c r="U132" s="54" t="n">
        <v>0</v>
      </c>
      <c r="V132" s="54" t="n">
        <v>0</v>
      </c>
      <c r="W132" s="54" t="n">
        <v>0</v>
      </c>
      <c r="X132" s="54" t="n">
        <v>16</v>
      </c>
    </row>
    <row r="133">
      <c r="A133" s="54" t="inlineStr">
        <is>
          <t>Gourd shell</t>
        </is>
      </c>
      <c r="B133" s="54" t="n">
        <v>63.4</v>
      </c>
      <c r="C133" s="54" t="n">
        <v>15.3</v>
      </c>
      <c r="D133" s="54" t="n">
        <v>14.7</v>
      </c>
      <c r="E133" s="54" t="n">
        <v>79.72003083447279</v>
      </c>
      <c r="F133" s="54" t="n">
        <v>3.37115466657483</v>
      </c>
      <c r="G133" s="54" t="n">
        <v>13.3610767925594</v>
      </c>
      <c r="H133" s="54" t="n">
        <v>46.3435375432814</v>
      </c>
      <c r="I133" s="54" t="n">
        <v>46.0032834589402</v>
      </c>
      <c r="J133" s="54" t="n">
        <v>6.042869051375</v>
      </c>
      <c r="K133" s="54" t="n">
        <v>4</v>
      </c>
      <c r="L133" s="54" t="n">
        <v>1</v>
      </c>
      <c r="M133" s="54" t="n">
        <v>1</v>
      </c>
      <c r="N133" s="54" t="n">
        <v>1</v>
      </c>
      <c r="O133" s="54" t="n">
        <v>4</v>
      </c>
      <c r="P133" s="54" t="n">
        <v>1</v>
      </c>
      <c r="Q133" s="54" t="n">
        <v>10</v>
      </c>
      <c r="R133" s="54" t="n">
        <v>1000</v>
      </c>
      <c r="S133" s="54" t="n">
        <v>1</v>
      </c>
      <c r="T133" s="54" t="n">
        <v>5</v>
      </c>
      <c r="U133" s="54" t="n">
        <v>180</v>
      </c>
      <c r="V133" s="54" t="n">
        <v>5</v>
      </c>
      <c r="W133" s="54" t="n">
        <v>1600</v>
      </c>
      <c r="X133" s="54" t="n">
        <v>36.71</v>
      </c>
    </row>
    <row r="134">
      <c r="A134" s="54" t="inlineStr">
        <is>
          <t>Gourd shell</t>
        </is>
      </c>
      <c r="B134" s="54" t="n">
        <v>63.4</v>
      </c>
      <c r="C134" s="54" t="n">
        <v>15.3</v>
      </c>
      <c r="D134" s="54" t="n">
        <v>14.7</v>
      </c>
      <c r="E134" s="54" t="n">
        <v>79.72003083691111</v>
      </c>
      <c r="F134" s="54" t="n">
        <v>3.37115466567164</v>
      </c>
      <c r="G134" s="54" t="n">
        <v>13.3610767911527</v>
      </c>
      <c r="H134" s="54" t="n">
        <v>46.3653239786565</v>
      </c>
      <c r="I134" s="54" t="n">
        <v>45.9726791707685</v>
      </c>
      <c r="J134" s="54" t="n">
        <v>6.04439771038244</v>
      </c>
      <c r="K134" s="54" t="n">
        <v>4</v>
      </c>
      <c r="L134" s="54" t="n">
        <v>1</v>
      </c>
      <c r="M134" s="54" t="n">
        <v>1</v>
      </c>
      <c r="N134" s="54" t="n">
        <v>1</v>
      </c>
      <c r="O134" s="54" t="n">
        <v>4</v>
      </c>
      <c r="P134" s="54" t="n">
        <v>1</v>
      </c>
      <c r="Q134" s="54" t="n">
        <v>10</v>
      </c>
      <c r="R134" s="54" t="n">
        <v>1000</v>
      </c>
      <c r="S134" s="54" t="n">
        <v>1</v>
      </c>
      <c r="T134" s="54" t="n">
        <v>5</v>
      </c>
      <c r="U134" s="54" t="n">
        <v>180</v>
      </c>
      <c r="V134" s="54" t="n">
        <v>5</v>
      </c>
      <c r="W134" s="54" t="n">
        <v>1400</v>
      </c>
      <c r="X134" s="54" t="n">
        <v>9.960000000000001</v>
      </c>
    </row>
    <row r="135">
      <c r="A135" s="54" t="inlineStr">
        <is>
          <t>Gourd shell</t>
        </is>
      </c>
      <c r="B135" s="54" t="n">
        <v>63.4</v>
      </c>
      <c r="C135" s="54" t="n">
        <v>15.3</v>
      </c>
      <c r="D135" s="54" t="n">
        <v>14.7</v>
      </c>
      <c r="E135" s="54" t="n">
        <v>79.72003083934941</v>
      </c>
      <c r="F135" s="54" t="n">
        <v>3.37115466476845</v>
      </c>
      <c r="G135" s="54" t="n">
        <v>13.361076789746</v>
      </c>
      <c r="H135" s="54" t="n">
        <v>46.3653239790381</v>
      </c>
      <c r="I135" s="54" t="n">
        <v>45.9726791702317</v>
      </c>
      <c r="J135" s="54" t="n">
        <v>6.04439771039796</v>
      </c>
      <c r="K135" s="54" t="n">
        <v>4</v>
      </c>
      <c r="L135" s="54" t="n">
        <v>1</v>
      </c>
      <c r="M135" s="54" t="n">
        <v>1</v>
      </c>
      <c r="N135" s="54" t="n">
        <v>1</v>
      </c>
      <c r="O135" s="54" t="n">
        <v>4</v>
      </c>
      <c r="P135" s="54" t="n">
        <v>1</v>
      </c>
      <c r="Q135" s="54" t="n">
        <v>10</v>
      </c>
      <c r="R135" s="54" t="n">
        <v>1000</v>
      </c>
      <c r="S135" s="54" t="n">
        <v>1</v>
      </c>
      <c r="T135" s="54" t="n">
        <v>5</v>
      </c>
      <c r="U135" s="54" t="n">
        <v>180</v>
      </c>
      <c r="V135" s="54" t="n">
        <v>5</v>
      </c>
      <c r="W135" s="54" t="n">
        <v>1200</v>
      </c>
      <c r="X135" s="54" t="n">
        <v>5.69</v>
      </c>
    </row>
    <row r="136">
      <c r="A136" s="54" t="inlineStr">
        <is>
          <t>Grape waste</t>
        </is>
      </c>
      <c r="B136" s="54" t="n">
        <v>25.3</v>
      </c>
      <c r="C136" s="54" t="n">
        <v>13.95</v>
      </c>
      <c r="D136" s="54" t="n">
        <v>47.3</v>
      </c>
      <c r="E136" s="54" t="n">
        <v>64.3</v>
      </c>
      <c r="F136" s="54" t="n">
        <v>4.1</v>
      </c>
      <c r="G136" s="54" t="n">
        <v>23.3</v>
      </c>
      <c r="H136" s="54" t="n">
        <v>48.6</v>
      </c>
      <c r="I136" s="54" t="n">
        <v>33.2</v>
      </c>
      <c r="J136" s="54" t="n">
        <v>7</v>
      </c>
      <c r="K136" s="54" t="n">
        <v>1</v>
      </c>
      <c r="L136" s="54" t="n">
        <v>5</v>
      </c>
      <c r="M136" s="54" t="n">
        <v>0</v>
      </c>
      <c r="N136" s="54" t="n">
        <v>1</v>
      </c>
      <c r="O136" s="54" t="n">
        <v>4</v>
      </c>
      <c r="P136" s="54" t="n">
        <v>60</v>
      </c>
      <c r="Q136" s="54" t="n">
        <v>5</v>
      </c>
      <c r="R136" s="54" t="n">
        <v>1300</v>
      </c>
      <c r="S136" s="54" t="n">
        <v>0</v>
      </c>
      <c r="T136" s="54" t="n">
        <v>5</v>
      </c>
      <c r="U136" s="54" t="n">
        <v>0</v>
      </c>
      <c r="V136" s="54" t="n">
        <v>0</v>
      </c>
      <c r="W136" s="54" t="n">
        <v>0</v>
      </c>
      <c r="X136" s="54" t="n">
        <v>40</v>
      </c>
    </row>
    <row r="137">
      <c r="A137" s="54" t="inlineStr">
        <is>
          <t>Grape waste</t>
        </is>
      </c>
      <c r="B137" s="54" t="n">
        <v>25.3</v>
      </c>
      <c r="C137" s="54" t="n">
        <v>13.95</v>
      </c>
      <c r="D137" s="54" t="n">
        <v>47.3</v>
      </c>
      <c r="E137" s="54" t="n">
        <v>64.3</v>
      </c>
      <c r="F137" s="54" t="n">
        <v>4.1</v>
      </c>
      <c r="G137" s="54" t="n">
        <v>23.3</v>
      </c>
      <c r="H137" s="54" t="n">
        <v>48.6</v>
      </c>
      <c r="I137" s="54" t="n">
        <v>33.2</v>
      </c>
      <c r="J137" s="54" t="n">
        <v>7</v>
      </c>
      <c r="K137" s="54" t="n">
        <v>4</v>
      </c>
      <c r="L137" s="54" t="n">
        <v>5</v>
      </c>
      <c r="M137" s="54" t="n">
        <v>0</v>
      </c>
      <c r="N137" s="54" t="n">
        <v>1</v>
      </c>
      <c r="O137" s="54" t="n">
        <v>4</v>
      </c>
      <c r="P137" s="54" t="n">
        <v>60</v>
      </c>
      <c r="Q137" s="54" t="n">
        <v>5</v>
      </c>
      <c r="R137" s="54" t="n">
        <v>1300</v>
      </c>
      <c r="S137" s="54" t="n">
        <v>0</v>
      </c>
      <c r="T137" s="54" t="n">
        <v>5</v>
      </c>
      <c r="U137" s="54" t="n">
        <v>0</v>
      </c>
      <c r="V137" s="54" t="n">
        <v>0</v>
      </c>
      <c r="W137" s="54" t="n">
        <v>0</v>
      </c>
      <c r="X137" s="54" t="n">
        <v>11.5</v>
      </c>
    </row>
    <row r="138">
      <c r="A138" s="54" t="inlineStr">
        <is>
          <t>Hemp hurd</t>
        </is>
      </c>
      <c r="B138" s="54" t="n">
        <v>32</v>
      </c>
      <c r="C138" s="54" t="n">
        <v>38.1</v>
      </c>
      <c r="D138" s="54" t="n">
        <v>23.8</v>
      </c>
      <c r="E138" s="54" t="n">
        <v>81.3</v>
      </c>
      <c r="F138" s="54" t="n">
        <v>3</v>
      </c>
      <c r="G138" s="54" t="n">
        <v>15.7</v>
      </c>
      <c r="H138" s="54" t="n">
        <v>46.3</v>
      </c>
      <c r="I138" s="54" t="n">
        <v>44.5</v>
      </c>
      <c r="J138" s="54" t="n">
        <v>5.7</v>
      </c>
      <c r="K138" s="54" t="n">
        <v>4</v>
      </c>
      <c r="L138" s="54" t="n">
        <v>1</v>
      </c>
      <c r="M138" s="54" t="n">
        <v>1</v>
      </c>
      <c r="N138" s="54" t="n">
        <v>0</v>
      </c>
      <c r="O138" s="54" t="n">
        <v>0</v>
      </c>
      <c r="P138" s="54" t="n">
        <v>720</v>
      </c>
      <c r="Q138" s="54" t="n">
        <v>5</v>
      </c>
      <c r="R138" s="54" t="n">
        <v>180</v>
      </c>
      <c r="S138" s="54" t="n">
        <v>1</v>
      </c>
      <c r="T138" s="54" t="n">
        <v>5</v>
      </c>
      <c r="U138" s="54" t="n">
        <v>120</v>
      </c>
      <c r="V138" s="54" t="n">
        <v>5</v>
      </c>
      <c r="W138" s="54" t="n">
        <v>800</v>
      </c>
      <c r="X138" s="54" t="n">
        <v>461.8</v>
      </c>
    </row>
    <row r="139">
      <c r="A139" s="54" t="inlineStr">
        <is>
          <t>Hemp hurd</t>
        </is>
      </c>
      <c r="B139" s="54" t="n">
        <v>32</v>
      </c>
      <c r="C139" s="54" t="n">
        <v>38.1</v>
      </c>
      <c r="D139" s="54" t="n">
        <v>23.8</v>
      </c>
      <c r="E139" s="54" t="n">
        <v>81.3</v>
      </c>
      <c r="F139" s="54" t="n">
        <v>3</v>
      </c>
      <c r="G139" s="54" t="n">
        <v>15.7</v>
      </c>
      <c r="H139" s="54" t="n">
        <v>46.3</v>
      </c>
      <c r="I139" s="54" t="n">
        <v>44.5</v>
      </c>
      <c r="J139" s="54" t="n">
        <v>5.7</v>
      </c>
      <c r="K139" s="54" t="n">
        <v>4</v>
      </c>
      <c r="L139" s="54" t="n">
        <v>1</v>
      </c>
      <c r="M139" s="54" t="n">
        <v>1</v>
      </c>
      <c r="N139" s="54" t="n">
        <v>1</v>
      </c>
      <c r="O139" s="54" t="n">
        <v>4</v>
      </c>
      <c r="P139" s="54" t="n">
        <v>720</v>
      </c>
      <c r="Q139" s="54" t="n">
        <v>5</v>
      </c>
      <c r="R139" s="54" t="n">
        <v>500</v>
      </c>
      <c r="S139" s="54" t="n">
        <v>1</v>
      </c>
      <c r="T139" s="54" t="n">
        <v>1</v>
      </c>
      <c r="U139" s="54" t="n">
        <v>60</v>
      </c>
      <c r="V139" s="54" t="n">
        <v>1</v>
      </c>
      <c r="W139" s="54" t="n">
        <v>800</v>
      </c>
      <c r="X139" s="54" t="n">
        <v>333.5</v>
      </c>
    </row>
    <row r="140">
      <c r="A140" s="54" t="inlineStr">
        <is>
          <t>Hemp hurd</t>
        </is>
      </c>
      <c r="B140" s="54" t="n">
        <v>32</v>
      </c>
      <c r="C140" s="54" t="n">
        <v>38.1</v>
      </c>
      <c r="D140" s="54" t="n">
        <v>23.8</v>
      </c>
      <c r="E140" s="54" t="n">
        <v>81.3</v>
      </c>
      <c r="F140" s="54" t="n">
        <v>3</v>
      </c>
      <c r="G140" s="54" t="n">
        <v>15.7</v>
      </c>
      <c r="H140" s="54" t="n">
        <v>46.3</v>
      </c>
      <c r="I140" s="54" t="n">
        <v>44.5</v>
      </c>
      <c r="J140" s="54" t="n">
        <v>5.7</v>
      </c>
      <c r="K140" s="54" t="n">
        <v>4</v>
      </c>
      <c r="L140" s="54" t="n">
        <v>1</v>
      </c>
      <c r="M140" s="54" t="n">
        <v>1</v>
      </c>
      <c r="N140" s="54" t="n">
        <v>1</v>
      </c>
      <c r="O140" s="54" t="n">
        <v>4</v>
      </c>
      <c r="P140" s="54" t="n">
        <v>720</v>
      </c>
      <c r="Q140" s="54" t="n">
        <v>5</v>
      </c>
      <c r="R140" s="54" t="n">
        <v>500</v>
      </c>
      <c r="S140" s="54" t="n">
        <v>1</v>
      </c>
      <c r="T140" s="54" t="n">
        <v>1</v>
      </c>
      <c r="U140" s="54" t="n">
        <v>60</v>
      </c>
      <c r="V140" s="54" t="n">
        <v>1</v>
      </c>
      <c r="W140" s="54" t="n">
        <v>700</v>
      </c>
      <c r="X140" s="54" t="n">
        <v>266</v>
      </c>
    </row>
    <row r="141">
      <c r="A141" s="54" t="inlineStr">
        <is>
          <t>Hemp hurd</t>
        </is>
      </c>
      <c r="B141" s="54" t="n">
        <v>32</v>
      </c>
      <c r="C141" s="54" t="n">
        <v>38.1</v>
      </c>
      <c r="D141" s="54" t="n">
        <v>23.8</v>
      </c>
      <c r="E141" s="54" t="n">
        <v>81.3</v>
      </c>
      <c r="F141" s="54" t="n">
        <v>3</v>
      </c>
      <c r="G141" s="54" t="n">
        <v>15.7</v>
      </c>
      <c r="H141" s="54" t="n">
        <v>46.3</v>
      </c>
      <c r="I141" s="54" t="n">
        <v>44.5</v>
      </c>
      <c r="J141" s="54" t="n">
        <v>5.7</v>
      </c>
      <c r="K141" s="54" t="n">
        <v>4</v>
      </c>
      <c r="L141" s="54" t="n">
        <v>1</v>
      </c>
      <c r="M141" s="54" t="n">
        <v>1</v>
      </c>
      <c r="N141" s="54" t="n">
        <v>1</v>
      </c>
      <c r="O141" s="54" t="n">
        <v>4</v>
      </c>
      <c r="P141" s="54" t="n">
        <v>720</v>
      </c>
      <c r="Q141" s="54" t="n">
        <v>5</v>
      </c>
      <c r="R141" s="54" t="n">
        <v>500</v>
      </c>
      <c r="S141" s="54" t="n">
        <v>1</v>
      </c>
      <c r="T141" s="54" t="n">
        <v>1</v>
      </c>
      <c r="U141" s="54" t="n">
        <v>60</v>
      </c>
      <c r="V141" s="54" t="n">
        <v>1</v>
      </c>
      <c r="W141" s="54" t="n">
        <v>700</v>
      </c>
      <c r="X141" s="54" t="n">
        <v>207.8</v>
      </c>
    </row>
    <row r="142">
      <c r="A142" s="54" t="inlineStr">
        <is>
          <t>Hemp hurd</t>
        </is>
      </c>
      <c r="B142" s="54" t="n">
        <v>32</v>
      </c>
      <c r="C142" s="54" t="n">
        <v>38.1</v>
      </c>
      <c r="D142" s="54" t="n">
        <v>23.8</v>
      </c>
      <c r="E142" s="54" t="n">
        <v>81.3</v>
      </c>
      <c r="F142" s="54" t="n">
        <v>3</v>
      </c>
      <c r="G142" s="54" t="n">
        <v>15.7</v>
      </c>
      <c r="H142" s="54" t="n">
        <v>46.3</v>
      </c>
      <c r="I142" s="54" t="n">
        <v>44.5</v>
      </c>
      <c r="J142" s="54" t="n">
        <v>5.7</v>
      </c>
      <c r="K142" s="54" t="n">
        <v>4</v>
      </c>
      <c r="L142" s="54" t="n">
        <v>1</v>
      </c>
      <c r="M142" s="54" t="n">
        <v>1</v>
      </c>
      <c r="N142" s="54" t="n">
        <v>1</v>
      </c>
      <c r="O142" s="54" t="n">
        <v>4</v>
      </c>
      <c r="P142" s="54" t="n">
        <v>720</v>
      </c>
      <c r="Q142" s="54" t="n">
        <v>5</v>
      </c>
      <c r="R142" s="54" t="n">
        <v>500</v>
      </c>
      <c r="S142" s="54" t="n">
        <v>1</v>
      </c>
      <c r="T142" s="54" t="n">
        <v>1</v>
      </c>
      <c r="U142" s="54" t="n">
        <v>60</v>
      </c>
      <c r="V142" s="54" t="n">
        <v>1</v>
      </c>
      <c r="W142" s="54" t="n">
        <v>700</v>
      </c>
      <c r="X142" s="54" t="n">
        <v>205.2</v>
      </c>
    </row>
    <row r="143">
      <c r="A143" s="54" t="inlineStr">
        <is>
          <t>Hemp hurd</t>
        </is>
      </c>
      <c r="B143" s="54" t="n">
        <v>32</v>
      </c>
      <c r="C143" s="54" t="n">
        <v>38.1</v>
      </c>
      <c r="D143" s="54" t="n">
        <v>23.8</v>
      </c>
      <c r="E143" s="54" t="n">
        <v>81.3</v>
      </c>
      <c r="F143" s="54" t="n">
        <v>3</v>
      </c>
      <c r="G143" s="54" t="n">
        <v>15.7</v>
      </c>
      <c r="H143" s="54" t="n">
        <v>46.3</v>
      </c>
      <c r="I143" s="54" t="n">
        <v>44.5</v>
      </c>
      <c r="J143" s="54" t="n">
        <v>5.7</v>
      </c>
      <c r="K143" s="54" t="n">
        <v>4</v>
      </c>
      <c r="L143" s="54" t="n">
        <v>1</v>
      </c>
      <c r="M143" s="54" t="n">
        <v>1</v>
      </c>
      <c r="N143" s="54" t="n">
        <v>0</v>
      </c>
      <c r="O143" s="54" t="n">
        <v>0</v>
      </c>
      <c r="P143" s="54" t="n">
        <v>720</v>
      </c>
      <c r="Q143" s="54" t="n">
        <v>5</v>
      </c>
      <c r="R143" s="54" t="n">
        <v>180</v>
      </c>
      <c r="S143" s="54" t="n">
        <v>1</v>
      </c>
      <c r="T143" s="54" t="n">
        <v>5</v>
      </c>
      <c r="U143" s="54" t="n">
        <v>120</v>
      </c>
      <c r="V143" s="54" t="n">
        <v>5</v>
      </c>
      <c r="W143" s="54" t="n">
        <v>1200</v>
      </c>
      <c r="X143" s="54" t="n">
        <v>103.4</v>
      </c>
    </row>
    <row r="144">
      <c r="A144" s="54" t="inlineStr">
        <is>
          <t>Hemp hurd</t>
        </is>
      </c>
      <c r="B144" s="54" t="n">
        <v>32</v>
      </c>
      <c r="C144" s="54" t="n">
        <v>38.1</v>
      </c>
      <c r="D144" s="54" t="n">
        <v>23.8</v>
      </c>
      <c r="E144" s="54" t="n">
        <v>81.3</v>
      </c>
      <c r="F144" s="54" t="n">
        <v>3</v>
      </c>
      <c r="G144" s="54" t="n">
        <v>15.7</v>
      </c>
      <c r="H144" s="54" t="n">
        <v>46.3</v>
      </c>
      <c r="I144" s="54" t="n">
        <v>44.5</v>
      </c>
      <c r="J144" s="54" t="n">
        <v>5.7</v>
      </c>
      <c r="K144" s="54" t="n">
        <v>4</v>
      </c>
      <c r="L144" s="54" t="n">
        <v>1</v>
      </c>
      <c r="M144" s="54" t="n">
        <v>1</v>
      </c>
      <c r="N144" s="54" t="n">
        <v>0</v>
      </c>
      <c r="O144" s="54" t="n">
        <v>0</v>
      </c>
      <c r="P144" s="54" t="n">
        <v>720</v>
      </c>
      <c r="Q144" s="54" t="n">
        <v>5</v>
      </c>
      <c r="R144" s="54" t="n">
        <v>180</v>
      </c>
      <c r="S144" s="54" t="n">
        <v>1</v>
      </c>
      <c r="T144" s="54" t="n">
        <v>5</v>
      </c>
      <c r="U144" s="54" t="n">
        <v>120</v>
      </c>
      <c r="V144" s="54" t="n">
        <v>5</v>
      </c>
      <c r="W144" s="54" t="n">
        <v>1000</v>
      </c>
      <c r="X144" s="54" t="n">
        <v>95.56</v>
      </c>
    </row>
    <row r="145">
      <c r="A145" s="54" t="inlineStr">
        <is>
          <t>Hemp hurd</t>
        </is>
      </c>
      <c r="B145" s="54" t="n">
        <v>32</v>
      </c>
      <c r="C145" s="54" t="n">
        <v>38.1</v>
      </c>
      <c r="D145" s="54" t="n">
        <v>23.8</v>
      </c>
      <c r="E145" s="54" t="n">
        <v>81.3</v>
      </c>
      <c r="F145" s="54" t="n">
        <v>3</v>
      </c>
      <c r="G145" s="54" t="n">
        <v>15.7</v>
      </c>
      <c r="H145" s="54" t="n">
        <v>46.3</v>
      </c>
      <c r="I145" s="54" t="n">
        <v>44.5</v>
      </c>
      <c r="J145" s="54" t="n">
        <v>5.7</v>
      </c>
      <c r="K145" s="54" t="n">
        <v>4</v>
      </c>
      <c r="L145" s="54" t="n">
        <v>1</v>
      </c>
      <c r="M145" s="54" t="n">
        <v>1</v>
      </c>
      <c r="N145" s="54" t="n">
        <v>1</v>
      </c>
      <c r="O145" s="54" t="n">
        <v>4</v>
      </c>
      <c r="P145" s="54" t="n">
        <v>720</v>
      </c>
      <c r="Q145" s="54" t="n">
        <v>5</v>
      </c>
      <c r="R145" s="54" t="n">
        <v>500</v>
      </c>
      <c r="S145" s="54" t="n">
        <v>1</v>
      </c>
      <c r="T145" s="54" t="n">
        <v>1</v>
      </c>
      <c r="U145" s="54" t="n">
        <v>60</v>
      </c>
      <c r="V145" s="54" t="n">
        <v>1</v>
      </c>
      <c r="W145" s="54" t="n">
        <v>800</v>
      </c>
      <c r="X145" s="54" t="n">
        <v>65.8</v>
      </c>
    </row>
    <row r="146">
      <c r="A146" s="54" t="inlineStr">
        <is>
          <t>Hemp hurd</t>
        </is>
      </c>
      <c r="B146" s="54" t="n">
        <v>32</v>
      </c>
      <c r="C146" s="54" t="n">
        <v>38.1</v>
      </c>
      <c r="D146" s="54" t="n">
        <v>23.8</v>
      </c>
      <c r="E146" s="54" t="n">
        <v>81.3</v>
      </c>
      <c r="F146" s="54" t="n">
        <v>3</v>
      </c>
      <c r="G146" s="54" t="n">
        <v>15.7</v>
      </c>
      <c r="H146" s="54" t="n">
        <v>46.3</v>
      </c>
      <c r="I146" s="54" t="n">
        <v>44.5</v>
      </c>
      <c r="J146" s="54" t="n">
        <v>5.7</v>
      </c>
      <c r="K146" s="54" t="n">
        <v>4</v>
      </c>
      <c r="L146" s="54" t="n">
        <v>1</v>
      </c>
      <c r="M146" s="54" t="n">
        <v>1</v>
      </c>
      <c r="N146" s="54" t="n">
        <v>0</v>
      </c>
      <c r="O146" s="54" t="n">
        <v>0</v>
      </c>
      <c r="P146" s="54" t="n">
        <v>720</v>
      </c>
      <c r="Q146" s="54" t="n">
        <v>5</v>
      </c>
      <c r="R146" s="54" t="n">
        <v>180</v>
      </c>
      <c r="S146" s="54" t="n">
        <v>1</v>
      </c>
      <c r="T146" s="54" t="n">
        <v>5</v>
      </c>
      <c r="U146" s="54" t="n">
        <v>120</v>
      </c>
      <c r="V146" s="54" t="n">
        <v>5</v>
      </c>
      <c r="W146" s="54" t="n">
        <v>800</v>
      </c>
      <c r="X146" s="54" t="n">
        <v>61.71</v>
      </c>
    </row>
    <row r="147">
      <c r="A147" s="54" t="inlineStr">
        <is>
          <t>Hemp hurd</t>
        </is>
      </c>
      <c r="B147" s="54" t="n">
        <v>32</v>
      </c>
      <c r="C147" s="54" t="n">
        <v>38.1</v>
      </c>
      <c r="D147" s="54" t="n">
        <v>23.8</v>
      </c>
      <c r="E147" s="54" t="n">
        <v>81.3</v>
      </c>
      <c r="F147" s="54" t="n">
        <v>3</v>
      </c>
      <c r="G147" s="54" t="n">
        <v>15.7</v>
      </c>
      <c r="H147" s="54" t="n">
        <v>46.3</v>
      </c>
      <c r="I147" s="54" t="n">
        <v>44.5</v>
      </c>
      <c r="J147" s="54" t="n">
        <v>5.7</v>
      </c>
      <c r="K147" s="54" t="n">
        <v>4</v>
      </c>
      <c r="L147" s="54" t="n">
        <v>1</v>
      </c>
      <c r="M147" s="54" t="n">
        <v>1</v>
      </c>
      <c r="N147" s="54" t="n">
        <v>1</v>
      </c>
      <c r="O147" s="54" t="n">
        <v>4</v>
      </c>
      <c r="P147" s="54" t="n">
        <v>720</v>
      </c>
      <c r="Q147" s="54" t="n">
        <v>5</v>
      </c>
      <c r="R147" s="54" t="n">
        <v>500</v>
      </c>
      <c r="S147" s="54" t="n">
        <v>1</v>
      </c>
      <c r="T147" s="54" t="n">
        <v>1</v>
      </c>
      <c r="U147" s="54" t="n">
        <v>60</v>
      </c>
      <c r="V147" s="54" t="n">
        <v>1</v>
      </c>
      <c r="W147" s="54" t="n">
        <v>800</v>
      </c>
      <c r="X147" s="54" t="n">
        <v>26.23</v>
      </c>
    </row>
    <row r="148">
      <c r="A148" s="54" t="inlineStr">
        <is>
          <t>Hemp hurd</t>
        </is>
      </c>
      <c r="B148" s="54" t="n">
        <v>32</v>
      </c>
      <c r="C148" s="54" t="n">
        <v>38.1</v>
      </c>
      <c r="D148" s="54" t="n">
        <v>23.8</v>
      </c>
      <c r="E148" s="54" t="n">
        <v>81.3</v>
      </c>
      <c r="F148" s="54" t="n">
        <v>3</v>
      </c>
      <c r="G148" s="54" t="n">
        <v>15.7</v>
      </c>
      <c r="H148" s="54" t="n">
        <v>46.3</v>
      </c>
      <c r="I148" s="54" t="n">
        <v>44.5</v>
      </c>
      <c r="J148" s="54" t="n">
        <v>5.7</v>
      </c>
      <c r="K148" s="54" t="n">
        <v>4</v>
      </c>
      <c r="L148" s="54" t="n">
        <v>1</v>
      </c>
      <c r="M148" s="54" t="n">
        <v>1</v>
      </c>
      <c r="N148" s="54" t="n">
        <v>0</v>
      </c>
      <c r="O148" s="54" t="n">
        <v>0</v>
      </c>
      <c r="P148" s="54" t="n">
        <v>720</v>
      </c>
      <c r="Q148" s="54" t="n">
        <v>5</v>
      </c>
      <c r="R148" s="54" t="n">
        <v>180</v>
      </c>
      <c r="S148" s="54" t="n">
        <v>1</v>
      </c>
      <c r="T148" s="54" t="n">
        <v>5</v>
      </c>
      <c r="U148" s="54" t="n">
        <v>120</v>
      </c>
      <c r="V148" s="54" t="n">
        <v>5</v>
      </c>
      <c r="W148" s="54" t="n">
        <v>1200</v>
      </c>
      <c r="X148" s="54" t="n">
        <v>25.21</v>
      </c>
    </row>
    <row r="149">
      <c r="A149" s="54" t="inlineStr">
        <is>
          <t>Hemp hurd</t>
        </is>
      </c>
      <c r="B149" s="54" t="n">
        <v>32</v>
      </c>
      <c r="C149" s="54" t="n">
        <v>38.1</v>
      </c>
      <c r="D149" s="54" t="n">
        <v>23.8</v>
      </c>
      <c r="E149" s="54" t="n">
        <v>81.3</v>
      </c>
      <c r="F149" s="54" t="n">
        <v>3</v>
      </c>
      <c r="G149" s="54" t="n">
        <v>15.7</v>
      </c>
      <c r="H149" s="54" t="n">
        <v>46.3</v>
      </c>
      <c r="I149" s="54" t="n">
        <v>44.5</v>
      </c>
      <c r="J149" s="54" t="n">
        <v>5.7</v>
      </c>
      <c r="K149" s="54" t="n">
        <v>4</v>
      </c>
      <c r="L149" s="54" t="n">
        <v>1</v>
      </c>
      <c r="M149" s="54" t="n">
        <v>1</v>
      </c>
      <c r="N149" s="54" t="n">
        <v>1</v>
      </c>
      <c r="O149" s="54" t="n">
        <v>4</v>
      </c>
      <c r="P149" s="54" t="n">
        <v>720</v>
      </c>
      <c r="Q149" s="54" t="n">
        <v>5</v>
      </c>
      <c r="R149" s="54" t="n">
        <v>500</v>
      </c>
      <c r="S149" s="54" t="n">
        <v>1</v>
      </c>
      <c r="T149" s="54" t="n">
        <v>5</v>
      </c>
      <c r="U149" s="54" t="n">
        <v>120</v>
      </c>
      <c r="V149" s="54" t="n">
        <v>5</v>
      </c>
      <c r="W149" s="54" t="n">
        <v>1000</v>
      </c>
      <c r="X149" s="54" t="n">
        <v>14.73</v>
      </c>
    </row>
    <row r="150">
      <c r="A150" s="54" t="inlineStr">
        <is>
          <t>Hemp hurd</t>
        </is>
      </c>
      <c r="B150" s="54" t="n">
        <v>32</v>
      </c>
      <c r="C150" s="54" t="n">
        <v>38.1</v>
      </c>
      <c r="D150" s="54" t="n">
        <v>23.8</v>
      </c>
      <c r="E150" s="54" t="n">
        <v>81.3</v>
      </c>
      <c r="F150" s="54" t="n">
        <v>3</v>
      </c>
      <c r="G150" s="54" t="n">
        <v>15.7</v>
      </c>
      <c r="H150" s="54" t="n">
        <v>46.3</v>
      </c>
      <c r="I150" s="54" t="n">
        <v>44.5</v>
      </c>
      <c r="J150" s="54" t="n">
        <v>5.7</v>
      </c>
      <c r="K150" s="54" t="n">
        <v>4</v>
      </c>
      <c r="L150" s="54" t="n">
        <v>1</v>
      </c>
      <c r="M150" s="54" t="n">
        <v>1</v>
      </c>
      <c r="N150" s="54" t="n">
        <v>1</v>
      </c>
      <c r="O150" s="54" t="n">
        <v>4</v>
      </c>
      <c r="P150" s="54" t="n">
        <v>720</v>
      </c>
      <c r="Q150" s="54" t="n">
        <v>5</v>
      </c>
      <c r="R150" s="54" t="n">
        <v>500</v>
      </c>
      <c r="S150" s="54" t="n">
        <v>1</v>
      </c>
      <c r="T150" s="54" t="n">
        <v>5</v>
      </c>
      <c r="U150" s="54" t="n">
        <v>120</v>
      </c>
      <c r="V150" s="54" t="n">
        <v>5</v>
      </c>
      <c r="W150" s="54" t="n">
        <v>800</v>
      </c>
      <c r="X150" s="54" t="n">
        <v>13.63</v>
      </c>
    </row>
    <row r="151">
      <c r="A151" s="54" t="inlineStr">
        <is>
          <t>Hemp hurd</t>
        </is>
      </c>
      <c r="B151" s="54" t="n">
        <v>32</v>
      </c>
      <c r="C151" s="54" t="n">
        <v>38.1</v>
      </c>
      <c r="D151" s="54" t="n">
        <v>23.8</v>
      </c>
      <c r="E151" s="54" t="n">
        <v>81.3</v>
      </c>
      <c r="F151" s="54" t="n">
        <v>3</v>
      </c>
      <c r="G151" s="54" t="n">
        <v>15.7</v>
      </c>
      <c r="H151" s="54" t="n">
        <v>46.3</v>
      </c>
      <c r="I151" s="54" t="n">
        <v>44.5</v>
      </c>
      <c r="J151" s="54" t="n">
        <v>5.7</v>
      </c>
      <c r="K151" s="54" t="n">
        <v>4</v>
      </c>
      <c r="L151" s="54" t="n">
        <v>1</v>
      </c>
      <c r="M151" s="54" t="n">
        <v>1</v>
      </c>
      <c r="N151" s="54" t="n">
        <v>0</v>
      </c>
      <c r="O151" s="54" t="n">
        <v>0</v>
      </c>
      <c r="P151" s="54" t="n">
        <v>720</v>
      </c>
      <c r="Q151" s="54" t="n">
        <v>5</v>
      </c>
      <c r="R151" s="54" t="n">
        <v>180</v>
      </c>
      <c r="S151" s="54" t="n">
        <v>1</v>
      </c>
      <c r="T151" s="54" t="n">
        <v>5</v>
      </c>
      <c r="U151" s="54" t="n">
        <v>120</v>
      </c>
      <c r="V151" s="54" t="n">
        <v>5</v>
      </c>
      <c r="W151" s="54" t="n">
        <v>1000</v>
      </c>
      <c r="X151" s="54" t="n">
        <v>11.11</v>
      </c>
    </row>
    <row r="152">
      <c r="A152" s="54" t="inlineStr">
        <is>
          <t>Hemp hurd</t>
        </is>
      </c>
      <c r="B152" s="54" t="n">
        <v>32</v>
      </c>
      <c r="C152" s="54" t="n">
        <v>38.1</v>
      </c>
      <c r="D152" s="54" t="n">
        <v>23.8</v>
      </c>
      <c r="E152" s="54" t="n">
        <v>81.3</v>
      </c>
      <c r="F152" s="54" t="n">
        <v>3</v>
      </c>
      <c r="G152" s="54" t="n">
        <v>15.7</v>
      </c>
      <c r="H152" s="54" t="n">
        <v>46.3</v>
      </c>
      <c r="I152" s="54" t="n">
        <v>44.5</v>
      </c>
      <c r="J152" s="54" t="n">
        <v>5.7</v>
      </c>
      <c r="K152" s="54" t="n">
        <v>4</v>
      </c>
      <c r="L152" s="54" t="n">
        <v>1</v>
      </c>
      <c r="M152" s="54" t="n">
        <v>1</v>
      </c>
      <c r="N152" s="54" t="n">
        <v>1</v>
      </c>
      <c r="O152" s="54" t="n">
        <v>4</v>
      </c>
      <c r="P152" s="54" t="n">
        <v>720</v>
      </c>
      <c r="Q152" s="54" t="n">
        <v>5</v>
      </c>
      <c r="R152" s="54" t="n">
        <v>500</v>
      </c>
      <c r="S152" s="54" t="n">
        <v>1</v>
      </c>
      <c r="T152" s="54" t="n">
        <v>5</v>
      </c>
      <c r="U152" s="54" t="n">
        <v>120</v>
      </c>
      <c r="V152" s="54" t="n">
        <v>5</v>
      </c>
      <c r="W152" s="54" t="n">
        <v>1200</v>
      </c>
      <c r="X152" s="54" t="n">
        <v>6.13</v>
      </c>
    </row>
    <row r="153">
      <c r="A153" s="54" t="inlineStr">
        <is>
          <t>Jack fruit seed</t>
        </is>
      </c>
      <c r="B153" s="54" t="n">
        <v>17.97</v>
      </c>
      <c r="C153" s="54" t="n">
        <v>9.06</v>
      </c>
      <c r="D153" s="54" t="n">
        <v>1.91</v>
      </c>
      <c r="E153" s="54" t="n">
        <v>70.3</v>
      </c>
      <c r="F153" s="54" t="n">
        <v>1.66</v>
      </c>
      <c r="G153" s="54" t="n">
        <v>10.84</v>
      </c>
      <c r="H153" s="54" t="n">
        <v>45.04</v>
      </c>
      <c r="I153" s="54" t="n">
        <v>45.27</v>
      </c>
      <c r="J153" s="54" t="n">
        <v>6.13</v>
      </c>
      <c r="K153" s="54" t="n">
        <v>4</v>
      </c>
      <c r="L153" s="54" t="n">
        <v>4</v>
      </c>
      <c r="M153" s="54" t="n">
        <v>0</v>
      </c>
      <c r="N153" s="54" t="n">
        <v>1</v>
      </c>
      <c r="O153" s="54" t="n">
        <v>4</v>
      </c>
      <c r="P153" s="54" t="n">
        <v>60</v>
      </c>
      <c r="Q153" s="54" t="n">
        <v>5</v>
      </c>
      <c r="R153" s="54" t="n">
        <v>1300</v>
      </c>
      <c r="S153" s="54" t="n">
        <v>0</v>
      </c>
      <c r="T153" s="54" t="n">
        <v>5</v>
      </c>
      <c r="U153" s="54" t="n">
        <v>0</v>
      </c>
      <c r="V153" s="54" t="n">
        <v>0</v>
      </c>
      <c r="W153" s="54" t="n">
        <v>0</v>
      </c>
      <c r="X153" s="54" t="n">
        <v>3.51</v>
      </c>
    </row>
    <row r="154">
      <c r="A154" s="54" t="inlineStr">
        <is>
          <t>Jack fruit seed</t>
        </is>
      </c>
      <c r="B154" s="54" t="n">
        <v>17.97</v>
      </c>
      <c r="C154" s="54" t="n">
        <v>9.06</v>
      </c>
      <c r="D154" s="54" t="n">
        <v>1.91</v>
      </c>
      <c r="E154" s="54" t="n">
        <v>70.3</v>
      </c>
      <c r="F154" s="54" t="n">
        <v>1.66</v>
      </c>
      <c r="G154" s="54" t="n">
        <v>10.84</v>
      </c>
      <c r="H154" s="54" t="n">
        <v>45.04</v>
      </c>
      <c r="I154" s="54" t="n">
        <v>45.27</v>
      </c>
      <c r="J154" s="54" t="n">
        <v>6.13</v>
      </c>
      <c r="K154" s="54" t="n">
        <v>4</v>
      </c>
      <c r="L154" s="54" t="n">
        <v>3</v>
      </c>
      <c r="M154" s="54" t="n">
        <v>0</v>
      </c>
      <c r="N154" s="54" t="n">
        <v>1</v>
      </c>
      <c r="O154" s="54" t="n">
        <v>4</v>
      </c>
      <c r="P154" s="54" t="n">
        <v>60</v>
      </c>
      <c r="Q154" s="54" t="n">
        <v>5</v>
      </c>
      <c r="R154" s="54" t="n">
        <v>1200</v>
      </c>
      <c r="S154" s="54" t="n">
        <v>0</v>
      </c>
      <c r="T154" s="54" t="n">
        <v>5</v>
      </c>
      <c r="U154" s="54" t="n">
        <v>0</v>
      </c>
      <c r="V154" s="54" t="n">
        <v>0</v>
      </c>
      <c r="W154" s="54" t="n">
        <v>0</v>
      </c>
      <c r="X154" s="54" t="n">
        <v>2.67</v>
      </c>
    </row>
    <row r="155">
      <c r="A155" s="54" t="inlineStr">
        <is>
          <t>Jack fruit seed</t>
        </is>
      </c>
      <c r="B155" s="54" t="n">
        <v>32</v>
      </c>
      <c r="C155" s="54" t="n">
        <v>38.1</v>
      </c>
      <c r="D155" s="54" t="n">
        <v>23.8</v>
      </c>
      <c r="E155" s="54" t="n">
        <v>81.3</v>
      </c>
      <c r="F155" s="54" t="n">
        <v>3</v>
      </c>
      <c r="G155" s="54" t="n">
        <v>15.7</v>
      </c>
      <c r="H155" s="54" t="n">
        <v>46.3</v>
      </c>
      <c r="I155" s="54" t="n">
        <v>44.5</v>
      </c>
      <c r="J155" s="54" t="n">
        <v>5.7</v>
      </c>
      <c r="K155" s="54" t="n">
        <v>4</v>
      </c>
      <c r="L155" s="54" t="n">
        <v>3</v>
      </c>
      <c r="M155" s="54" t="n">
        <v>0</v>
      </c>
      <c r="N155" s="54" t="n">
        <v>1</v>
      </c>
      <c r="O155" s="54" t="n">
        <v>4</v>
      </c>
      <c r="P155" s="54" t="n">
        <v>60</v>
      </c>
      <c r="Q155" s="54" t="n">
        <v>5</v>
      </c>
      <c r="R155" s="54" t="n">
        <v>1100</v>
      </c>
      <c r="S155" s="54" t="n">
        <v>0</v>
      </c>
      <c r="T155" s="54" t="n">
        <v>5</v>
      </c>
      <c r="U155" s="54" t="n">
        <v>0</v>
      </c>
      <c r="V155" s="54" t="n">
        <v>0</v>
      </c>
      <c r="W155" s="54" t="n">
        <v>0</v>
      </c>
      <c r="X155" s="54" t="n">
        <v>1.63</v>
      </c>
    </row>
    <row r="156">
      <c r="A156" s="54" t="inlineStr">
        <is>
          <t>Jack fruit seed</t>
        </is>
      </c>
      <c r="B156" s="54" t="n">
        <v>32</v>
      </c>
      <c r="C156" s="54" t="n">
        <v>38.1</v>
      </c>
      <c r="D156" s="54" t="n">
        <v>23.8</v>
      </c>
      <c r="E156" s="54" t="n">
        <v>81.3</v>
      </c>
      <c r="F156" s="54" t="n">
        <v>3</v>
      </c>
      <c r="G156" s="54" t="n">
        <v>15.7</v>
      </c>
      <c r="H156" s="54" t="n">
        <v>46.3</v>
      </c>
      <c r="I156" s="54" t="n">
        <v>44.5</v>
      </c>
      <c r="J156" s="54" t="n">
        <v>5.7</v>
      </c>
      <c r="K156" s="54" t="n">
        <v>4</v>
      </c>
      <c r="L156" s="54" t="n">
        <v>3</v>
      </c>
      <c r="M156" s="54" t="n">
        <v>0</v>
      </c>
      <c r="N156" s="54" t="n">
        <v>1</v>
      </c>
      <c r="O156" s="54" t="n">
        <v>4</v>
      </c>
      <c r="P156" s="54" t="n">
        <v>60</v>
      </c>
      <c r="Q156" s="54" t="n">
        <v>5</v>
      </c>
      <c r="R156" s="54" t="n">
        <v>1000</v>
      </c>
      <c r="S156" s="54" t="n">
        <v>0</v>
      </c>
      <c r="T156" s="54" t="n">
        <v>5</v>
      </c>
      <c r="U156" s="54" t="n">
        <v>0</v>
      </c>
      <c r="V156" s="54" t="n">
        <v>0</v>
      </c>
      <c r="W156" s="54" t="n">
        <v>0</v>
      </c>
      <c r="X156" s="54" t="n">
        <v>1.52</v>
      </c>
    </row>
    <row r="157">
      <c r="A157" s="54" t="inlineStr">
        <is>
          <t>Jackfruit rag</t>
        </is>
      </c>
      <c r="B157" s="54" t="n">
        <v>17.71</v>
      </c>
      <c r="C157" s="54" t="n">
        <v>7.32</v>
      </c>
      <c r="D157" s="54" t="n">
        <v>4.03</v>
      </c>
      <c r="E157" s="54" t="n">
        <v>68.79000000000001</v>
      </c>
      <c r="F157" s="54" t="n">
        <v>4.17</v>
      </c>
      <c r="G157" s="54" t="n">
        <v>16.58</v>
      </c>
      <c r="H157" s="54" t="n">
        <v>43.89</v>
      </c>
      <c r="I157" s="54" t="n">
        <v>44.04</v>
      </c>
      <c r="J157" s="54" t="n">
        <v>5.43</v>
      </c>
      <c r="K157" s="54" t="n">
        <v>6</v>
      </c>
      <c r="L157" s="54" t="n">
        <v>1</v>
      </c>
      <c r="M157" s="54" t="n">
        <v>0</v>
      </c>
      <c r="N157" s="54" t="n">
        <v>1</v>
      </c>
      <c r="O157" s="54" t="n">
        <v>4</v>
      </c>
      <c r="P157" s="54" t="n">
        <v>120</v>
      </c>
      <c r="Q157" s="54" t="n">
        <v>10</v>
      </c>
      <c r="R157" s="54" t="n">
        <v>800</v>
      </c>
      <c r="S157" s="54" t="n">
        <v>0</v>
      </c>
      <c r="T157" s="54" t="n">
        <v>5</v>
      </c>
      <c r="U157" s="54" t="n">
        <v>0</v>
      </c>
      <c r="V157" s="54" t="n">
        <v>0</v>
      </c>
      <c r="W157" s="54" t="n">
        <v>0</v>
      </c>
      <c r="X157" s="54" t="n">
        <v>957.3</v>
      </c>
    </row>
    <row r="158">
      <c r="A158" s="54" t="inlineStr">
        <is>
          <t>Jackfruit rag</t>
        </is>
      </c>
      <c r="B158" s="54" t="n">
        <v>17.71</v>
      </c>
      <c r="C158" s="54" t="n">
        <v>7.32</v>
      </c>
      <c r="D158" s="54" t="n">
        <v>4.03</v>
      </c>
      <c r="E158" s="54" t="n">
        <v>68.79000000000001</v>
      </c>
      <c r="F158" s="54" t="n">
        <v>4.17</v>
      </c>
      <c r="G158" s="54" t="n">
        <v>16.58</v>
      </c>
      <c r="H158" s="54" t="n">
        <v>43.89</v>
      </c>
      <c r="I158" s="54" t="n">
        <v>44.04</v>
      </c>
      <c r="J158" s="54" t="n">
        <v>5.43</v>
      </c>
      <c r="K158" s="54" t="n">
        <v>6</v>
      </c>
      <c r="L158" s="54" t="n">
        <v>1</v>
      </c>
      <c r="M158" s="54" t="n">
        <v>0</v>
      </c>
      <c r="N158" s="54" t="n">
        <v>1</v>
      </c>
      <c r="O158" s="54" t="n">
        <v>4</v>
      </c>
      <c r="P158" s="54" t="n">
        <v>120</v>
      </c>
      <c r="Q158" s="54" t="n">
        <v>10</v>
      </c>
      <c r="R158" s="54" t="n">
        <v>900</v>
      </c>
      <c r="S158" s="54" t="n">
        <v>0</v>
      </c>
      <c r="T158" s="54" t="n">
        <v>5</v>
      </c>
      <c r="U158" s="54" t="n">
        <v>0</v>
      </c>
      <c r="V158" s="54" t="n">
        <v>0</v>
      </c>
      <c r="W158" s="54" t="n">
        <v>0</v>
      </c>
      <c r="X158" s="54" t="n">
        <v>563.6</v>
      </c>
    </row>
    <row r="159">
      <c r="A159" s="54" t="inlineStr">
        <is>
          <t>Jackfruit rag</t>
        </is>
      </c>
      <c r="B159" s="54" t="n">
        <v>17.71</v>
      </c>
      <c r="C159" s="54" t="n">
        <v>7.32</v>
      </c>
      <c r="D159" s="54" t="n">
        <v>4.03</v>
      </c>
      <c r="E159" s="54" t="n">
        <v>68.79000000000001</v>
      </c>
      <c r="F159" s="54" t="n">
        <v>4.17</v>
      </c>
      <c r="G159" s="54" t="n">
        <v>16.58</v>
      </c>
      <c r="H159" s="54" t="n">
        <v>43.89</v>
      </c>
      <c r="I159" s="54" t="n">
        <v>44.04</v>
      </c>
      <c r="J159" s="54" t="n">
        <v>5.43</v>
      </c>
      <c r="K159" s="54" t="n">
        <v>6</v>
      </c>
      <c r="L159" s="54" t="n">
        <v>1</v>
      </c>
      <c r="M159" s="54" t="n">
        <v>0</v>
      </c>
      <c r="N159" s="54" t="n">
        <v>1</v>
      </c>
      <c r="O159" s="54" t="n">
        <v>4</v>
      </c>
      <c r="P159" s="54" t="n">
        <v>120</v>
      </c>
      <c r="Q159" s="54" t="n">
        <v>10</v>
      </c>
      <c r="R159" s="54" t="n">
        <v>700</v>
      </c>
      <c r="S159" s="54" t="n">
        <v>0</v>
      </c>
      <c r="T159" s="54" t="n">
        <v>5</v>
      </c>
      <c r="U159" s="54" t="n">
        <v>0</v>
      </c>
      <c r="V159" s="54" t="n">
        <v>0</v>
      </c>
      <c r="W159" s="54" t="n">
        <v>0</v>
      </c>
      <c r="X159" s="54" t="n">
        <v>443.35</v>
      </c>
    </row>
    <row r="160">
      <c r="A160" s="54" t="inlineStr">
        <is>
          <t>Kapok fiber</t>
        </is>
      </c>
      <c r="B160" s="54" t="n">
        <v>53.4</v>
      </c>
      <c r="C160" s="54" t="n">
        <v>29.63</v>
      </c>
      <c r="D160" s="54" t="n">
        <v>20.73</v>
      </c>
      <c r="E160" s="54" t="n">
        <v>83.39074162080711</v>
      </c>
      <c r="F160" s="54" t="n">
        <v>2.64334877558757</v>
      </c>
      <c r="G160" s="54" t="n">
        <v>13.3531519553555</v>
      </c>
      <c r="H160" s="54" t="n">
        <v>46.9836807397435</v>
      </c>
      <c r="I160" s="54" t="n">
        <v>43.0919936922057</v>
      </c>
      <c r="J160" s="54" t="n">
        <v>6.11949784761262</v>
      </c>
      <c r="K160" s="54" t="n">
        <v>4</v>
      </c>
      <c r="L160" s="54" t="n">
        <v>5</v>
      </c>
      <c r="M160" s="54" t="n">
        <v>0</v>
      </c>
      <c r="N160" s="54" t="n">
        <v>1</v>
      </c>
      <c r="O160" s="54" t="n">
        <v>4</v>
      </c>
      <c r="P160" s="54" t="n">
        <v>240</v>
      </c>
      <c r="Q160" s="54" t="n">
        <v>5</v>
      </c>
      <c r="R160" s="54" t="n">
        <v>1200</v>
      </c>
      <c r="S160" s="54" t="n">
        <v>0</v>
      </c>
      <c r="T160" s="54" t="n">
        <v>5</v>
      </c>
      <c r="U160" s="54" t="n">
        <v>0</v>
      </c>
      <c r="V160" s="54" t="n">
        <v>0</v>
      </c>
      <c r="W160" s="54" t="n">
        <v>0</v>
      </c>
      <c r="X160" s="54" t="n">
        <v>30.8</v>
      </c>
    </row>
    <row r="161">
      <c r="A161" s="54" t="inlineStr">
        <is>
          <t>Kapok fiber</t>
        </is>
      </c>
      <c r="B161" s="54" t="n">
        <v>53.4</v>
      </c>
      <c r="C161" s="54" t="n">
        <v>29.63</v>
      </c>
      <c r="D161" s="54" t="n">
        <v>20.73</v>
      </c>
      <c r="E161" s="54" t="n">
        <v>83.39074162080711</v>
      </c>
      <c r="F161" s="54" t="n">
        <v>2.64334877558757</v>
      </c>
      <c r="G161" s="54" t="n">
        <v>13.3531519553555</v>
      </c>
      <c r="H161" s="54" t="n">
        <v>46.9836807397435</v>
      </c>
      <c r="I161" s="54" t="n">
        <v>43.0919936922057</v>
      </c>
      <c r="J161" s="54" t="n">
        <v>6.11949784761262</v>
      </c>
      <c r="K161" s="54" t="n">
        <v>4</v>
      </c>
      <c r="L161" s="54" t="n">
        <v>5</v>
      </c>
      <c r="M161" s="54" t="n">
        <v>0</v>
      </c>
      <c r="N161" s="54" t="n">
        <v>1</v>
      </c>
      <c r="O161" s="54" t="n">
        <v>4</v>
      </c>
      <c r="P161" s="54" t="n">
        <v>240</v>
      </c>
      <c r="Q161" s="54" t="n">
        <v>5</v>
      </c>
      <c r="R161" s="54" t="n">
        <v>1400</v>
      </c>
      <c r="S161" s="54" t="n">
        <v>0</v>
      </c>
      <c r="T161" s="54" t="n">
        <v>5</v>
      </c>
      <c r="U161" s="54" t="n">
        <v>0</v>
      </c>
      <c r="V161" s="54" t="n">
        <v>0</v>
      </c>
      <c r="W161" s="54" t="n">
        <v>0</v>
      </c>
      <c r="X161" s="54" t="n">
        <v>19.2</v>
      </c>
    </row>
    <row r="162">
      <c r="A162" s="54" t="inlineStr">
        <is>
          <t>Kapok fiber</t>
        </is>
      </c>
      <c r="B162" s="54" t="n">
        <v>53.4</v>
      </c>
      <c r="C162" s="54" t="n">
        <v>29.63</v>
      </c>
      <c r="D162" s="54" t="n">
        <v>20.73</v>
      </c>
      <c r="E162" s="54" t="n">
        <v>83.39074162080711</v>
      </c>
      <c r="F162" s="54" t="n">
        <v>2.64334877558757</v>
      </c>
      <c r="G162" s="54" t="n">
        <v>13.3531519553555</v>
      </c>
      <c r="H162" s="54" t="n">
        <v>46.9836807397435</v>
      </c>
      <c r="I162" s="54" t="n">
        <v>43.0919936922057</v>
      </c>
      <c r="J162" s="54" t="n">
        <v>6.11949784761262</v>
      </c>
      <c r="K162" s="54" t="n">
        <v>4</v>
      </c>
      <c r="L162" s="54" t="n">
        <v>5</v>
      </c>
      <c r="M162" s="54" t="n">
        <v>0</v>
      </c>
      <c r="N162" s="54" t="n">
        <v>1</v>
      </c>
      <c r="O162" s="54" t="n">
        <v>4</v>
      </c>
      <c r="P162" s="54" t="n">
        <v>240</v>
      </c>
      <c r="Q162" s="54" t="n">
        <v>5</v>
      </c>
      <c r="R162" s="54" t="n">
        <v>1600</v>
      </c>
      <c r="S162" s="54" t="n">
        <v>0</v>
      </c>
      <c r="T162" s="54" t="n">
        <v>5</v>
      </c>
      <c r="U162" s="54" t="n">
        <v>0</v>
      </c>
      <c r="V162" s="54" t="n">
        <v>0</v>
      </c>
      <c r="W162" s="54" t="n">
        <v>0</v>
      </c>
      <c r="X162" s="54" t="n">
        <v>15.5</v>
      </c>
    </row>
    <row r="163">
      <c r="A163" s="54" t="inlineStr">
        <is>
          <t>Kapok fiber</t>
        </is>
      </c>
      <c r="B163" s="54" t="n">
        <v>53.4</v>
      </c>
      <c r="C163" s="54" t="n">
        <v>29.63</v>
      </c>
      <c r="D163" s="54" t="n">
        <v>20.73</v>
      </c>
      <c r="E163" s="54" t="n">
        <v>83.39074162080711</v>
      </c>
      <c r="F163" s="54" t="n">
        <v>2.64334877558757</v>
      </c>
      <c r="G163" s="54" t="n">
        <v>13.3531519553555</v>
      </c>
      <c r="H163" s="54" t="n">
        <v>46.9836807397435</v>
      </c>
      <c r="I163" s="54" t="n">
        <v>43.0919936922057</v>
      </c>
      <c r="J163" s="54" t="n">
        <v>6.11949784761262</v>
      </c>
      <c r="K163" s="54" t="n">
        <v>4</v>
      </c>
      <c r="L163" s="54" t="n">
        <v>5</v>
      </c>
      <c r="M163" s="54" t="n">
        <v>0</v>
      </c>
      <c r="N163" s="54" t="n">
        <v>1</v>
      </c>
      <c r="O163" s="54" t="n">
        <v>4</v>
      </c>
      <c r="P163" s="54" t="n">
        <v>240</v>
      </c>
      <c r="Q163" s="54" t="n">
        <v>5</v>
      </c>
      <c r="R163" s="54" t="n">
        <v>1200</v>
      </c>
      <c r="S163" s="54" t="n">
        <v>0</v>
      </c>
      <c r="T163" s="54" t="n">
        <v>5</v>
      </c>
      <c r="U163" s="54" t="n">
        <v>0</v>
      </c>
      <c r="V163" s="54" t="n">
        <v>0</v>
      </c>
      <c r="W163" s="54" t="n">
        <v>0</v>
      </c>
      <c r="X163" s="54" t="n">
        <v>10.06</v>
      </c>
    </row>
    <row r="164">
      <c r="A164" s="54" t="inlineStr">
        <is>
          <t>Kapok fiber</t>
        </is>
      </c>
      <c r="B164" s="54" t="n">
        <v>53.4</v>
      </c>
      <c r="C164" s="54" t="n">
        <v>29.63</v>
      </c>
      <c r="D164" s="54" t="n">
        <v>20.73</v>
      </c>
      <c r="E164" s="54" t="n">
        <v>83.39074162080711</v>
      </c>
      <c r="F164" s="54" t="n">
        <v>2.64334877558757</v>
      </c>
      <c r="G164" s="54" t="n">
        <v>13.3531519553555</v>
      </c>
      <c r="H164" s="54" t="n">
        <v>46.9836807397435</v>
      </c>
      <c r="I164" s="54" t="n">
        <v>43.0919936922057</v>
      </c>
      <c r="J164" s="54" t="n">
        <v>6.11949784761262</v>
      </c>
      <c r="K164" s="54" t="n">
        <v>4</v>
      </c>
      <c r="L164" s="54" t="n">
        <v>5</v>
      </c>
      <c r="M164" s="54" t="n">
        <v>0</v>
      </c>
      <c r="N164" s="54" t="n">
        <v>1</v>
      </c>
      <c r="O164" s="54" t="n">
        <v>4</v>
      </c>
      <c r="P164" s="54" t="n">
        <v>240</v>
      </c>
      <c r="Q164" s="54" t="n">
        <v>5</v>
      </c>
      <c r="R164" s="54" t="n">
        <v>1400</v>
      </c>
      <c r="S164" s="54" t="n">
        <v>0</v>
      </c>
      <c r="T164" s="54" t="n">
        <v>5</v>
      </c>
      <c r="U164" s="54" t="n">
        <v>0</v>
      </c>
      <c r="V164" s="54" t="n">
        <v>0</v>
      </c>
      <c r="W164" s="54" t="n">
        <v>0</v>
      </c>
      <c r="X164" s="54" t="n">
        <v>9.199999999999999</v>
      </c>
    </row>
    <row r="165">
      <c r="A165" s="54" t="inlineStr">
        <is>
          <t>Lignin</t>
        </is>
      </c>
      <c r="B165" s="54" t="n">
        <v>0</v>
      </c>
      <c r="C165" s="54" t="n">
        <v>0</v>
      </c>
      <c r="D165" s="54" t="n">
        <v>100</v>
      </c>
      <c r="E165" s="54" t="n">
        <v>74.413547453817</v>
      </c>
      <c r="F165" s="54" t="n">
        <v>7.93957117369227</v>
      </c>
      <c r="G165" s="54" t="n">
        <v>16.0485850317427</v>
      </c>
      <c r="H165" s="54" t="n">
        <v>46.9552486099622</v>
      </c>
      <c r="I165" s="54" t="n">
        <v>44.8534837562515</v>
      </c>
      <c r="J165" s="54" t="n">
        <v>5.81999479571385</v>
      </c>
      <c r="K165" s="54" t="n">
        <v>1</v>
      </c>
      <c r="L165" s="54" t="n">
        <v>5</v>
      </c>
      <c r="M165" s="54" t="n">
        <v>0</v>
      </c>
      <c r="N165" s="54" t="n">
        <v>1</v>
      </c>
      <c r="O165" s="54" t="n">
        <v>4</v>
      </c>
      <c r="P165" s="54" t="n">
        <v>120</v>
      </c>
      <c r="Q165" s="54" t="n">
        <v>5</v>
      </c>
      <c r="R165" s="54" t="n">
        <v>1000</v>
      </c>
      <c r="S165" s="54" t="n">
        <v>0</v>
      </c>
      <c r="T165" s="54" t="n">
        <v>5</v>
      </c>
      <c r="U165" s="54" t="n">
        <v>0</v>
      </c>
      <c r="V165" s="54" t="n">
        <v>0</v>
      </c>
      <c r="W165" s="54" t="n">
        <v>0</v>
      </c>
      <c r="X165" s="54" t="n">
        <v>87.2</v>
      </c>
    </row>
    <row r="166">
      <c r="A166" s="54" t="inlineStr">
        <is>
          <t>Lignin</t>
        </is>
      </c>
      <c r="B166" s="54" t="n">
        <v>0</v>
      </c>
      <c r="C166" s="54" t="n">
        <v>0</v>
      </c>
      <c r="D166" s="54" t="n">
        <v>100</v>
      </c>
      <c r="E166" s="54" t="n">
        <v>74.413547453817</v>
      </c>
      <c r="F166" s="54" t="n">
        <v>7.93957117369227</v>
      </c>
      <c r="G166" s="54" t="n">
        <v>16.0485850317427</v>
      </c>
      <c r="H166" s="54" t="n">
        <v>46.9552486099622</v>
      </c>
      <c r="I166" s="54" t="n">
        <v>44.8534837562515</v>
      </c>
      <c r="J166" s="54" t="n">
        <v>5.81999479571385</v>
      </c>
      <c r="K166" s="54" t="n">
        <v>1</v>
      </c>
      <c r="L166" s="54" t="n">
        <v>5</v>
      </c>
      <c r="M166" s="54" t="n">
        <v>0</v>
      </c>
      <c r="N166" s="54" t="n">
        <v>1</v>
      </c>
      <c r="O166" s="54" t="n">
        <v>4</v>
      </c>
      <c r="P166" s="54" t="n">
        <v>120</v>
      </c>
      <c r="Q166" s="54" t="n">
        <v>5</v>
      </c>
      <c r="R166" s="54" t="n">
        <v>1200</v>
      </c>
      <c r="S166" s="54" t="n">
        <v>0</v>
      </c>
      <c r="T166" s="54" t="n">
        <v>5</v>
      </c>
      <c r="U166" s="54" t="n">
        <v>0</v>
      </c>
      <c r="V166" s="54" t="n">
        <v>0</v>
      </c>
      <c r="W166" s="54" t="n">
        <v>0</v>
      </c>
      <c r="X166" s="54" t="n">
        <v>56.8</v>
      </c>
    </row>
    <row r="167">
      <c r="A167" s="54" t="inlineStr">
        <is>
          <t>Lignin</t>
        </is>
      </c>
      <c r="B167" s="54" t="n">
        <v>0</v>
      </c>
      <c r="C167" s="54" t="n">
        <v>0</v>
      </c>
      <c r="D167" s="54" t="n">
        <v>100</v>
      </c>
      <c r="E167" s="54" t="n">
        <v>74.413547453817</v>
      </c>
      <c r="F167" s="54" t="n">
        <v>7.93957117369227</v>
      </c>
      <c r="G167" s="54" t="n">
        <v>16.0485850317427</v>
      </c>
      <c r="H167" s="54" t="n">
        <v>46.9552486099622</v>
      </c>
      <c r="I167" s="54" t="n">
        <v>44.8534837562515</v>
      </c>
      <c r="J167" s="54" t="n">
        <v>5.81999479571385</v>
      </c>
      <c r="K167" s="54" t="n">
        <v>1</v>
      </c>
      <c r="L167" s="54" t="n">
        <v>5</v>
      </c>
      <c r="M167" s="54" t="n">
        <v>0</v>
      </c>
      <c r="N167" s="54" t="n">
        <v>1</v>
      </c>
      <c r="O167" s="54" t="n">
        <v>4</v>
      </c>
      <c r="P167" s="54" t="n">
        <v>120</v>
      </c>
      <c r="Q167" s="54" t="n">
        <v>5</v>
      </c>
      <c r="R167" s="54" t="n">
        <v>1800</v>
      </c>
      <c r="S167" s="54" t="n">
        <v>0</v>
      </c>
      <c r="T167" s="54" t="n">
        <v>5</v>
      </c>
      <c r="U167" s="54" t="n">
        <v>0</v>
      </c>
      <c r="V167" s="54" t="n">
        <v>0</v>
      </c>
      <c r="W167" s="54" t="n">
        <v>0</v>
      </c>
      <c r="X167" s="54" t="n">
        <v>45</v>
      </c>
    </row>
    <row r="168">
      <c r="A168" s="54" t="inlineStr">
        <is>
          <t>Lignin</t>
        </is>
      </c>
      <c r="B168" s="54" t="n">
        <v>0</v>
      </c>
      <c r="C168" s="54" t="n">
        <v>0</v>
      </c>
      <c r="D168" s="54" t="n">
        <v>100</v>
      </c>
      <c r="E168" s="54" t="n">
        <v>74.413547453817</v>
      </c>
      <c r="F168" s="54" t="n">
        <v>7.93957117369227</v>
      </c>
      <c r="G168" s="54" t="n">
        <v>16.0485850317427</v>
      </c>
      <c r="H168" s="54" t="n">
        <v>46.9552486099622</v>
      </c>
      <c r="I168" s="54" t="n">
        <v>44.8534837562515</v>
      </c>
      <c r="J168" s="54" t="n">
        <v>5.81999479571385</v>
      </c>
      <c r="K168" s="54" t="n">
        <v>1</v>
      </c>
      <c r="L168" s="54" t="n">
        <v>5</v>
      </c>
      <c r="M168" s="54" t="n">
        <v>1</v>
      </c>
      <c r="N168" s="54" t="n">
        <v>1</v>
      </c>
      <c r="O168" s="54" t="n">
        <v>4</v>
      </c>
      <c r="P168" s="54" t="n">
        <v>60</v>
      </c>
      <c r="Q168" s="54" t="n">
        <v>10</v>
      </c>
      <c r="R168" s="54" t="n">
        <v>800</v>
      </c>
      <c r="S168" s="54" t="n">
        <v>1</v>
      </c>
      <c r="T168" s="54" t="n">
        <v>5</v>
      </c>
      <c r="U168" s="54" t="n">
        <v>480</v>
      </c>
      <c r="V168" s="54" t="n">
        <v>10</v>
      </c>
      <c r="W168" s="54" t="n">
        <v>1300</v>
      </c>
      <c r="X168" s="54" t="n">
        <v>38.8</v>
      </c>
    </row>
    <row r="169">
      <c r="A169" s="54" t="inlineStr">
        <is>
          <t>Lignin</t>
        </is>
      </c>
      <c r="B169" s="54" t="n">
        <v>0</v>
      </c>
      <c r="C169" s="54" t="n">
        <v>0</v>
      </c>
      <c r="D169" s="54" t="n">
        <v>100</v>
      </c>
      <c r="E169" s="54" t="n">
        <v>74.413547453817</v>
      </c>
      <c r="F169" s="54" t="n">
        <v>7.93957117369227</v>
      </c>
      <c r="G169" s="54" t="n">
        <v>16.0485850317427</v>
      </c>
      <c r="H169" s="54" t="n">
        <v>46.9552486099622</v>
      </c>
      <c r="I169" s="54" t="n">
        <v>44.8534837562515</v>
      </c>
      <c r="J169" s="54" t="n">
        <v>5.81999479571385</v>
      </c>
      <c r="K169" s="54" t="n">
        <v>1</v>
      </c>
      <c r="L169" s="54" t="n">
        <v>5</v>
      </c>
      <c r="M169" s="54" t="n">
        <v>0</v>
      </c>
      <c r="N169" s="54" t="n">
        <v>1</v>
      </c>
      <c r="O169" s="54" t="n">
        <v>4</v>
      </c>
      <c r="P169" s="54" t="n">
        <v>120</v>
      </c>
      <c r="Q169" s="54" t="n">
        <v>5</v>
      </c>
      <c r="R169" s="54" t="n">
        <v>1600</v>
      </c>
      <c r="S169" s="54" t="n">
        <v>0</v>
      </c>
      <c r="T169" s="54" t="n">
        <v>5</v>
      </c>
      <c r="U169" s="54" t="n">
        <v>0</v>
      </c>
      <c r="V169" s="54" t="n">
        <v>0</v>
      </c>
      <c r="W169" s="54" t="n">
        <v>0</v>
      </c>
      <c r="X169" s="54" t="n">
        <v>35.9</v>
      </c>
    </row>
    <row r="170">
      <c r="A170" s="54" t="inlineStr">
        <is>
          <t>Lignin</t>
        </is>
      </c>
      <c r="B170" s="54" t="n">
        <v>0</v>
      </c>
      <c r="C170" s="54" t="n">
        <v>0</v>
      </c>
      <c r="D170" s="54" t="n">
        <v>100</v>
      </c>
      <c r="E170" s="54" t="n">
        <v>74.413547453817</v>
      </c>
      <c r="F170" s="54" t="n">
        <v>7.93957117369227</v>
      </c>
      <c r="G170" s="54" t="n">
        <v>16.0485850317427</v>
      </c>
      <c r="H170" s="54" t="n">
        <v>46.9552486099622</v>
      </c>
      <c r="I170" s="54" t="n">
        <v>44.8534837562515</v>
      </c>
      <c r="J170" s="54" t="n">
        <v>5.81999479571385</v>
      </c>
      <c r="K170" s="54" t="n">
        <v>1</v>
      </c>
      <c r="L170" s="54" t="n">
        <v>5</v>
      </c>
      <c r="M170" s="54" t="n">
        <v>0</v>
      </c>
      <c r="N170" s="54" t="n">
        <v>1</v>
      </c>
      <c r="O170" s="54" t="n">
        <v>4</v>
      </c>
      <c r="P170" s="54" t="n">
        <v>120</v>
      </c>
      <c r="Q170" s="54" t="n">
        <v>5</v>
      </c>
      <c r="R170" s="54" t="n">
        <v>1400</v>
      </c>
      <c r="S170" s="54" t="n">
        <v>0</v>
      </c>
      <c r="T170" s="54" t="n">
        <v>5</v>
      </c>
      <c r="U170" s="54" t="n">
        <v>0</v>
      </c>
      <c r="V170" s="54" t="n">
        <v>0</v>
      </c>
      <c r="W170" s="54" t="n">
        <v>0</v>
      </c>
      <c r="X170" s="54" t="n">
        <v>33</v>
      </c>
    </row>
    <row r="171">
      <c r="A171" s="54" t="inlineStr">
        <is>
          <t>Lotus leaves</t>
        </is>
      </c>
      <c r="B171" s="54" t="n">
        <v>40</v>
      </c>
      <c r="C171" s="54" t="n">
        <v>28.5</v>
      </c>
      <c r="D171" s="54" t="n">
        <v>11</v>
      </c>
      <c r="E171" s="54" t="n">
        <v>64.62</v>
      </c>
      <c r="F171" s="54" t="n">
        <v>13.63</v>
      </c>
      <c r="G171" s="54" t="n">
        <v>16.67</v>
      </c>
      <c r="H171" s="54" t="n">
        <v>43.59</v>
      </c>
      <c r="I171" s="54" t="n">
        <v>47.19</v>
      </c>
      <c r="J171" s="54" t="n">
        <v>5.49</v>
      </c>
      <c r="K171" s="54" t="n">
        <v>5</v>
      </c>
      <c r="L171" s="54" t="n">
        <v>7</v>
      </c>
      <c r="M171" s="54" t="n">
        <v>1</v>
      </c>
      <c r="N171" s="54" t="n">
        <v>0</v>
      </c>
      <c r="O171" s="54" t="n">
        <v>0</v>
      </c>
      <c r="P171" s="54" t="n">
        <v>600</v>
      </c>
      <c r="Q171" s="54" t="n">
        <v>4.69599913615273</v>
      </c>
      <c r="R171" s="54" t="n">
        <v>180</v>
      </c>
      <c r="S171" s="54" t="n">
        <v>1</v>
      </c>
      <c r="T171" s="54" t="n">
        <v>5</v>
      </c>
      <c r="U171" s="54" t="n">
        <v>39.4650537634409</v>
      </c>
      <c r="V171" s="54" t="n">
        <v>1.32558139534884</v>
      </c>
      <c r="W171" s="54" t="n">
        <v>800</v>
      </c>
      <c r="X171" s="54" t="n">
        <v>397.5</v>
      </c>
    </row>
    <row r="172">
      <c r="A172" s="54" t="inlineStr">
        <is>
          <t>Lotus seedpod</t>
        </is>
      </c>
      <c r="B172" s="54" t="n">
        <v>32</v>
      </c>
      <c r="C172" s="54" t="n">
        <v>22</v>
      </c>
      <c r="D172" s="54" t="n">
        <v>18</v>
      </c>
      <c r="E172" s="54" t="n">
        <v>74.0843415740194</v>
      </c>
      <c r="F172" s="54" t="n">
        <v>5.41395436606743</v>
      </c>
      <c r="G172" s="54" t="n">
        <v>20.3226845536871</v>
      </c>
      <c r="H172" s="54" t="n">
        <v>44.2768101943862</v>
      </c>
      <c r="I172" s="54" t="n">
        <v>42.4266732942664</v>
      </c>
      <c r="J172" s="54" t="n">
        <v>4.60876937937635</v>
      </c>
      <c r="K172" s="54" t="n">
        <v>6</v>
      </c>
      <c r="L172" s="54" t="n">
        <v>1</v>
      </c>
      <c r="M172" s="54" t="n">
        <v>0</v>
      </c>
      <c r="N172" s="54" t="n">
        <v>1</v>
      </c>
      <c r="O172" s="54" t="n">
        <v>4</v>
      </c>
      <c r="P172" s="54" t="n">
        <v>120</v>
      </c>
      <c r="Q172" s="54" t="n">
        <v>5</v>
      </c>
      <c r="R172" s="54" t="n">
        <v>1000</v>
      </c>
      <c r="S172" s="54" t="n">
        <v>0</v>
      </c>
      <c r="T172" s="54" t="n">
        <v>5</v>
      </c>
      <c r="U172" s="54" t="n">
        <v>0</v>
      </c>
      <c r="V172" s="54" t="n">
        <v>0</v>
      </c>
      <c r="W172" s="54" t="n">
        <v>0</v>
      </c>
      <c r="X172" s="54" t="n">
        <v>751.6</v>
      </c>
    </row>
    <row r="173">
      <c r="A173" s="54" t="inlineStr">
        <is>
          <t>Lotus seedpod</t>
        </is>
      </c>
      <c r="B173" s="54" t="n">
        <v>32</v>
      </c>
      <c r="C173" s="54" t="n">
        <v>22</v>
      </c>
      <c r="D173" s="54" t="n">
        <v>18</v>
      </c>
      <c r="E173" s="54" t="n">
        <v>74.0843415740194</v>
      </c>
      <c r="F173" s="54" t="n">
        <v>5.41395436606743</v>
      </c>
      <c r="G173" s="54" t="n">
        <v>20.3226845536871</v>
      </c>
      <c r="H173" s="54" t="n">
        <v>44.2768101943862</v>
      </c>
      <c r="I173" s="54" t="n">
        <v>42.4266732942664</v>
      </c>
      <c r="J173" s="54" t="n">
        <v>4.60876937937635</v>
      </c>
      <c r="K173" s="54" t="n">
        <v>6</v>
      </c>
      <c r="L173" s="54" t="n">
        <v>1</v>
      </c>
      <c r="M173" s="54" t="n">
        <v>0</v>
      </c>
      <c r="N173" s="54" t="n">
        <v>1</v>
      </c>
      <c r="O173" s="54" t="n">
        <v>4</v>
      </c>
      <c r="P173" s="54" t="n">
        <v>120</v>
      </c>
      <c r="Q173" s="54" t="n">
        <v>5</v>
      </c>
      <c r="R173" s="54" t="n">
        <v>1200</v>
      </c>
      <c r="S173" s="54" t="n">
        <v>0</v>
      </c>
      <c r="T173" s="54" t="n">
        <v>5</v>
      </c>
      <c r="U173" s="54" t="n">
        <v>0</v>
      </c>
      <c r="V173" s="54" t="n">
        <v>0</v>
      </c>
      <c r="W173" s="54" t="n">
        <v>0</v>
      </c>
      <c r="X173" s="54" t="n">
        <v>140.7</v>
      </c>
    </row>
    <row r="174">
      <c r="A174" s="54" t="inlineStr">
        <is>
          <t>Lotus seedpod</t>
        </is>
      </c>
      <c r="B174" s="54" t="n">
        <v>32</v>
      </c>
      <c r="C174" s="54" t="n">
        <v>22</v>
      </c>
      <c r="D174" s="54" t="n">
        <v>18</v>
      </c>
      <c r="E174" s="54" t="n">
        <v>74.0843415740194</v>
      </c>
      <c r="F174" s="54" t="n">
        <v>5.41395436606743</v>
      </c>
      <c r="G174" s="54" t="n">
        <v>20.3226845536871</v>
      </c>
      <c r="H174" s="54" t="n">
        <v>44.2768101943862</v>
      </c>
      <c r="I174" s="54" t="n">
        <v>42.4266732942664</v>
      </c>
      <c r="J174" s="54" t="n">
        <v>4.60876937937635</v>
      </c>
      <c r="K174" s="54" t="n">
        <v>6</v>
      </c>
      <c r="L174" s="54" t="n">
        <v>1</v>
      </c>
      <c r="M174" s="54" t="n">
        <v>0</v>
      </c>
      <c r="N174" s="54" t="n">
        <v>1</v>
      </c>
      <c r="O174" s="54" t="n">
        <v>4</v>
      </c>
      <c r="P174" s="54" t="n">
        <v>120</v>
      </c>
      <c r="Q174" s="54" t="n">
        <v>5</v>
      </c>
      <c r="R174" s="54" t="n">
        <v>1400</v>
      </c>
      <c r="S174" s="54" t="n">
        <v>0</v>
      </c>
      <c r="T174" s="54" t="n">
        <v>5</v>
      </c>
      <c r="U174" s="54" t="n">
        <v>0</v>
      </c>
      <c r="V174" s="54" t="n">
        <v>0</v>
      </c>
      <c r="W174" s="54" t="n">
        <v>0</v>
      </c>
      <c r="X174" s="54" t="n">
        <v>108.8</v>
      </c>
    </row>
    <row r="175">
      <c r="A175" s="54" t="inlineStr">
        <is>
          <t>Lotus stem</t>
        </is>
      </c>
      <c r="B175" s="54" t="n">
        <v>34.6</v>
      </c>
      <c r="C175" s="54" t="n">
        <v>19.2</v>
      </c>
      <c r="D175" s="54" t="n">
        <v>25.4</v>
      </c>
      <c r="E175" s="54" t="n">
        <v>77.44065266469779</v>
      </c>
      <c r="F175" s="54" t="n">
        <v>6.01739941318613</v>
      </c>
      <c r="G175" s="54" t="n">
        <v>17.7960359441177</v>
      </c>
      <c r="H175" s="54" t="n">
        <v>48.1519093848142</v>
      </c>
      <c r="I175" s="54" t="n">
        <v>41.0827448296098</v>
      </c>
      <c r="J175" s="54" t="n">
        <v>5.25526048251373</v>
      </c>
      <c r="K175" s="54" t="n">
        <v>4</v>
      </c>
      <c r="L175" s="54" t="n">
        <v>0</v>
      </c>
      <c r="M175" s="54" t="n">
        <v>0</v>
      </c>
      <c r="N175" s="54" t="n">
        <v>1</v>
      </c>
      <c r="O175" s="54" t="n">
        <v>4</v>
      </c>
      <c r="P175" s="54" t="n">
        <v>116.163456313279</v>
      </c>
      <c r="Q175" s="54" t="n">
        <v>4.74693327398682</v>
      </c>
      <c r="R175" s="54" t="n">
        <v>1200</v>
      </c>
      <c r="S175" s="54" t="n">
        <v>0</v>
      </c>
      <c r="T175" s="54" t="n">
        <v>5</v>
      </c>
      <c r="U175" s="54" t="n">
        <v>0</v>
      </c>
      <c r="V175" s="54" t="n">
        <v>0</v>
      </c>
      <c r="W175" s="54" t="n">
        <v>0</v>
      </c>
      <c r="X175" s="54" t="n">
        <v>25.8</v>
      </c>
    </row>
    <row r="176">
      <c r="A176" s="54" t="inlineStr">
        <is>
          <t>Lotus stem</t>
        </is>
      </c>
      <c r="B176" s="54" t="n">
        <v>34.6</v>
      </c>
      <c r="C176" s="54" t="n">
        <v>19.2</v>
      </c>
      <c r="D176" s="54" t="n">
        <v>25.4</v>
      </c>
      <c r="E176" s="54" t="n">
        <v>77.44065266469779</v>
      </c>
      <c r="F176" s="54" t="n">
        <v>6.01739941318613</v>
      </c>
      <c r="G176" s="54" t="n">
        <v>17.7960359441177</v>
      </c>
      <c r="H176" s="54" t="n">
        <v>48.1519093848142</v>
      </c>
      <c r="I176" s="54" t="n">
        <v>41.0827448296098</v>
      </c>
      <c r="J176" s="54" t="n">
        <v>5.25526048251373</v>
      </c>
      <c r="K176" s="54" t="n">
        <v>4</v>
      </c>
      <c r="L176" s="54" t="n">
        <v>0</v>
      </c>
      <c r="M176" s="54" t="n">
        <v>0</v>
      </c>
      <c r="N176" s="54" t="n">
        <v>1</v>
      </c>
      <c r="O176" s="54" t="n">
        <v>4</v>
      </c>
      <c r="P176" s="54" t="n">
        <v>115.272221224877</v>
      </c>
      <c r="Q176" s="54" t="n">
        <v>4.86184462853793</v>
      </c>
      <c r="R176" s="54" t="n">
        <v>1400</v>
      </c>
      <c r="S176" s="54" t="n">
        <v>0</v>
      </c>
      <c r="T176" s="54" t="n">
        <v>5</v>
      </c>
      <c r="U176" s="54" t="n">
        <v>0</v>
      </c>
      <c r="V176" s="54" t="n">
        <v>0</v>
      </c>
      <c r="W176" s="54" t="n">
        <v>0</v>
      </c>
      <c r="X176" s="54" t="n">
        <v>24.4</v>
      </c>
    </row>
    <row r="177">
      <c r="A177" s="54" t="inlineStr">
        <is>
          <t>Lotus stem</t>
        </is>
      </c>
      <c r="B177" s="54" t="n">
        <v>34.6</v>
      </c>
      <c r="C177" s="54" t="n">
        <v>19.2</v>
      </c>
      <c r="D177" s="54" t="n">
        <v>25.4</v>
      </c>
      <c r="E177" s="54" t="n">
        <v>77.44065266469779</v>
      </c>
      <c r="F177" s="54" t="n">
        <v>6.01739941318613</v>
      </c>
      <c r="G177" s="54" t="n">
        <v>17.7960359441177</v>
      </c>
      <c r="H177" s="54" t="n">
        <v>48.1519093848142</v>
      </c>
      <c r="I177" s="54" t="n">
        <v>41.0827448296098</v>
      </c>
      <c r="J177" s="54" t="n">
        <v>5.25526048251373</v>
      </c>
      <c r="K177" s="54" t="n">
        <v>4</v>
      </c>
      <c r="L177" s="54" t="n">
        <v>0</v>
      </c>
      <c r="M177" s="54" t="n">
        <v>0</v>
      </c>
      <c r="N177" s="54" t="n">
        <v>1</v>
      </c>
      <c r="O177" s="54" t="n">
        <v>4</v>
      </c>
      <c r="P177" s="54" t="n">
        <v>122.012928661282</v>
      </c>
      <c r="Q177" s="54" t="n">
        <v>4.36297752058218</v>
      </c>
      <c r="R177" s="54" t="n">
        <v>1600</v>
      </c>
      <c r="S177" s="54" t="n">
        <v>0</v>
      </c>
      <c r="T177" s="54" t="n">
        <v>5</v>
      </c>
      <c r="U177" s="54" t="n">
        <v>0</v>
      </c>
      <c r="V177" s="54" t="n">
        <v>0</v>
      </c>
      <c r="W177" s="54" t="n">
        <v>0</v>
      </c>
      <c r="X177" s="54" t="n">
        <v>23.7</v>
      </c>
    </row>
    <row r="178">
      <c r="A178" s="54" t="inlineStr">
        <is>
          <t>Macadamia nutshell</t>
        </is>
      </c>
      <c r="B178" s="54" t="n">
        <v>29.5</v>
      </c>
      <c r="C178" s="54" t="n">
        <v>30</v>
      </c>
      <c r="D178" s="54" t="n">
        <v>40.1</v>
      </c>
      <c r="E178" s="54" t="n">
        <v>76.25</v>
      </c>
      <c r="F178" s="54" t="n">
        <v>0.36</v>
      </c>
      <c r="G178" s="54" t="n">
        <v>23.4</v>
      </c>
      <c r="H178" s="54" t="n">
        <v>49.7</v>
      </c>
      <c r="I178" s="54" t="n">
        <v>35.2</v>
      </c>
      <c r="J178" s="54" t="n">
        <v>6.2</v>
      </c>
      <c r="K178" s="54" t="n">
        <v>4</v>
      </c>
      <c r="L178" s="54" t="n">
        <v>5</v>
      </c>
      <c r="M178" s="54" t="n">
        <v>0</v>
      </c>
      <c r="N178" s="54" t="n">
        <v>1</v>
      </c>
      <c r="O178" s="54" t="n">
        <v>4</v>
      </c>
      <c r="P178" s="54" t="n">
        <v>60</v>
      </c>
      <c r="Q178" s="54" t="n">
        <v>4.65639141172644</v>
      </c>
      <c r="R178" s="54" t="n">
        <v>700</v>
      </c>
      <c r="S178" s="54" t="n">
        <v>0</v>
      </c>
      <c r="T178" s="54" t="n">
        <v>5</v>
      </c>
      <c r="U178" s="54" t="n">
        <v>0</v>
      </c>
      <c r="V178" s="54" t="n">
        <v>0</v>
      </c>
      <c r="W178" s="54" t="n">
        <v>0</v>
      </c>
      <c r="X178" s="54" t="n">
        <v>289.4</v>
      </c>
    </row>
    <row r="179">
      <c r="A179" s="54" t="inlineStr">
        <is>
          <t>Macadamia nutshell</t>
        </is>
      </c>
      <c r="B179" s="54" t="n">
        <v>29.5</v>
      </c>
      <c r="C179" s="54" t="n">
        <v>30</v>
      </c>
      <c r="D179" s="54" t="n">
        <v>40.1</v>
      </c>
      <c r="E179" s="54" t="n">
        <v>76.25</v>
      </c>
      <c r="F179" s="54" t="n">
        <v>0.36</v>
      </c>
      <c r="G179" s="54" t="n">
        <v>23.4</v>
      </c>
      <c r="H179" s="54" t="n">
        <v>49.7</v>
      </c>
      <c r="I179" s="54" t="n">
        <v>35.2</v>
      </c>
      <c r="J179" s="54" t="n">
        <v>6.2</v>
      </c>
      <c r="K179" s="54" t="n">
        <v>4</v>
      </c>
      <c r="L179" s="54" t="n">
        <v>5</v>
      </c>
      <c r="M179" s="54" t="n">
        <v>0</v>
      </c>
      <c r="N179" s="54" t="n">
        <v>1</v>
      </c>
      <c r="O179" s="54" t="n">
        <v>4</v>
      </c>
      <c r="P179" s="54" t="n">
        <v>60</v>
      </c>
      <c r="Q179" s="54" t="n">
        <v>3.82264524457495</v>
      </c>
      <c r="R179" s="54" t="n">
        <v>900</v>
      </c>
      <c r="S179" s="54" t="n">
        <v>0</v>
      </c>
      <c r="T179" s="54" t="n">
        <v>5</v>
      </c>
      <c r="U179" s="54" t="n">
        <v>0</v>
      </c>
      <c r="V179" s="54" t="n">
        <v>0</v>
      </c>
      <c r="W179" s="54" t="n">
        <v>0</v>
      </c>
      <c r="X179" s="54" t="n">
        <v>62.3</v>
      </c>
    </row>
    <row r="180">
      <c r="A180" s="54" t="inlineStr">
        <is>
          <t>Macadamia nutshell</t>
        </is>
      </c>
      <c r="B180" s="54" t="n">
        <v>29.5</v>
      </c>
      <c r="C180" s="54" t="n">
        <v>30</v>
      </c>
      <c r="D180" s="54" t="n">
        <v>40.1</v>
      </c>
      <c r="E180" s="54" t="n">
        <v>76.25</v>
      </c>
      <c r="F180" s="54" t="n">
        <v>0.36</v>
      </c>
      <c r="G180" s="54" t="n">
        <v>23.4</v>
      </c>
      <c r="H180" s="54" t="n">
        <v>49.7</v>
      </c>
      <c r="I180" s="54" t="n">
        <v>35.2</v>
      </c>
      <c r="J180" s="54" t="n">
        <v>6.2</v>
      </c>
      <c r="K180" s="54" t="n">
        <v>4</v>
      </c>
      <c r="L180" s="54" t="n">
        <v>5</v>
      </c>
      <c r="M180" s="54" t="n">
        <v>0</v>
      </c>
      <c r="N180" s="54" t="n">
        <v>1</v>
      </c>
      <c r="O180" s="54" t="n">
        <v>4</v>
      </c>
      <c r="P180" s="54" t="n">
        <v>60</v>
      </c>
      <c r="Q180" s="54" t="n">
        <v>3.98623777088904</v>
      </c>
      <c r="R180" s="54" t="n">
        <v>1100</v>
      </c>
      <c r="S180" s="54" t="n">
        <v>0</v>
      </c>
      <c r="T180" s="54" t="n">
        <v>5</v>
      </c>
      <c r="U180" s="54" t="n">
        <v>0</v>
      </c>
      <c r="V180" s="54" t="n">
        <v>0</v>
      </c>
      <c r="W180" s="54" t="n">
        <v>0</v>
      </c>
      <c r="X180" s="54" t="n">
        <v>12.7</v>
      </c>
    </row>
    <row r="181">
      <c r="A181" s="54" t="inlineStr">
        <is>
          <t>Mangosteen shell</t>
        </is>
      </c>
      <c r="B181" s="54" t="n">
        <v>26.22</v>
      </c>
      <c r="C181" s="54" t="n">
        <v>15.39</v>
      </c>
      <c r="D181" s="54" t="n">
        <v>48.52</v>
      </c>
      <c r="E181" s="54" t="n">
        <v>62.28</v>
      </c>
      <c r="F181" s="54" t="n">
        <v>1.85</v>
      </c>
      <c r="G181" s="54" t="n">
        <v>32.29</v>
      </c>
      <c r="H181" s="54" t="n">
        <v>48.81</v>
      </c>
      <c r="I181" s="54" t="n">
        <v>42.7</v>
      </c>
      <c r="J181" s="54" t="n">
        <v>5.73</v>
      </c>
      <c r="K181" s="54" t="n">
        <v>4</v>
      </c>
      <c r="L181" s="54" t="n">
        <v>5</v>
      </c>
      <c r="M181" s="54" t="n">
        <v>0</v>
      </c>
      <c r="N181" s="54" t="n">
        <v>1</v>
      </c>
      <c r="O181" s="54" t="n">
        <v>4</v>
      </c>
      <c r="P181" s="54" t="n">
        <v>120</v>
      </c>
      <c r="Q181" s="54" t="n">
        <v>3</v>
      </c>
      <c r="R181" s="54" t="n">
        <v>800</v>
      </c>
      <c r="S181" s="54" t="n">
        <v>0</v>
      </c>
      <c r="T181" s="54" t="n">
        <v>5</v>
      </c>
      <c r="U181" s="54" t="n">
        <v>0</v>
      </c>
      <c r="V181" s="54" t="n">
        <v>0</v>
      </c>
      <c r="W181" s="54" t="n">
        <v>0</v>
      </c>
      <c r="X181" s="54" t="n">
        <v>539.4</v>
      </c>
    </row>
    <row r="182">
      <c r="A182" s="54" t="inlineStr">
        <is>
          <t>Mangosteen shell</t>
        </is>
      </c>
      <c r="B182" s="54" t="n">
        <v>26.22</v>
      </c>
      <c r="C182" s="54" t="n">
        <v>15.39</v>
      </c>
      <c r="D182" s="54" t="n">
        <v>48.52</v>
      </c>
      <c r="E182" s="54" t="n">
        <v>62.28</v>
      </c>
      <c r="F182" s="54" t="n">
        <v>1.85</v>
      </c>
      <c r="G182" s="54" t="n">
        <v>32.29</v>
      </c>
      <c r="H182" s="54" t="n">
        <v>48.81</v>
      </c>
      <c r="I182" s="54" t="n">
        <v>42.7</v>
      </c>
      <c r="J182" s="54" t="n">
        <v>5.73</v>
      </c>
      <c r="K182" s="54" t="n">
        <v>4</v>
      </c>
      <c r="L182" s="54" t="n">
        <v>5</v>
      </c>
      <c r="M182" s="54" t="n">
        <v>0</v>
      </c>
      <c r="N182" s="54" t="n">
        <v>1</v>
      </c>
      <c r="O182" s="54" t="n">
        <v>4</v>
      </c>
      <c r="P182" s="54" t="n">
        <v>120</v>
      </c>
      <c r="Q182" s="54" t="n">
        <v>3</v>
      </c>
      <c r="R182" s="54" t="n">
        <v>900</v>
      </c>
      <c r="S182" s="54" t="n">
        <v>0</v>
      </c>
      <c r="T182" s="54" t="n">
        <v>5</v>
      </c>
      <c r="U182" s="54" t="n">
        <v>0</v>
      </c>
      <c r="V182" s="54" t="n">
        <v>0</v>
      </c>
      <c r="W182" s="54" t="n">
        <v>0</v>
      </c>
      <c r="X182" s="54" t="n">
        <v>358.8</v>
      </c>
    </row>
    <row r="183">
      <c r="A183" s="54" t="inlineStr">
        <is>
          <t>Mangosteen shell</t>
        </is>
      </c>
      <c r="B183" s="54" t="n">
        <v>26.22</v>
      </c>
      <c r="C183" s="54" t="n">
        <v>15.39</v>
      </c>
      <c r="D183" s="54" t="n">
        <v>48.52</v>
      </c>
      <c r="E183" s="54" t="n">
        <v>62.28</v>
      </c>
      <c r="F183" s="54" t="n">
        <v>1.85</v>
      </c>
      <c r="G183" s="54" t="n">
        <v>32.29</v>
      </c>
      <c r="H183" s="54" t="n">
        <v>48.81</v>
      </c>
      <c r="I183" s="54" t="n">
        <v>42.7</v>
      </c>
      <c r="J183" s="54" t="n">
        <v>5.73</v>
      </c>
      <c r="K183" s="54" t="n">
        <v>4</v>
      </c>
      <c r="L183" s="54" t="n">
        <v>5</v>
      </c>
      <c r="M183" s="54" t="n">
        <v>0</v>
      </c>
      <c r="N183" s="54" t="n">
        <v>1</v>
      </c>
      <c r="O183" s="54" t="n">
        <v>4</v>
      </c>
      <c r="P183" s="54" t="n">
        <v>120</v>
      </c>
      <c r="Q183" s="54" t="n">
        <v>3</v>
      </c>
      <c r="R183" s="54" t="n">
        <v>1000</v>
      </c>
      <c r="S183" s="54" t="n">
        <v>0</v>
      </c>
      <c r="T183" s="54" t="n">
        <v>5</v>
      </c>
      <c r="U183" s="54" t="n">
        <v>0</v>
      </c>
      <c r="V183" s="54" t="n">
        <v>0</v>
      </c>
      <c r="W183" s="54" t="n">
        <v>0</v>
      </c>
      <c r="X183" s="54" t="n">
        <v>216.7</v>
      </c>
    </row>
    <row r="184">
      <c r="A184" s="54" t="inlineStr">
        <is>
          <t>Mangosteen shell</t>
        </is>
      </c>
      <c r="B184" s="54" t="n">
        <v>26.22</v>
      </c>
      <c r="C184" s="54" t="n">
        <v>15.39</v>
      </c>
      <c r="D184" s="54" t="n">
        <v>48.52</v>
      </c>
      <c r="E184" s="54" t="n">
        <v>62.28</v>
      </c>
      <c r="F184" s="54" t="n">
        <v>1.85</v>
      </c>
      <c r="G184" s="54" t="n">
        <v>32.29</v>
      </c>
      <c r="H184" s="54" t="n">
        <v>48.81</v>
      </c>
      <c r="I184" s="54" t="n">
        <v>42.7</v>
      </c>
      <c r="J184" s="54" t="n">
        <v>5.73</v>
      </c>
      <c r="K184" s="54" t="n">
        <v>4</v>
      </c>
      <c r="L184" s="54" t="n">
        <v>5</v>
      </c>
      <c r="M184" s="54" t="n">
        <v>0</v>
      </c>
      <c r="N184" s="54" t="n">
        <v>1</v>
      </c>
      <c r="O184" s="54" t="n">
        <v>4</v>
      </c>
      <c r="P184" s="54" t="n">
        <v>120</v>
      </c>
      <c r="Q184" s="54" t="n">
        <v>3</v>
      </c>
      <c r="R184" s="54" t="n">
        <v>1100</v>
      </c>
      <c r="S184" s="54" t="n">
        <v>0</v>
      </c>
      <c r="T184" s="54" t="n">
        <v>5</v>
      </c>
      <c r="U184" s="54" t="n">
        <v>0</v>
      </c>
      <c r="V184" s="54" t="n">
        <v>0</v>
      </c>
      <c r="W184" s="54" t="n">
        <v>0</v>
      </c>
      <c r="X184" s="54" t="n">
        <v>126.6</v>
      </c>
    </row>
    <row r="185">
      <c r="A185" s="54" t="inlineStr">
        <is>
          <t>Mangosteen shell</t>
        </is>
      </c>
      <c r="B185" s="54" t="n">
        <v>26.22</v>
      </c>
      <c r="C185" s="54" t="n">
        <v>15.39</v>
      </c>
      <c r="D185" s="54" t="n">
        <v>48.52</v>
      </c>
      <c r="E185" s="54" t="n">
        <v>62.28</v>
      </c>
      <c r="F185" s="54" t="n">
        <v>1.85</v>
      </c>
      <c r="G185" s="54" t="n">
        <v>32.29</v>
      </c>
      <c r="H185" s="54" t="n">
        <v>48.81</v>
      </c>
      <c r="I185" s="54" t="n">
        <v>42.7</v>
      </c>
      <c r="J185" s="54" t="n">
        <v>5.73</v>
      </c>
      <c r="K185" s="54" t="n">
        <v>4</v>
      </c>
      <c r="L185" s="54" t="n">
        <v>5</v>
      </c>
      <c r="M185" s="54" t="n">
        <v>0</v>
      </c>
      <c r="N185" s="54" t="n">
        <v>1</v>
      </c>
      <c r="O185" s="54" t="n">
        <v>4</v>
      </c>
      <c r="P185" s="54" t="n">
        <v>120</v>
      </c>
      <c r="Q185" s="54" t="n">
        <v>3</v>
      </c>
      <c r="R185" s="54" t="n">
        <v>1200</v>
      </c>
      <c r="S185" s="54" t="n">
        <v>0</v>
      </c>
      <c r="T185" s="54" t="n">
        <v>5</v>
      </c>
      <c r="U185" s="54" t="n">
        <v>0</v>
      </c>
      <c r="V185" s="54" t="n">
        <v>0</v>
      </c>
      <c r="W185" s="54" t="n">
        <v>0</v>
      </c>
      <c r="X185" s="54" t="n">
        <v>101.5</v>
      </c>
    </row>
    <row r="186">
      <c r="A186" s="54" t="inlineStr">
        <is>
          <t>Mangosteen shell</t>
        </is>
      </c>
      <c r="B186" s="54" t="n">
        <v>26.22</v>
      </c>
      <c r="C186" s="54" t="n">
        <v>15.39</v>
      </c>
      <c r="D186" s="54" t="n">
        <v>48.52</v>
      </c>
      <c r="E186" s="54" t="n">
        <v>62.28</v>
      </c>
      <c r="F186" s="54" t="n">
        <v>1.85</v>
      </c>
      <c r="G186" s="54" t="n">
        <v>32.29</v>
      </c>
      <c r="H186" s="54" t="n">
        <v>48.81</v>
      </c>
      <c r="I186" s="54" t="n">
        <v>42.7</v>
      </c>
      <c r="J186" s="54" t="n">
        <v>5.73</v>
      </c>
      <c r="K186" s="54" t="n">
        <v>4</v>
      </c>
      <c r="L186" s="54" t="n">
        <v>5</v>
      </c>
      <c r="M186" s="54" t="n">
        <v>0</v>
      </c>
      <c r="N186" s="54" t="n">
        <v>1</v>
      </c>
      <c r="O186" s="54" t="n">
        <v>4</v>
      </c>
      <c r="P186" s="54" t="n">
        <v>120</v>
      </c>
      <c r="Q186" s="54" t="n">
        <v>3</v>
      </c>
      <c r="R186" s="54" t="n">
        <v>1300</v>
      </c>
      <c r="S186" s="54" t="n">
        <v>0</v>
      </c>
      <c r="T186" s="54" t="n">
        <v>5</v>
      </c>
      <c r="U186" s="54" t="n">
        <v>0</v>
      </c>
      <c r="V186" s="54" t="n">
        <v>0</v>
      </c>
      <c r="W186" s="54" t="n">
        <v>0</v>
      </c>
      <c r="X186" s="54" t="n">
        <v>81.5</v>
      </c>
    </row>
    <row r="187">
      <c r="A187" s="54" t="inlineStr">
        <is>
          <t>Mangosteen shell</t>
        </is>
      </c>
      <c r="B187" s="54" t="n">
        <v>26.22</v>
      </c>
      <c r="C187" s="54" t="n">
        <v>15.39</v>
      </c>
      <c r="D187" s="54" t="n">
        <v>48.52</v>
      </c>
      <c r="E187" s="54" t="n">
        <v>62.28</v>
      </c>
      <c r="F187" s="54" t="n">
        <v>1.85</v>
      </c>
      <c r="G187" s="54" t="n">
        <v>32.29</v>
      </c>
      <c r="H187" s="54" t="n">
        <v>48.81</v>
      </c>
      <c r="I187" s="54" t="n">
        <v>42.7</v>
      </c>
      <c r="J187" s="54" t="n">
        <v>5.73</v>
      </c>
      <c r="K187" s="54" t="n">
        <v>4</v>
      </c>
      <c r="L187" s="54" t="n">
        <v>5</v>
      </c>
      <c r="M187" s="54" t="n">
        <v>0</v>
      </c>
      <c r="N187" s="54" t="n">
        <v>1</v>
      </c>
      <c r="O187" s="54" t="n">
        <v>4</v>
      </c>
      <c r="P187" s="54" t="n">
        <v>120</v>
      </c>
      <c r="Q187" s="54" t="n">
        <v>3</v>
      </c>
      <c r="R187" s="54" t="n">
        <v>1400</v>
      </c>
      <c r="S187" s="54" t="n">
        <v>0</v>
      </c>
      <c r="T187" s="54" t="n">
        <v>5</v>
      </c>
      <c r="U187" s="54" t="n">
        <v>0</v>
      </c>
      <c r="V187" s="54" t="n">
        <v>0</v>
      </c>
      <c r="W187" s="54" t="n">
        <v>0</v>
      </c>
      <c r="X187" s="54" t="n">
        <v>38.8</v>
      </c>
    </row>
    <row r="188">
      <c r="A188" s="54" t="inlineStr">
        <is>
          <t>Mangosteen shell</t>
        </is>
      </c>
      <c r="B188" s="54" t="n">
        <v>26.22</v>
      </c>
      <c r="C188" s="54" t="n">
        <v>15.39</v>
      </c>
      <c r="D188" s="54" t="n">
        <v>48.52</v>
      </c>
      <c r="E188" s="54" t="n">
        <v>62.28</v>
      </c>
      <c r="F188" s="54" t="n">
        <v>1.85</v>
      </c>
      <c r="G188" s="54" t="n">
        <v>32.29</v>
      </c>
      <c r="H188" s="54" t="n">
        <v>48.81</v>
      </c>
      <c r="I188" s="54" t="n">
        <v>42.7</v>
      </c>
      <c r="J188" s="54" t="n">
        <v>5.73</v>
      </c>
      <c r="K188" s="54" t="n">
        <v>4</v>
      </c>
      <c r="L188" s="54" t="n">
        <v>5</v>
      </c>
      <c r="M188" s="54" t="n">
        <v>0</v>
      </c>
      <c r="N188" s="54" t="n">
        <v>1</v>
      </c>
      <c r="O188" s="54" t="n">
        <v>4</v>
      </c>
      <c r="P188" s="54" t="n">
        <v>120</v>
      </c>
      <c r="Q188" s="54" t="n">
        <v>3</v>
      </c>
      <c r="R188" s="54" t="n">
        <v>1500</v>
      </c>
      <c r="S188" s="54" t="n">
        <v>0</v>
      </c>
      <c r="T188" s="54" t="n">
        <v>5</v>
      </c>
      <c r="U188" s="54" t="n">
        <v>0</v>
      </c>
      <c r="V188" s="54" t="n">
        <v>0</v>
      </c>
      <c r="W188" s="54" t="n">
        <v>0</v>
      </c>
      <c r="X188" s="54" t="n">
        <v>8.9</v>
      </c>
    </row>
    <row r="189">
      <c r="A189" s="54" t="inlineStr">
        <is>
          <t>Mangosteen shell</t>
        </is>
      </c>
      <c r="B189" s="54" t="n">
        <v>26.22</v>
      </c>
      <c r="C189" s="54" t="n">
        <v>15.39</v>
      </c>
      <c r="D189" s="54" t="n">
        <v>48.52</v>
      </c>
      <c r="E189" s="54" t="n">
        <v>62.28</v>
      </c>
      <c r="F189" s="54" t="n">
        <v>1.85</v>
      </c>
      <c r="G189" s="54" t="n">
        <v>32.29</v>
      </c>
      <c r="H189" s="54" t="n">
        <v>48.81</v>
      </c>
      <c r="I189" s="54" t="n">
        <v>42.7</v>
      </c>
      <c r="J189" s="54" t="n">
        <v>5.73</v>
      </c>
      <c r="K189" s="54" t="n">
        <v>4</v>
      </c>
      <c r="L189" s="54" t="n">
        <v>5</v>
      </c>
      <c r="M189" s="54" t="n">
        <v>0</v>
      </c>
      <c r="N189" s="54" t="n">
        <v>1</v>
      </c>
      <c r="O189" s="54" t="n">
        <v>4</v>
      </c>
      <c r="P189" s="54" t="n">
        <v>120</v>
      </c>
      <c r="Q189" s="54" t="n">
        <v>3</v>
      </c>
      <c r="R189" s="54" t="n">
        <v>1600</v>
      </c>
      <c r="S189" s="54" t="n">
        <v>0</v>
      </c>
      <c r="T189" s="54" t="n">
        <v>5</v>
      </c>
      <c r="U189" s="54" t="n">
        <v>0</v>
      </c>
      <c r="V189" s="54" t="n">
        <v>0</v>
      </c>
      <c r="W189" s="54" t="n">
        <v>0</v>
      </c>
      <c r="X189" s="54" t="n">
        <v>2.4</v>
      </c>
    </row>
    <row r="190">
      <c r="A190" s="54" t="inlineStr">
        <is>
          <t>Maple tree</t>
        </is>
      </c>
      <c r="B190" s="54" t="n">
        <v>44.6</v>
      </c>
      <c r="C190" s="54" t="n">
        <v>33.1</v>
      </c>
      <c r="D190" s="54" t="n">
        <v>22</v>
      </c>
      <c r="E190" s="54" t="n">
        <v>65.3</v>
      </c>
      <c r="F190" s="54" t="n">
        <v>23.93</v>
      </c>
      <c r="G190" s="54" t="n">
        <v>10.77</v>
      </c>
      <c r="H190" s="54" t="n">
        <v>47.3857750759878</v>
      </c>
      <c r="I190" s="54" t="n">
        <v>42.0079027355623</v>
      </c>
      <c r="J190" s="54" t="n">
        <v>6.9858950617284</v>
      </c>
      <c r="K190" s="54" t="n">
        <v>1</v>
      </c>
      <c r="L190" s="54" t="n">
        <v>5</v>
      </c>
      <c r="M190" s="54" t="n">
        <v>0</v>
      </c>
      <c r="N190" s="54" t="n">
        <v>1</v>
      </c>
      <c r="O190" s="54" t="n">
        <v>4</v>
      </c>
      <c r="P190" s="54" t="n">
        <v>84.6380867969646</v>
      </c>
      <c r="Q190" s="54" t="n">
        <v>4.61026208136205</v>
      </c>
      <c r="R190" s="54" t="n">
        <v>1400</v>
      </c>
      <c r="S190" s="54" t="n">
        <v>0</v>
      </c>
      <c r="T190" s="54" t="n">
        <v>5</v>
      </c>
      <c r="U190" s="54" t="n">
        <v>0</v>
      </c>
      <c r="V190" s="54" t="n">
        <v>0</v>
      </c>
      <c r="W190" s="54" t="n">
        <v>0</v>
      </c>
      <c r="X190" s="54" t="n">
        <v>6.4</v>
      </c>
    </row>
    <row r="191">
      <c r="A191" s="54" t="inlineStr">
        <is>
          <t>Miscanthus</t>
        </is>
      </c>
      <c r="B191" s="54" t="n">
        <v>36.96</v>
      </c>
      <c r="C191" s="54" t="n">
        <v>22.12</v>
      </c>
      <c r="D191" s="54" t="n">
        <v>23.3</v>
      </c>
      <c r="E191" s="54" t="n">
        <v>83.09999999999999</v>
      </c>
      <c r="F191" s="54" t="n">
        <v>1.48</v>
      </c>
      <c r="G191" s="54" t="n">
        <v>5.92</v>
      </c>
      <c r="H191" s="54" t="n">
        <v>45.51</v>
      </c>
      <c r="I191" s="54" t="n">
        <v>37.8</v>
      </c>
      <c r="J191" s="54" t="n">
        <v>5.29</v>
      </c>
      <c r="K191" s="54" t="n">
        <v>4</v>
      </c>
      <c r="L191" s="54" t="n">
        <v>5</v>
      </c>
      <c r="M191" s="54" t="n">
        <v>0</v>
      </c>
      <c r="N191" s="54" t="n">
        <v>1</v>
      </c>
      <c r="O191" s="54" t="n">
        <v>4</v>
      </c>
      <c r="P191" s="54" t="n">
        <v>60</v>
      </c>
      <c r="Q191" s="54" t="n">
        <v>3.3</v>
      </c>
      <c r="R191" s="54" t="n">
        <v>1400</v>
      </c>
      <c r="S191" s="54" t="n">
        <v>0</v>
      </c>
      <c r="T191" s="54" t="n">
        <v>5</v>
      </c>
      <c r="U191" s="54" t="n">
        <v>0</v>
      </c>
      <c r="V191" s="54" t="n">
        <v>0</v>
      </c>
      <c r="W191" s="54" t="n">
        <v>0</v>
      </c>
      <c r="X191" s="54" t="n">
        <v>12</v>
      </c>
    </row>
    <row r="192">
      <c r="A192" s="54" t="inlineStr">
        <is>
          <t>Miscanthus</t>
        </is>
      </c>
      <c r="B192" s="54" t="n">
        <v>36.96</v>
      </c>
      <c r="C192" s="54" t="n">
        <v>22.12</v>
      </c>
      <c r="D192" s="54" t="n">
        <v>23.3</v>
      </c>
      <c r="E192" s="54" t="n">
        <v>83.09999999999999</v>
      </c>
      <c r="F192" s="54" t="n">
        <v>1.48</v>
      </c>
      <c r="G192" s="54" t="n">
        <v>5.92</v>
      </c>
      <c r="H192" s="54" t="n">
        <v>45.51</v>
      </c>
      <c r="I192" s="54" t="n">
        <v>37.8</v>
      </c>
      <c r="J192" s="54" t="n">
        <v>5.29</v>
      </c>
      <c r="K192" s="54" t="n">
        <v>4</v>
      </c>
      <c r="L192" s="54" t="n">
        <v>5</v>
      </c>
      <c r="M192" s="54" t="n">
        <v>0</v>
      </c>
      <c r="N192" s="54" t="n">
        <v>1</v>
      </c>
      <c r="O192" s="54" t="n">
        <v>4</v>
      </c>
      <c r="P192" s="54" t="n">
        <v>60</v>
      </c>
      <c r="Q192" s="54" t="n">
        <v>3.3</v>
      </c>
      <c r="R192" s="54" t="n">
        <v>1000</v>
      </c>
      <c r="S192" s="54" t="n">
        <v>0</v>
      </c>
      <c r="T192" s="54" t="n">
        <v>5</v>
      </c>
      <c r="U192" s="54" t="n">
        <v>0</v>
      </c>
      <c r="V192" s="54" t="n">
        <v>0</v>
      </c>
      <c r="W192" s="54" t="n">
        <v>0</v>
      </c>
      <c r="X192" s="54" t="n">
        <v>11</v>
      </c>
    </row>
    <row r="193">
      <c r="A193" s="54" t="inlineStr">
        <is>
          <t>Miscanthus</t>
        </is>
      </c>
      <c r="B193" s="54" t="n">
        <v>36.96</v>
      </c>
      <c r="C193" s="54" t="n">
        <v>22.12</v>
      </c>
      <c r="D193" s="54" t="n">
        <v>23.3</v>
      </c>
      <c r="E193" s="54" t="n">
        <v>83.09999999999999</v>
      </c>
      <c r="F193" s="54" t="n">
        <v>1.48</v>
      </c>
      <c r="G193" s="54" t="n">
        <v>5.92</v>
      </c>
      <c r="H193" s="54" t="n">
        <v>45.51</v>
      </c>
      <c r="I193" s="54" t="n">
        <v>37.8</v>
      </c>
      <c r="J193" s="54" t="n">
        <v>5.29</v>
      </c>
      <c r="K193" s="54" t="n">
        <v>4</v>
      </c>
      <c r="L193" s="54" t="n">
        <v>5</v>
      </c>
      <c r="M193" s="54" t="n">
        <v>0</v>
      </c>
      <c r="N193" s="54" t="n">
        <v>1</v>
      </c>
      <c r="O193" s="54" t="n">
        <v>4</v>
      </c>
      <c r="P193" s="54" t="n">
        <v>60</v>
      </c>
      <c r="Q193" s="54" t="n">
        <v>3.3</v>
      </c>
      <c r="R193" s="54" t="n">
        <v>1200</v>
      </c>
      <c r="S193" s="54" t="n">
        <v>0</v>
      </c>
      <c r="T193" s="54" t="n">
        <v>5</v>
      </c>
      <c r="U193" s="54" t="n">
        <v>0</v>
      </c>
      <c r="V193" s="54" t="n">
        <v>0</v>
      </c>
      <c r="W193" s="54" t="n">
        <v>0</v>
      </c>
      <c r="X193" s="54" t="n">
        <v>8</v>
      </c>
    </row>
    <row r="194">
      <c r="A194" s="54" t="inlineStr">
        <is>
          <t>Oatmeal</t>
        </is>
      </c>
      <c r="B194" s="54" t="n">
        <v>40.1</v>
      </c>
      <c r="C194" s="54" t="n">
        <v>25.1</v>
      </c>
      <c r="D194" s="54" t="n">
        <v>26.1</v>
      </c>
      <c r="E194" s="54" t="n">
        <v>76.09999999999999</v>
      </c>
      <c r="F194" s="54" t="n">
        <v>6.1</v>
      </c>
      <c r="G194" s="54" t="n">
        <v>16.1</v>
      </c>
      <c r="H194" s="54" t="n">
        <v>48.17</v>
      </c>
      <c r="I194" s="54" t="n">
        <v>45.55</v>
      </c>
      <c r="J194" s="54" t="n">
        <v>6.23</v>
      </c>
      <c r="K194" s="54" t="n">
        <v>4</v>
      </c>
      <c r="L194" s="54" t="n">
        <v>7</v>
      </c>
      <c r="M194" s="54" t="n">
        <v>1</v>
      </c>
      <c r="N194" s="54" t="n">
        <v>0</v>
      </c>
      <c r="O194" s="54" t="n">
        <v>4</v>
      </c>
      <c r="P194" s="54" t="n">
        <v>12</v>
      </c>
      <c r="Q194" s="54" t="n">
        <v>10</v>
      </c>
      <c r="R194" s="54" t="n">
        <v>200</v>
      </c>
      <c r="S194" s="54" t="n">
        <v>1</v>
      </c>
      <c r="T194" s="54" t="n">
        <v>5</v>
      </c>
      <c r="U194" s="54" t="n">
        <v>0</v>
      </c>
      <c r="V194" s="54" t="n">
        <v>0</v>
      </c>
      <c r="W194" s="54" t="n">
        <v>500</v>
      </c>
      <c r="X194" s="54" t="n">
        <v>110.7</v>
      </c>
    </row>
    <row r="195">
      <c r="A195" s="54" t="inlineStr">
        <is>
          <t>Oatmeal</t>
        </is>
      </c>
      <c r="B195" s="54" t="n">
        <v>40.1</v>
      </c>
      <c r="C195" s="54" t="n">
        <v>25.1</v>
      </c>
      <c r="D195" s="54" t="n">
        <v>26.1</v>
      </c>
      <c r="E195" s="54" t="n">
        <v>76.09999999999999</v>
      </c>
      <c r="F195" s="54" t="n">
        <v>6.1</v>
      </c>
      <c r="G195" s="54" t="n">
        <v>16.1</v>
      </c>
      <c r="H195" s="54" t="n">
        <v>48.17</v>
      </c>
      <c r="I195" s="54" t="n">
        <v>45.55</v>
      </c>
      <c r="J195" s="54" t="n">
        <v>6.23</v>
      </c>
      <c r="K195" s="54" t="n">
        <v>4</v>
      </c>
      <c r="L195" s="54" t="n">
        <v>7</v>
      </c>
      <c r="M195" s="54" t="n">
        <v>1</v>
      </c>
      <c r="N195" s="54" t="n">
        <v>0</v>
      </c>
      <c r="O195" s="54" t="n">
        <v>4</v>
      </c>
      <c r="P195" s="54" t="n">
        <v>12</v>
      </c>
      <c r="Q195" s="54" t="n">
        <v>10</v>
      </c>
      <c r="R195" s="54" t="n">
        <v>200</v>
      </c>
      <c r="S195" s="54" t="n">
        <v>1</v>
      </c>
      <c r="T195" s="54" t="n">
        <v>5</v>
      </c>
      <c r="U195" s="54" t="n">
        <v>0</v>
      </c>
      <c r="V195" s="54" t="n">
        <v>0</v>
      </c>
      <c r="W195" s="54" t="n">
        <v>700</v>
      </c>
      <c r="X195" s="54" t="n">
        <v>74.40000000000001</v>
      </c>
    </row>
    <row r="196">
      <c r="A196" s="54" t="inlineStr">
        <is>
          <t>Oatmeal</t>
        </is>
      </c>
      <c r="B196" s="54" t="n">
        <v>40.1</v>
      </c>
      <c r="C196" s="54" t="n">
        <v>25.1</v>
      </c>
      <c r="D196" s="54" t="n">
        <v>26.1</v>
      </c>
      <c r="E196" s="54" t="n">
        <v>76.09999999999999</v>
      </c>
      <c r="F196" s="54" t="n">
        <v>6.1</v>
      </c>
      <c r="G196" s="54" t="n">
        <v>16.1</v>
      </c>
      <c r="H196" s="54" t="n">
        <v>48.17</v>
      </c>
      <c r="I196" s="54" t="n">
        <v>45.55</v>
      </c>
      <c r="J196" s="54" t="n">
        <v>6.23</v>
      </c>
      <c r="K196" s="54" t="n">
        <v>5</v>
      </c>
      <c r="L196" s="54" t="n">
        <v>4</v>
      </c>
      <c r="M196" s="54" t="n">
        <v>0</v>
      </c>
      <c r="N196" s="54" t="n">
        <v>1</v>
      </c>
      <c r="O196" s="54" t="n">
        <v>4</v>
      </c>
      <c r="P196" s="54" t="n">
        <v>120</v>
      </c>
      <c r="Q196" s="54" t="n">
        <v>10</v>
      </c>
      <c r="R196" s="54" t="n">
        <v>1200</v>
      </c>
      <c r="S196" s="54" t="n">
        <v>0</v>
      </c>
      <c r="T196" s="54" t="n">
        <v>5</v>
      </c>
      <c r="U196" s="54" t="n">
        <v>0</v>
      </c>
      <c r="V196" s="54" t="n">
        <v>0</v>
      </c>
      <c r="W196" s="54" t="n">
        <v>0</v>
      </c>
      <c r="X196" s="54" t="n">
        <v>69.8</v>
      </c>
    </row>
    <row r="197">
      <c r="A197" s="54" t="inlineStr">
        <is>
          <t>Oatmeal</t>
        </is>
      </c>
      <c r="B197" s="54" t="n">
        <v>40.1</v>
      </c>
      <c r="C197" s="54" t="n">
        <v>25.1</v>
      </c>
      <c r="D197" s="54" t="n">
        <v>26.1</v>
      </c>
      <c r="E197" s="54" t="n">
        <v>76.09999999999999</v>
      </c>
      <c r="F197" s="54" t="n">
        <v>6.1</v>
      </c>
      <c r="G197" s="54" t="n">
        <v>16.1</v>
      </c>
      <c r="H197" s="54" t="n">
        <v>48.17</v>
      </c>
      <c r="I197" s="54" t="n">
        <v>45.55</v>
      </c>
      <c r="J197" s="54" t="n">
        <v>6.23</v>
      </c>
      <c r="K197" s="54" t="n">
        <v>4</v>
      </c>
      <c r="L197" s="54" t="n">
        <v>7</v>
      </c>
      <c r="M197" s="54" t="n">
        <v>1</v>
      </c>
      <c r="N197" s="54" t="n">
        <v>0</v>
      </c>
      <c r="O197" s="54" t="n">
        <v>4</v>
      </c>
      <c r="P197" s="54" t="n">
        <v>12</v>
      </c>
      <c r="Q197" s="54" t="n">
        <v>10</v>
      </c>
      <c r="R197" s="54" t="n">
        <v>200</v>
      </c>
      <c r="S197" s="54" t="n">
        <v>1</v>
      </c>
      <c r="T197" s="54" t="n">
        <v>5</v>
      </c>
      <c r="U197" s="54" t="n">
        <v>0</v>
      </c>
      <c r="V197" s="54" t="n">
        <v>0</v>
      </c>
      <c r="W197" s="54" t="n">
        <v>900</v>
      </c>
      <c r="X197" s="54" t="n">
        <v>22.8</v>
      </c>
    </row>
    <row r="198">
      <c r="A198" s="54" t="inlineStr">
        <is>
          <t>Oatmeal</t>
        </is>
      </c>
      <c r="B198" s="54" t="n">
        <v>40.1</v>
      </c>
      <c r="C198" s="54" t="n">
        <v>25.1</v>
      </c>
      <c r="D198" s="54" t="n">
        <v>26.1</v>
      </c>
      <c r="E198" s="54" t="n">
        <v>76.09999999999999</v>
      </c>
      <c r="F198" s="54" t="n">
        <v>6.1</v>
      </c>
      <c r="G198" s="54" t="n">
        <v>16.1</v>
      </c>
      <c r="H198" s="54" t="n">
        <v>48.17</v>
      </c>
      <c r="I198" s="54" t="n">
        <v>45.55</v>
      </c>
      <c r="J198" s="54" t="n">
        <v>6.23</v>
      </c>
      <c r="K198" s="54" t="n">
        <v>4</v>
      </c>
      <c r="L198" s="54" t="n">
        <v>7</v>
      </c>
      <c r="M198" s="54" t="n">
        <v>1</v>
      </c>
      <c r="N198" s="54" t="n">
        <v>0</v>
      </c>
      <c r="O198" s="54" t="n">
        <v>4</v>
      </c>
      <c r="P198" s="54" t="n">
        <v>12</v>
      </c>
      <c r="Q198" s="54" t="n">
        <v>10</v>
      </c>
      <c r="R198" s="54" t="n">
        <v>200</v>
      </c>
      <c r="S198" s="54" t="n">
        <v>1</v>
      </c>
      <c r="T198" s="54" t="n">
        <v>5</v>
      </c>
      <c r="U198" s="54" t="n">
        <v>0</v>
      </c>
      <c r="V198" s="54" t="n">
        <v>0</v>
      </c>
      <c r="W198" s="54" t="n">
        <v>300</v>
      </c>
      <c r="X198" s="54" t="n">
        <v>5.8</v>
      </c>
    </row>
    <row r="199">
      <c r="A199" s="54" t="inlineStr">
        <is>
          <t>Olive Shells</t>
        </is>
      </c>
      <c r="B199" s="54" t="n">
        <v>53.5</v>
      </c>
      <c r="C199" s="54" t="n">
        <v>22.3</v>
      </c>
      <c r="D199" s="54" t="n">
        <v>22.5</v>
      </c>
      <c r="E199" s="54" t="n">
        <v>89.3</v>
      </c>
      <c r="F199" s="54" t="n">
        <v>0.6</v>
      </c>
      <c r="G199" s="54" t="n">
        <v>10</v>
      </c>
      <c r="H199" s="54" t="n">
        <v>49.5</v>
      </c>
      <c r="I199" s="54" t="n">
        <v>40.7</v>
      </c>
      <c r="J199" s="54" t="n">
        <v>6.4</v>
      </c>
      <c r="K199" s="54" t="n">
        <v>4</v>
      </c>
      <c r="L199" s="54" t="n">
        <v>5</v>
      </c>
      <c r="M199" s="54" t="n">
        <v>1</v>
      </c>
      <c r="N199" s="54" t="n">
        <v>1</v>
      </c>
      <c r="O199" s="54" t="n">
        <v>4</v>
      </c>
      <c r="P199" s="54" t="n">
        <v>120</v>
      </c>
      <c r="Q199" s="54" t="n">
        <v>5</v>
      </c>
      <c r="R199" s="54" t="n">
        <v>300</v>
      </c>
      <c r="S199" s="54" t="n">
        <v>1</v>
      </c>
      <c r="T199" s="54" t="n">
        <v>5</v>
      </c>
      <c r="U199" s="54" t="n">
        <v>120</v>
      </c>
      <c r="V199" s="54" t="n">
        <v>5</v>
      </c>
      <c r="W199" s="54" t="n">
        <v>1300</v>
      </c>
      <c r="X199" s="54" t="n">
        <v>9.800000000000001</v>
      </c>
    </row>
    <row r="200">
      <c r="A200" s="54" t="inlineStr">
        <is>
          <t>Olive Shells</t>
        </is>
      </c>
      <c r="B200" s="54" t="n">
        <v>53.5</v>
      </c>
      <c r="C200" s="54" t="n">
        <v>22.3</v>
      </c>
      <c r="D200" s="54" t="n">
        <v>22.5</v>
      </c>
      <c r="E200" s="54" t="n">
        <v>89.3</v>
      </c>
      <c r="F200" s="54" t="n">
        <v>0.6</v>
      </c>
      <c r="G200" s="54" t="n">
        <v>10</v>
      </c>
      <c r="H200" s="54" t="n">
        <v>49.5</v>
      </c>
      <c r="I200" s="54" t="n">
        <v>40.7</v>
      </c>
      <c r="J200" s="54" t="n">
        <v>6.4</v>
      </c>
      <c r="K200" s="54" t="n">
        <v>4</v>
      </c>
      <c r="L200" s="54" t="n">
        <v>5</v>
      </c>
      <c r="M200" s="54" t="n">
        <v>1</v>
      </c>
      <c r="N200" s="54" t="n">
        <v>1</v>
      </c>
      <c r="O200" s="54" t="n">
        <v>4</v>
      </c>
      <c r="P200" s="54" t="n">
        <v>120</v>
      </c>
      <c r="Q200" s="54" t="n">
        <v>5</v>
      </c>
      <c r="R200" s="54" t="n">
        <v>300</v>
      </c>
      <c r="S200" s="54" t="n">
        <v>1</v>
      </c>
      <c r="T200" s="54" t="n">
        <v>5</v>
      </c>
      <c r="U200" s="54" t="n">
        <v>120</v>
      </c>
      <c r="V200" s="54" t="n">
        <v>5</v>
      </c>
      <c r="W200" s="54" t="n">
        <v>1300</v>
      </c>
      <c r="X200" s="54" t="n">
        <v>9.1</v>
      </c>
    </row>
    <row r="201">
      <c r="A201" s="54" t="inlineStr">
        <is>
          <t>Olive Shells</t>
        </is>
      </c>
      <c r="B201" s="54" t="n">
        <v>53.5</v>
      </c>
      <c r="C201" s="54" t="n">
        <v>22.3</v>
      </c>
      <c r="D201" s="54" t="n">
        <v>22.5</v>
      </c>
      <c r="E201" s="54" t="n">
        <v>89.3</v>
      </c>
      <c r="F201" s="54" t="n">
        <v>0.6</v>
      </c>
      <c r="G201" s="54" t="n">
        <v>10</v>
      </c>
      <c r="H201" s="54" t="n">
        <v>49.5</v>
      </c>
      <c r="I201" s="54" t="n">
        <v>40.7</v>
      </c>
      <c r="J201" s="54" t="n">
        <v>6.4</v>
      </c>
      <c r="K201" s="54" t="n">
        <v>4</v>
      </c>
      <c r="L201" s="54" t="n">
        <v>5</v>
      </c>
      <c r="M201" s="54" t="n">
        <v>1</v>
      </c>
      <c r="N201" s="54" t="n">
        <v>1</v>
      </c>
      <c r="O201" s="54" t="n">
        <v>4</v>
      </c>
      <c r="P201" s="54" t="n">
        <v>120</v>
      </c>
      <c r="Q201" s="54" t="n">
        <v>5</v>
      </c>
      <c r="R201" s="54" t="n">
        <v>300</v>
      </c>
      <c r="S201" s="54" t="n">
        <v>1</v>
      </c>
      <c r="T201" s="54" t="n">
        <v>5</v>
      </c>
      <c r="U201" s="54" t="n">
        <v>120</v>
      </c>
      <c r="V201" s="54" t="n">
        <v>5</v>
      </c>
      <c r="W201" s="54" t="n">
        <v>1300</v>
      </c>
      <c r="X201" s="54" t="n">
        <v>4.2</v>
      </c>
    </row>
    <row r="202">
      <c r="A202" s="54" t="inlineStr">
        <is>
          <t>Olive Shells</t>
        </is>
      </c>
      <c r="B202" s="54" t="n">
        <v>53.5</v>
      </c>
      <c r="C202" s="54" t="n">
        <v>22.3</v>
      </c>
      <c r="D202" s="54" t="n">
        <v>22.5</v>
      </c>
      <c r="E202" s="54" t="n">
        <v>89.3</v>
      </c>
      <c r="F202" s="54" t="n">
        <v>0.6</v>
      </c>
      <c r="G202" s="54" t="n">
        <v>10</v>
      </c>
      <c r="H202" s="54" t="n">
        <v>49.5</v>
      </c>
      <c r="I202" s="54" t="n">
        <v>40.7</v>
      </c>
      <c r="J202" s="54" t="n">
        <v>6.4</v>
      </c>
      <c r="K202" s="54" t="n">
        <v>4</v>
      </c>
      <c r="L202" s="54" t="n">
        <v>5</v>
      </c>
      <c r="M202" s="54" t="n">
        <v>0</v>
      </c>
      <c r="N202" s="54" t="n">
        <v>1</v>
      </c>
      <c r="O202" s="54" t="n">
        <v>4</v>
      </c>
      <c r="P202" s="54" t="n">
        <v>120</v>
      </c>
      <c r="Q202" s="54" t="n">
        <v>5</v>
      </c>
      <c r="R202" s="54" t="n">
        <v>1400</v>
      </c>
      <c r="S202" s="54" t="n">
        <v>0</v>
      </c>
      <c r="T202" s="54" t="n">
        <v>5</v>
      </c>
      <c r="U202" s="54" t="n">
        <v>0</v>
      </c>
      <c r="V202" s="54" t="n">
        <v>0</v>
      </c>
      <c r="W202" s="54" t="n">
        <v>0</v>
      </c>
      <c r="X202" s="54" t="n">
        <v>3.4</v>
      </c>
    </row>
    <row r="203">
      <c r="A203" s="54" t="inlineStr">
        <is>
          <t>Olive Shells</t>
        </is>
      </c>
      <c r="B203" s="54" t="n">
        <v>53.5</v>
      </c>
      <c r="C203" s="54" t="n">
        <v>22.3</v>
      </c>
      <c r="D203" s="54" t="n">
        <v>22.5</v>
      </c>
      <c r="E203" s="54" t="n">
        <v>89.3</v>
      </c>
      <c r="F203" s="54" t="n">
        <v>0.6</v>
      </c>
      <c r="G203" s="54" t="n">
        <v>10</v>
      </c>
      <c r="H203" s="54" t="n">
        <v>49.5</v>
      </c>
      <c r="I203" s="54" t="n">
        <v>40.7</v>
      </c>
      <c r="J203" s="54" t="n">
        <v>6.4</v>
      </c>
      <c r="K203" s="54" t="n">
        <v>4</v>
      </c>
      <c r="L203" s="54" t="n">
        <v>5</v>
      </c>
      <c r="M203" s="54" t="n">
        <v>0</v>
      </c>
      <c r="N203" s="54" t="n">
        <v>1</v>
      </c>
      <c r="O203" s="54" t="n">
        <v>4</v>
      </c>
      <c r="P203" s="54" t="n">
        <v>120</v>
      </c>
      <c r="Q203" s="54" t="n">
        <v>5</v>
      </c>
      <c r="R203" s="54" t="n">
        <v>1300</v>
      </c>
      <c r="S203" s="54" t="n">
        <v>0</v>
      </c>
      <c r="T203" s="54" t="n">
        <v>5</v>
      </c>
      <c r="U203" s="54" t="n">
        <v>0</v>
      </c>
      <c r="V203" s="54" t="n">
        <v>0</v>
      </c>
      <c r="W203" s="54" t="n">
        <v>0</v>
      </c>
      <c r="X203" s="54" t="n">
        <v>2.6</v>
      </c>
    </row>
    <row r="204">
      <c r="A204" s="54" t="inlineStr">
        <is>
          <t>Olive Shells</t>
        </is>
      </c>
      <c r="B204" s="54" t="n">
        <v>53.5</v>
      </c>
      <c r="C204" s="54" t="n">
        <v>22.3</v>
      </c>
      <c r="D204" s="54" t="n">
        <v>22.5</v>
      </c>
      <c r="E204" s="54" t="n">
        <v>89.3</v>
      </c>
      <c r="F204" s="54" t="n">
        <v>0.6</v>
      </c>
      <c r="G204" s="54" t="n">
        <v>10</v>
      </c>
      <c r="H204" s="54" t="n">
        <v>49.5</v>
      </c>
      <c r="I204" s="54" t="n">
        <v>40.7</v>
      </c>
      <c r="J204" s="54" t="n">
        <v>6.4</v>
      </c>
      <c r="K204" s="54" t="n">
        <v>4</v>
      </c>
      <c r="L204" s="54" t="n">
        <v>5</v>
      </c>
      <c r="M204" s="54" t="n">
        <v>0</v>
      </c>
      <c r="N204" s="54" t="n">
        <v>1</v>
      </c>
      <c r="O204" s="54" t="n">
        <v>4</v>
      </c>
      <c r="P204" s="54" t="n">
        <v>120</v>
      </c>
      <c r="Q204" s="54" t="n">
        <v>5</v>
      </c>
      <c r="R204" s="54" t="n">
        <v>1200</v>
      </c>
      <c r="S204" s="54" t="n">
        <v>0</v>
      </c>
      <c r="T204" s="54" t="n">
        <v>5</v>
      </c>
      <c r="U204" s="54" t="n">
        <v>0</v>
      </c>
      <c r="V204" s="54" t="n">
        <v>0</v>
      </c>
      <c r="W204" s="54" t="n">
        <v>0</v>
      </c>
      <c r="X204" s="54" t="n">
        <v>2.2</v>
      </c>
    </row>
    <row r="205">
      <c r="A205" s="54" t="inlineStr">
        <is>
          <t>Olive stone</t>
        </is>
      </c>
      <c r="B205" s="54" t="n">
        <v>53.5</v>
      </c>
      <c r="C205" s="54" t="n">
        <v>22.3</v>
      </c>
      <c r="D205" s="54" t="n">
        <v>22.5</v>
      </c>
      <c r="E205" s="54" t="n">
        <v>89.3</v>
      </c>
      <c r="F205" s="54" t="n">
        <v>0.6</v>
      </c>
      <c r="G205" s="54" t="n">
        <v>10</v>
      </c>
      <c r="H205" s="54" t="n">
        <v>49.5</v>
      </c>
      <c r="I205" s="54" t="n">
        <v>40.7</v>
      </c>
      <c r="J205" s="54" t="n">
        <v>6.4</v>
      </c>
      <c r="K205" s="54" t="n">
        <v>4</v>
      </c>
      <c r="L205" s="54" t="n">
        <v>5</v>
      </c>
      <c r="M205" s="54" t="n">
        <v>0</v>
      </c>
      <c r="N205" s="54" t="n">
        <v>1</v>
      </c>
      <c r="O205" s="54" t="n">
        <v>4</v>
      </c>
      <c r="P205" s="54" t="n">
        <v>120</v>
      </c>
      <c r="Q205" s="54" t="n">
        <v>5</v>
      </c>
      <c r="R205" s="54" t="n">
        <v>800</v>
      </c>
      <c r="S205" s="54" t="n">
        <v>0</v>
      </c>
      <c r="T205" s="54" t="n">
        <v>5</v>
      </c>
      <c r="U205" s="54" t="n">
        <v>0</v>
      </c>
      <c r="V205" s="54" t="n">
        <v>0</v>
      </c>
      <c r="W205" s="54" t="n">
        <v>0</v>
      </c>
      <c r="X205" s="54" t="n">
        <v>189.5</v>
      </c>
    </row>
    <row r="206">
      <c r="A206" s="54" t="inlineStr">
        <is>
          <t>Olive stone</t>
        </is>
      </c>
      <c r="B206" s="54" t="n">
        <v>53.5</v>
      </c>
      <c r="C206" s="54" t="n">
        <v>22.3</v>
      </c>
      <c r="D206" s="54" t="n">
        <v>22.5</v>
      </c>
      <c r="E206" s="54" t="n">
        <v>89.3</v>
      </c>
      <c r="F206" s="54" t="n">
        <v>0.6</v>
      </c>
      <c r="G206" s="54" t="n">
        <v>10</v>
      </c>
      <c r="H206" s="54" t="n">
        <v>49.5</v>
      </c>
      <c r="I206" s="54" t="n">
        <v>40.7</v>
      </c>
      <c r="J206" s="54" t="n">
        <v>6.4</v>
      </c>
      <c r="K206" s="54" t="n">
        <v>4</v>
      </c>
      <c r="L206" s="54" t="n">
        <v>5</v>
      </c>
      <c r="M206" s="54" t="n">
        <v>0</v>
      </c>
      <c r="N206" s="54" t="n">
        <v>1</v>
      </c>
      <c r="O206" s="54" t="n">
        <v>4</v>
      </c>
      <c r="P206" s="54" t="n">
        <v>120</v>
      </c>
      <c r="Q206" s="54" t="n">
        <v>5</v>
      </c>
      <c r="R206" s="54" t="n">
        <v>1000</v>
      </c>
      <c r="S206" s="54" t="n">
        <v>0</v>
      </c>
      <c r="T206" s="54" t="n">
        <v>5</v>
      </c>
      <c r="U206" s="54" t="n">
        <v>0</v>
      </c>
      <c r="V206" s="54" t="n">
        <v>0</v>
      </c>
      <c r="W206" s="54" t="n">
        <v>0</v>
      </c>
      <c r="X206" s="54" t="n">
        <v>64.8</v>
      </c>
    </row>
    <row r="207">
      <c r="A207" s="54" t="inlineStr">
        <is>
          <t>Olive stone</t>
        </is>
      </c>
      <c r="B207" s="54" t="n">
        <v>53.5</v>
      </c>
      <c r="C207" s="54" t="n">
        <v>22.3</v>
      </c>
      <c r="D207" s="54" t="n">
        <v>22.5</v>
      </c>
      <c r="E207" s="54" t="n">
        <v>89.3</v>
      </c>
      <c r="F207" s="54" t="n">
        <v>0.6</v>
      </c>
      <c r="G207" s="54" t="n">
        <v>10</v>
      </c>
      <c r="H207" s="54" t="n">
        <v>49.5</v>
      </c>
      <c r="I207" s="54" t="n">
        <v>40.7</v>
      </c>
      <c r="J207" s="54" t="n">
        <v>6.4</v>
      </c>
      <c r="K207" s="54" t="n">
        <v>4</v>
      </c>
      <c r="L207" s="54" t="n">
        <v>5</v>
      </c>
      <c r="M207" s="54" t="n">
        <v>0</v>
      </c>
      <c r="N207" s="54" t="n">
        <v>1</v>
      </c>
      <c r="O207" s="54" t="n">
        <v>4</v>
      </c>
      <c r="P207" s="54" t="n">
        <v>120</v>
      </c>
      <c r="Q207" s="54" t="n">
        <v>5</v>
      </c>
      <c r="R207" s="54" t="n">
        <v>1200</v>
      </c>
      <c r="S207" s="54" t="n">
        <v>0</v>
      </c>
      <c r="T207" s="54" t="n">
        <v>5</v>
      </c>
      <c r="U207" s="54" t="n">
        <v>0</v>
      </c>
      <c r="V207" s="54" t="n">
        <v>0</v>
      </c>
      <c r="W207" s="54" t="n">
        <v>0</v>
      </c>
      <c r="X207" s="54" t="n">
        <v>48.7</v>
      </c>
    </row>
    <row r="208">
      <c r="A208" s="54" t="inlineStr">
        <is>
          <t>Olive stone</t>
        </is>
      </c>
      <c r="B208" s="54" t="n">
        <v>53.5</v>
      </c>
      <c r="C208" s="54" t="n">
        <v>22.3</v>
      </c>
      <c r="D208" s="54" t="n">
        <v>22.5</v>
      </c>
      <c r="E208" s="54" t="n">
        <v>89.3</v>
      </c>
      <c r="F208" s="54" t="n">
        <v>0.6</v>
      </c>
      <c r="G208" s="54" t="n">
        <v>10</v>
      </c>
      <c r="H208" s="54" t="n">
        <v>49.5</v>
      </c>
      <c r="I208" s="54" t="n">
        <v>40.7</v>
      </c>
      <c r="J208" s="54" t="n">
        <v>6.4</v>
      </c>
      <c r="K208" s="54" t="n">
        <v>4</v>
      </c>
      <c r="L208" s="54" t="n">
        <v>5</v>
      </c>
      <c r="M208" s="54" t="n">
        <v>0</v>
      </c>
      <c r="N208" s="54" t="n">
        <v>1</v>
      </c>
      <c r="O208" s="54" t="n">
        <v>4</v>
      </c>
      <c r="P208" s="54" t="n">
        <v>120</v>
      </c>
      <c r="Q208" s="54" t="n">
        <v>5</v>
      </c>
      <c r="R208" s="54" t="n">
        <v>2000</v>
      </c>
      <c r="S208" s="54" t="n">
        <v>0</v>
      </c>
      <c r="T208" s="54" t="n">
        <v>5</v>
      </c>
      <c r="U208" s="54" t="n">
        <v>0</v>
      </c>
      <c r="V208" s="54" t="n">
        <v>0</v>
      </c>
      <c r="W208" s="54" t="n">
        <v>0</v>
      </c>
      <c r="X208" s="54" t="n">
        <v>6.8</v>
      </c>
    </row>
    <row r="209">
      <c r="A209" s="54" t="inlineStr">
        <is>
          <t>Olive stone</t>
        </is>
      </c>
      <c r="B209" s="54" t="n">
        <v>53.5</v>
      </c>
      <c r="C209" s="54" t="n">
        <v>22.3</v>
      </c>
      <c r="D209" s="54" t="n">
        <v>22.5</v>
      </c>
      <c r="E209" s="54" t="n">
        <v>89.3</v>
      </c>
      <c r="F209" s="54" t="n">
        <v>0.6</v>
      </c>
      <c r="G209" s="54" t="n">
        <v>10</v>
      </c>
      <c r="H209" s="54" t="n">
        <v>49.5</v>
      </c>
      <c r="I209" s="54" t="n">
        <v>40.7</v>
      </c>
      <c r="J209" s="54" t="n">
        <v>6.4</v>
      </c>
      <c r="K209" s="54" t="n">
        <v>4</v>
      </c>
      <c r="L209" s="54" t="n">
        <v>5</v>
      </c>
      <c r="M209" s="54" t="n">
        <v>0</v>
      </c>
      <c r="N209" s="54" t="n">
        <v>1</v>
      </c>
      <c r="O209" s="54" t="n">
        <v>4</v>
      </c>
      <c r="P209" s="54" t="n">
        <v>120</v>
      </c>
      <c r="Q209" s="54" t="n">
        <v>5</v>
      </c>
      <c r="R209" s="54" t="n">
        <v>1400</v>
      </c>
      <c r="S209" s="54" t="n">
        <v>0</v>
      </c>
      <c r="T209" s="54" t="n">
        <v>5</v>
      </c>
      <c r="U209" s="54" t="n">
        <v>0</v>
      </c>
      <c r="V209" s="54" t="n">
        <v>0</v>
      </c>
      <c r="W209" s="54" t="n">
        <v>0</v>
      </c>
      <c r="X209" s="54" t="n">
        <v>4.1</v>
      </c>
    </row>
    <row r="210">
      <c r="A210" s="54" t="inlineStr">
        <is>
          <t>Olive stone</t>
        </is>
      </c>
      <c r="B210" s="54" t="n">
        <v>53.5</v>
      </c>
      <c r="C210" s="54" t="n">
        <v>22.3</v>
      </c>
      <c r="D210" s="54" t="n">
        <v>22.5</v>
      </c>
      <c r="E210" s="54" t="n">
        <v>89.3</v>
      </c>
      <c r="F210" s="54" t="n">
        <v>0.6</v>
      </c>
      <c r="G210" s="54" t="n">
        <v>10</v>
      </c>
      <c r="H210" s="54" t="n">
        <v>49.5</v>
      </c>
      <c r="I210" s="54" t="n">
        <v>40.7</v>
      </c>
      <c r="J210" s="54" t="n">
        <v>6.4</v>
      </c>
      <c r="K210" s="54" t="n">
        <v>4</v>
      </c>
      <c r="L210" s="54" t="n">
        <v>5</v>
      </c>
      <c r="M210" s="54" t="n">
        <v>0</v>
      </c>
      <c r="N210" s="54" t="n">
        <v>1</v>
      </c>
      <c r="O210" s="54" t="n">
        <v>4</v>
      </c>
      <c r="P210" s="54" t="n">
        <v>120</v>
      </c>
      <c r="Q210" s="54" t="n">
        <v>5</v>
      </c>
      <c r="R210" s="54" t="n">
        <v>1600</v>
      </c>
      <c r="S210" s="54" t="n">
        <v>0</v>
      </c>
      <c r="T210" s="54" t="n">
        <v>5</v>
      </c>
      <c r="U210" s="54" t="n">
        <v>0</v>
      </c>
      <c r="V210" s="54" t="n">
        <v>0</v>
      </c>
      <c r="W210" s="54" t="n">
        <v>0</v>
      </c>
      <c r="X210" s="54" t="n">
        <v>3.6</v>
      </c>
    </row>
    <row r="211">
      <c r="A211" s="54" t="inlineStr">
        <is>
          <t>Orange peel</t>
        </is>
      </c>
      <c r="B211" s="54" t="n">
        <v>25</v>
      </c>
      <c r="C211" s="54" t="n">
        <v>17</v>
      </c>
      <c r="D211" s="54" t="n">
        <v>27.5417082004942</v>
      </c>
      <c r="E211" s="54" t="n">
        <v>79.02</v>
      </c>
      <c r="F211" s="54" t="n">
        <v>3.43</v>
      </c>
      <c r="G211" s="54" t="n">
        <v>17.54</v>
      </c>
      <c r="H211" s="54" t="n">
        <v>46.04</v>
      </c>
      <c r="I211" s="54" t="n">
        <v>36.89</v>
      </c>
      <c r="J211" s="54" t="n">
        <v>5.54</v>
      </c>
      <c r="K211" s="54" t="n">
        <v>6</v>
      </c>
      <c r="L211" s="54" t="n">
        <v>1</v>
      </c>
      <c r="M211" s="54" t="n">
        <v>0</v>
      </c>
      <c r="N211" s="54" t="n">
        <v>1</v>
      </c>
      <c r="O211" s="54" t="n">
        <v>1</v>
      </c>
      <c r="P211" s="54" t="n">
        <v>60</v>
      </c>
      <c r="Q211" s="54" t="n">
        <v>3</v>
      </c>
      <c r="R211" s="54" t="n">
        <v>700</v>
      </c>
      <c r="S211" s="54" t="n">
        <v>0</v>
      </c>
      <c r="T211" s="54" t="n">
        <v>5</v>
      </c>
      <c r="U211" s="54" t="n">
        <v>0</v>
      </c>
      <c r="V211" s="54" t="n">
        <v>0</v>
      </c>
      <c r="W211" s="54" t="n">
        <v>0</v>
      </c>
      <c r="X211" s="54" t="n">
        <v>638</v>
      </c>
    </row>
    <row r="212">
      <c r="A212" s="54" t="inlineStr">
        <is>
          <t>Palm Leaves</t>
        </is>
      </c>
      <c r="B212" s="54" t="n">
        <v>40.21</v>
      </c>
      <c r="C212" s="54" t="n">
        <v>12.8</v>
      </c>
      <c r="D212" s="54" t="n">
        <v>32.2</v>
      </c>
      <c r="E212" s="54" t="n">
        <v>77.5</v>
      </c>
      <c r="F212" s="54" t="n">
        <v>12.1</v>
      </c>
      <c r="G212" s="54" t="n">
        <v>6.1</v>
      </c>
      <c r="H212" s="54" t="n">
        <v>50.4</v>
      </c>
      <c r="I212" s="54" t="n">
        <v>41.8</v>
      </c>
      <c r="J212" s="54" t="n">
        <v>6.3</v>
      </c>
      <c r="K212" s="54" t="n">
        <v>1</v>
      </c>
      <c r="L212" s="54" t="n">
        <v>5</v>
      </c>
      <c r="M212" s="54" t="n">
        <v>0</v>
      </c>
      <c r="N212" s="54" t="n">
        <v>1</v>
      </c>
      <c r="O212" s="54" t="n">
        <v>4</v>
      </c>
      <c r="P212" s="54" t="n">
        <v>173.387384627255</v>
      </c>
      <c r="Q212" s="54" t="n">
        <v>3.9670801835631</v>
      </c>
      <c r="R212" s="54" t="n">
        <v>1100</v>
      </c>
      <c r="S212" s="54" t="n">
        <v>0</v>
      </c>
      <c r="T212" s="54" t="n">
        <v>5</v>
      </c>
      <c r="U212" s="54" t="n">
        <v>0</v>
      </c>
      <c r="V212" s="54" t="n">
        <v>0</v>
      </c>
      <c r="W212" s="54" t="n">
        <v>0</v>
      </c>
      <c r="X212" s="54" t="n">
        <v>335.47</v>
      </c>
    </row>
    <row r="213">
      <c r="A213" s="54" t="inlineStr">
        <is>
          <t>Palm Leaves</t>
        </is>
      </c>
      <c r="B213" s="54" t="n">
        <v>40.21</v>
      </c>
      <c r="C213" s="54" t="n">
        <v>12.8</v>
      </c>
      <c r="D213" s="54" t="n">
        <v>32.2</v>
      </c>
      <c r="E213" s="54" t="n">
        <v>77.5</v>
      </c>
      <c r="F213" s="54" t="n">
        <v>12.1</v>
      </c>
      <c r="G213" s="54" t="n">
        <v>6.1</v>
      </c>
      <c r="H213" s="54" t="n">
        <v>50.4</v>
      </c>
      <c r="I213" s="54" t="n">
        <v>41.8</v>
      </c>
      <c r="J213" s="54" t="n">
        <v>6.3</v>
      </c>
      <c r="K213" s="54" t="n">
        <v>1</v>
      </c>
      <c r="L213" s="54" t="n">
        <v>5</v>
      </c>
      <c r="M213" s="54" t="n">
        <v>0</v>
      </c>
      <c r="N213" s="54" t="n">
        <v>1</v>
      </c>
      <c r="O213" s="54" t="n">
        <v>4</v>
      </c>
      <c r="P213" s="54" t="n">
        <v>173.387386548793</v>
      </c>
      <c r="Q213" s="54" t="n">
        <v>3.96708018134618</v>
      </c>
      <c r="R213" s="54" t="n">
        <v>800</v>
      </c>
      <c r="S213" s="54" t="n">
        <v>0</v>
      </c>
      <c r="T213" s="54" t="n">
        <v>5</v>
      </c>
      <c r="U213" s="54" t="n">
        <v>0</v>
      </c>
      <c r="V213" s="54" t="n">
        <v>0</v>
      </c>
      <c r="W213" s="54" t="n">
        <v>0</v>
      </c>
      <c r="X213" s="54" t="n">
        <v>253.56</v>
      </c>
    </row>
    <row r="214">
      <c r="A214" s="54" t="inlineStr">
        <is>
          <t>Palm Leaves</t>
        </is>
      </c>
      <c r="B214" s="54" t="n">
        <v>40.21</v>
      </c>
      <c r="C214" s="54" t="n">
        <v>12.8</v>
      </c>
      <c r="D214" s="54" t="n">
        <v>32.2</v>
      </c>
      <c r="E214" s="54" t="n">
        <v>77.5</v>
      </c>
      <c r="F214" s="54" t="n">
        <v>12.1</v>
      </c>
      <c r="G214" s="54" t="n">
        <v>6.1</v>
      </c>
      <c r="H214" s="54" t="n">
        <v>50.4</v>
      </c>
      <c r="I214" s="54" t="n">
        <v>41.8</v>
      </c>
      <c r="J214" s="54" t="n">
        <v>6.3</v>
      </c>
      <c r="K214" s="54" t="n">
        <v>1</v>
      </c>
      <c r="L214" s="54" t="n">
        <v>5</v>
      </c>
      <c r="M214" s="54" t="n">
        <v>0</v>
      </c>
      <c r="N214" s="54" t="n">
        <v>1</v>
      </c>
      <c r="O214" s="54" t="n">
        <v>4</v>
      </c>
      <c r="P214" s="54" t="n">
        <v>173.387384627255</v>
      </c>
      <c r="Q214" s="54" t="n">
        <v>3.9670801835631</v>
      </c>
      <c r="R214" s="54" t="n">
        <v>1000</v>
      </c>
      <c r="S214" s="54" t="n">
        <v>0</v>
      </c>
      <c r="T214" s="54" t="n">
        <v>5</v>
      </c>
      <c r="U214" s="54" t="n">
        <v>0</v>
      </c>
      <c r="V214" s="54" t="n">
        <v>0</v>
      </c>
      <c r="W214" s="54" t="n">
        <v>0</v>
      </c>
      <c r="X214" s="54" t="n">
        <v>38.65</v>
      </c>
    </row>
    <row r="215">
      <c r="A215" s="54" t="inlineStr">
        <is>
          <t>Palm Leaves</t>
        </is>
      </c>
      <c r="B215" s="54" t="n">
        <v>40.21</v>
      </c>
      <c r="C215" s="54" t="n">
        <v>12.8</v>
      </c>
      <c r="D215" s="54" t="n">
        <v>32.2</v>
      </c>
      <c r="E215" s="54" t="n">
        <v>77.5</v>
      </c>
      <c r="F215" s="54" t="n">
        <v>12.1</v>
      </c>
      <c r="G215" s="54" t="n">
        <v>6.1</v>
      </c>
      <c r="H215" s="54" t="n">
        <v>50.4</v>
      </c>
      <c r="I215" s="54" t="n">
        <v>41.8</v>
      </c>
      <c r="J215" s="54" t="n">
        <v>6.3</v>
      </c>
      <c r="K215" s="54" t="n">
        <v>1</v>
      </c>
      <c r="L215" s="54" t="n">
        <v>5</v>
      </c>
      <c r="M215" s="54" t="n">
        <v>0</v>
      </c>
      <c r="N215" s="54" t="n">
        <v>1</v>
      </c>
      <c r="O215" s="54" t="n">
        <v>4</v>
      </c>
      <c r="P215" s="54" t="n">
        <v>173.387386548793</v>
      </c>
      <c r="Q215" s="54" t="n">
        <v>3.96708018134618</v>
      </c>
      <c r="R215" s="54" t="n">
        <v>800</v>
      </c>
      <c r="S215" s="54" t="n">
        <v>0</v>
      </c>
      <c r="T215" s="54" t="n">
        <v>5</v>
      </c>
      <c r="U215" s="54" t="n">
        <v>0</v>
      </c>
      <c r="V215" s="54" t="n">
        <v>0</v>
      </c>
      <c r="W215" s="54" t="n">
        <v>0</v>
      </c>
      <c r="X215" s="54" t="n">
        <v>20.47</v>
      </c>
    </row>
    <row r="216">
      <c r="A216" s="54" t="inlineStr">
        <is>
          <t>Palm Leaves</t>
        </is>
      </c>
      <c r="B216" s="54" t="n">
        <v>40.21</v>
      </c>
      <c r="C216" s="54" t="n">
        <v>12.8</v>
      </c>
      <c r="D216" s="54" t="n">
        <v>32.2</v>
      </c>
      <c r="E216" s="54" t="n">
        <v>77.5</v>
      </c>
      <c r="F216" s="54" t="n">
        <v>12.1</v>
      </c>
      <c r="G216" s="54" t="n">
        <v>6.1</v>
      </c>
      <c r="H216" s="54" t="n">
        <v>50.4</v>
      </c>
      <c r="I216" s="54" t="n">
        <v>41.8</v>
      </c>
      <c r="J216" s="54" t="n">
        <v>6.3</v>
      </c>
      <c r="K216" s="54" t="n">
        <v>1</v>
      </c>
      <c r="L216" s="54" t="n">
        <v>5</v>
      </c>
      <c r="M216" s="54" t="n">
        <v>0</v>
      </c>
      <c r="N216" s="54" t="n">
        <v>1</v>
      </c>
      <c r="O216" s="54" t="n">
        <v>4</v>
      </c>
      <c r="P216" s="54" t="n">
        <v>173.387384627255</v>
      </c>
      <c r="Q216" s="54" t="n">
        <v>3.9670801835631</v>
      </c>
      <c r="R216" s="54" t="n">
        <v>900</v>
      </c>
      <c r="S216" s="54" t="n">
        <v>0</v>
      </c>
      <c r="T216" s="54" t="n">
        <v>5</v>
      </c>
      <c r="U216" s="54" t="n">
        <v>0</v>
      </c>
      <c r="V216" s="54" t="n">
        <v>0</v>
      </c>
      <c r="W216" s="54" t="n">
        <v>0</v>
      </c>
      <c r="X216" s="54" t="n">
        <v>14.51</v>
      </c>
    </row>
    <row r="217">
      <c r="A217" s="54" t="inlineStr">
        <is>
          <t>Palm Leaves</t>
        </is>
      </c>
      <c r="B217" s="54" t="n">
        <v>40.21</v>
      </c>
      <c r="C217" s="54" t="n">
        <v>12.8</v>
      </c>
      <c r="D217" s="54" t="n">
        <v>32.2</v>
      </c>
      <c r="E217" s="54" t="n">
        <v>77.5</v>
      </c>
      <c r="F217" s="54" t="n">
        <v>12.1</v>
      </c>
      <c r="G217" s="54" t="n">
        <v>6.1</v>
      </c>
      <c r="H217" s="54" t="n">
        <v>50.4</v>
      </c>
      <c r="I217" s="54" t="n">
        <v>41.8</v>
      </c>
      <c r="J217" s="54" t="n">
        <v>6.3</v>
      </c>
      <c r="K217" s="54" t="n">
        <v>1</v>
      </c>
      <c r="L217" s="54" t="n">
        <v>5</v>
      </c>
      <c r="M217" s="54" t="n">
        <v>0</v>
      </c>
      <c r="N217" s="54" t="n">
        <v>1</v>
      </c>
      <c r="O217" s="54" t="n">
        <v>4</v>
      </c>
      <c r="P217" s="54" t="n">
        <v>173.387386548793</v>
      </c>
      <c r="Q217" s="54" t="n">
        <v>3.96708018134618</v>
      </c>
      <c r="R217" s="54" t="n">
        <v>1100</v>
      </c>
      <c r="S217" s="54" t="n">
        <v>0</v>
      </c>
      <c r="T217" s="54" t="n">
        <v>5</v>
      </c>
      <c r="U217" s="54" t="n">
        <v>0</v>
      </c>
      <c r="V217" s="54" t="n">
        <v>0</v>
      </c>
      <c r="W217" s="54" t="n">
        <v>0</v>
      </c>
      <c r="X217" s="54" t="n">
        <v>14.15</v>
      </c>
    </row>
    <row r="218">
      <c r="A218" s="54" t="inlineStr">
        <is>
          <t>Palm Leaves</t>
        </is>
      </c>
      <c r="B218" s="54" t="n">
        <v>40.21</v>
      </c>
      <c r="C218" s="54" t="n">
        <v>12.8</v>
      </c>
      <c r="D218" s="54" t="n">
        <v>32.2</v>
      </c>
      <c r="E218" s="54" t="n">
        <v>77.5</v>
      </c>
      <c r="F218" s="54" t="n">
        <v>12.1</v>
      </c>
      <c r="G218" s="54" t="n">
        <v>6.1</v>
      </c>
      <c r="H218" s="54" t="n">
        <v>50.4</v>
      </c>
      <c r="I218" s="54" t="n">
        <v>41.8</v>
      </c>
      <c r="J218" s="54" t="n">
        <v>6.3</v>
      </c>
      <c r="K218" s="54" t="n">
        <v>1</v>
      </c>
      <c r="L218" s="54" t="n">
        <v>5</v>
      </c>
      <c r="M218" s="54" t="n">
        <v>0</v>
      </c>
      <c r="N218" s="54" t="n">
        <v>1</v>
      </c>
      <c r="O218" s="54" t="n">
        <v>4</v>
      </c>
      <c r="P218" s="54" t="n">
        <v>173.387384627255</v>
      </c>
      <c r="Q218" s="54" t="n">
        <v>3.9670801835631</v>
      </c>
      <c r="R218" s="54" t="n">
        <v>900</v>
      </c>
      <c r="S218" s="54" t="n">
        <v>0</v>
      </c>
      <c r="T218" s="54" t="n">
        <v>5</v>
      </c>
      <c r="U218" s="54" t="n">
        <v>0</v>
      </c>
      <c r="V218" s="54" t="n">
        <v>0</v>
      </c>
      <c r="W218" s="54" t="n">
        <v>0</v>
      </c>
      <c r="X218" s="54" t="n">
        <v>9.68</v>
      </c>
    </row>
    <row r="219">
      <c r="A219" s="54" t="inlineStr">
        <is>
          <t>Palm Leaves</t>
        </is>
      </c>
      <c r="B219" s="54" t="n">
        <v>40.21</v>
      </c>
      <c r="C219" s="54" t="n">
        <v>12.8</v>
      </c>
      <c r="D219" s="54" t="n">
        <v>32.2</v>
      </c>
      <c r="E219" s="54" t="n">
        <v>77.5</v>
      </c>
      <c r="F219" s="54" t="n">
        <v>12.1</v>
      </c>
      <c r="G219" s="54" t="n">
        <v>6.1</v>
      </c>
      <c r="H219" s="54" t="n">
        <v>50.4</v>
      </c>
      <c r="I219" s="54" t="n">
        <v>41.8</v>
      </c>
      <c r="J219" s="54" t="n">
        <v>6.3</v>
      </c>
      <c r="K219" s="54" t="n">
        <v>1</v>
      </c>
      <c r="L219" s="54" t="n">
        <v>5</v>
      </c>
      <c r="M219" s="54" t="n">
        <v>0</v>
      </c>
      <c r="N219" s="54" t="n">
        <v>1</v>
      </c>
      <c r="O219" s="54" t="n">
        <v>4</v>
      </c>
      <c r="P219" s="54" t="n">
        <v>173.387386548793</v>
      </c>
      <c r="Q219" s="54" t="n">
        <v>3.96708018134618</v>
      </c>
      <c r="R219" s="54" t="n">
        <v>1000</v>
      </c>
      <c r="S219" s="54" t="n">
        <v>0</v>
      </c>
      <c r="T219" s="54" t="n">
        <v>5</v>
      </c>
      <c r="U219" s="54" t="n">
        <v>0</v>
      </c>
      <c r="V219" s="54" t="n">
        <v>0</v>
      </c>
      <c r="W219" s="54" t="n">
        <v>0</v>
      </c>
      <c r="X219" s="54" t="n">
        <v>6.21</v>
      </c>
    </row>
    <row r="220">
      <c r="A220" s="54" t="inlineStr">
        <is>
          <t>Paulownia wood</t>
        </is>
      </c>
      <c r="B220" s="54" t="n">
        <v>44.25</v>
      </c>
      <c r="C220" s="54" t="n">
        <v>24.8</v>
      </c>
      <c r="D220" s="54" t="n">
        <v>22.61</v>
      </c>
      <c r="E220" s="54" t="n">
        <v>71.8</v>
      </c>
      <c r="F220" s="54" t="n">
        <v>1.06</v>
      </c>
      <c r="G220" s="54" t="n">
        <v>20.6</v>
      </c>
      <c r="H220" s="54" t="n">
        <v>44.73</v>
      </c>
      <c r="I220" s="54" t="n">
        <v>48.28</v>
      </c>
      <c r="J220" s="54" t="n">
        <v>6.1</v>
      </c>
      <c r="K220" s="54" t="n">
        <v>1</v>
      </c>
      <c r="L220" s="54" t="n">
        <v>5</v>
      </c>
      <c r="M220" s="54" t="n">
        <v>1</v>
      </c>
      <c r="N220" s="54" t="n">
        <v>1</v>
      </c>
      <c r="O220" s="54" t="n">
        <v>4</v>
      </c>
      <c r="P220" s="54" t="n">
        <v>120</v>
      </c>
      <c r="Q220" s="54" t="n">
        <v>5</v>
      </c>
      <c r="R220" s="54" t="n">
        <v>600</v>
      </c>
      <c r="S220" s="54" t="n">
        <v>1</v>
      </c>
      <c r="T220" s="54" t="n">
        <v>5</v>
      </c>
      <c r="U220" s="54" t="n">
        <v>120</v>
      </c>
      <c r="V220" s="54" t="n">
        <v>5</v>
      </c>
      <c r="W220" s="54" t="n">
        <v>1000</v>
      </c>
      <c r="X220" s="54" t="n">
        <v>270.8</v>
      </c>
    </row>
    <row r="221">
      <c r="A221" s="54" t="inlineStr">
        <is>
          <t>Paulownia wood</t>
        </is>
      </c>
      <c r="B221" s="54" t="n">
        <v>44.25</v>
      </c>
      <c r="C221" s="54" t="n">
        <v>24.8</v>
      </c>
      <c r="D221" s="54" t="n">
        <v>22.61</v>
      </c>
      <c r="E221" s="54" t="n">
        <v>71.8</v>
      </c>
      <c r="F221" s="54" t="n">
        <v>1.06</v>
      </c>
      <c r="G221" s="54" t="n">
        <v>20.6</v>
      </c>
      <c r="H221" s="54" t="n">
        <v>44.73</v>
      </c>
      <c r="I221" s="54" t="n">
        <v>48.28</v>
      </c>
      <c r="J221" s="54" t="n">
        <v>6.1</v>
      </c>
      <c r="K221" s="54" t="n">
        <v>1</v>
      </c>
      <c r="L221" s="54" t="n">
        <v>5</v>
      </c>
      <c r="M221" s="54" t="n">
        <v>1</v>
      </c>
      <c r="N221" s="54" t="n">
        <v>1</v>
      </c>
      <c r="O221" s="54" t="n">
        <v>4</v>
      </c>
      <c r="P221" s="54" t="n">
        <v>120</v>
      </c>
      <c r="Q221" s="54" t="n">
        <v>5</v>
      </c>
      <c r="R221" s="54" t="n">
        <v>600</v>
      </c>
      <c r="S221" s="54" t="n">
        <v>1</v>
      </c>
      <c r="T221" s="54" t="n">
        <v>5</v>
      </c>
      <c r="U221" s="54" t="n">
        <v>120</v>
      </c>
      <c r="V221" s="54" t="n">
        <v>5</v>
      </c>
      <c r="W221" s="54" t="n">
        <v>1200</v>
      </c>
      <c r="X221" s="54" t="n">
        <v>28.3</v>
      </c>
    </row>
    <row r="222">
      <c r="A222" s="54" t="inlineStr">
        <is>
          <t>Paulownia wood</t>
        </is>
      </c>
      <c r="B222" s="54" t="n">
        <v>44.25</v>
      </c>
      <c r="C222" s="54" t="n">
        <v>24.8</v>
      </c>
      <c r="D222" s="54" t="n">
        <v>22.61</v>
      </c>
      <c r="E222" s="54" t="n">
        <v>71.8</v>
      </c>
      <c r="F222" s="54" t="n">
        <v>1.06</v>
      </c>
      <c r="G222" s="54" t="n">
        <v>20.6</v>
      </c>
      <c r="H222" s="54" t="n">
        <v>44.73</v>
      </c>
      <c r="I222" s="54" t="n">
        <v>48.28</v>
      </c>
      <c r="J222" s="54" t="n">
        <v>6.1</v>
      </c>
      <c r="K222" s="54" t="n">
        <v>1</v>
      </c>
      <c r="L222" s="54" t="n">
        <v>5</v>
      </c>
      <c r="M222" s="54" t="n">
        <v>1</v>
      </c>
      <c r="N222" s="54" t="n">
        <v>1</v>
      </c>
      <c r="O222" s="54" t="n">
        <v>4</v>
      </c>
      <c r="P222" s="54" t="n">
        <v>120</v>
      </c>
      <c r="Q222" s="54" t="n">
        <v>5</v>
      </c>
      <c r="R222" s="54" t="n">
        <v>600</v>
      </c>
      <c r="S222" s="54" t="n">
        <v>1</v>
      </c>
      <c r="T222" s="54" t="n">
        <v>5</v>
      </c>
      <c r="U222" s="54" t="n">
        <v>120</v>
      </c>
      <c r="V222" s="54" t="n">
        <v>5</v>
      </c>
      <c r="W222" s="54" t="n">
        <v>1400</v>
      </c>
      <c r="X222" s="54" t="n">
        <v>18.6</v>
      </c>
    </row>
    <row r="223">
      <c r="A223" s="54" t="inlineStr">
        <is>
          <t>Peanut shell</t>
        </is>
      </c>
      <c r="B223" s="54" t="n">
        <v>45.01</v>
      </c>
      <c r="C223" s="54" t="n">
        <v>26.812</v>
      </c>
      <c r="D223" s="54" t="n">
        <v>33.6</v>
      </c>
      <c r="E223" s="54" t="n">
        <v>75.56999999999999</v>
      </c>
      <c r="F223" s="54" t="n">
        <v>4.759</v>
      </c>
      <c r="G223" s="54" t="n">
        <v>19.665</v>
      </c>
      <c r="H223" s="54" t="n">
        <v>52.96</v>
      </c>
      <c r="I223" s="54" t="n">
        <v>40.2</v>
      </c>
      <c r="J223" s="54" t="n">
        <v>6.24</v>
      </c>
      <c r="K223" s="54" t="n">
        <v>6</v>
      </c>
      <c r="L223" s="54" t="n">
        <v>2</v>
      </c>
      <c r="M223" s="54" t="n">
        <v>0</v>
      </c>
      <c r="N223" s="54" t="n">
        <v>1</v>
      </c>
      <c r="O223" s="54" t="n">
        <v>1</v>
      </c>
      <c r="P223" s="54" t="n">
        <v>120</v>
      </c>
      <c r="Q223" s="54" t="n">
        <v>3</v>
      </c>
      <c r="R223" s="54" t="n">
        <v>600</v>
      </c>
      <c r="S223" s="54" t="n">
        <v>0</v>
      </c>
      <c r="T223" s="54" t="n">
        <v>5</v>
      </c>
      <c r="U223" s="54" t="n">
        <v>0</v>
      </c>
      <c r="V223" s="54" t="n">
        <v>0</v>
      </c>
      <c r="W223" s="54" t="n">
        <v>0</v>
      </c>
      <c r="X223" s="54" t="n">
        <v>706.1</v>
      </c>
    </row>
    <row r="224">
      <c r="A224" s="54" t="inlineStr">
        <is>
          <t>Peanut shell</t>
        </is>
      </c>
      <c r="B224" s="54" t="n">
        <v>45.01</v>
      </c>
      <c r="C224" s="54" t="n">
        <v>26.812</v>
      </c>
      <c r="D224" s="54" t="n">
        <v>33.6</v>
      </c>
      <c r="E224" s="54" t="n">
        <v>75.56999999999999</v>
      </c>
      <c r="F224" s="54" t="n">
        <v>4.759</v>
      </c>
      <c r="G224" s="54" t="n">
        <v>19.665</v>
      </c>
      <c r="H224" s="54" t="n">
        <v>52.96</v>
      </c>
      <c r="I224" s="54" t="n">
        <v>40.2</v>
      </c>
      <c r="J224" s="54" t="n">
        <v>6.24</v>
      </c>
      <c r="K224" s="54" t="n">
        <v>4</v>
      </c>
      <c r="L224" s="54" t="n">
        <v>5</v>
      </c>
      <c r="M224" s="54" t="n">
        <v>0</v>
      </c>
      <c r="N224" s="54" t="n">
        <v>1</v>
      </c>
      <c r="O224" s="54" t="n">
        <v>0</v>
      </c>
      <c r="P224" s="54" t="n">
        <v>120</v>
      </c>
      <c r="Q224" s="54" t="n">
        <v>3</v>
      </c>
      <c r="R224" s="54" t="n">
        <v>800</v>
      </c>
      <c r="S224" s="54" t="n">
        <v>0</v>
      </c>
      <c r="T224" s="54" t="n">
        <v>5</v>
      </c>
      <c r="U224" s="54" t="n">
        <v>0</v>
      </c>
      <c r="V224" s="54" t="n">
        <v>0</v>
      </c>
      <c r="W224" s="54" t="n">
        <v>0</v>
      </c>
      <c r="X224" s="54" t="n">
        <v>200</v>
      </c>
    </row>
    <row r="225">
      <c r="A225" s="54" t="inlineStr">
        <is>
          <t>Peanut shell</t>
        </is>
      </c>
      <c r="B225" s="54" t="n">
        <v>45.01</v>
      </c>
      <c r="C225" s="54" t="n">
        <v>26.812</v>
      </c>
      <c r="D225" s="54" t="n">
        <v>33.6</v>
      </c>
      <c r="E225" s="54" t="n">
        <v>75.56999999999999</v>
      </c>
      <c r="F225" s="54" t="n">
        <v>4.759</v>
      </c>
      <c r="G225" s="54" t="n">
        <v>19.665</v>
      </c>
      <c r="H225" s="54" t="n">
        <v>52.96</v>
      </c>
      <c r="I225" s="54" t="n">
        <v>40.2</v>
      </c>
      <c r="J225" s="54" t="n">
        <v>6.24</v>
      </c>
      <c r="K225" s="54" t="n">
        <v>4</v>
      </c>
      <c r="L225" s="54" t="n">
        <v>1</v>
      </c>
      <c r="M225" s="54" t="n">
        <v>1</v>
      </c>
      <c r="N225" s="54" t="n">
        <v>1</v>
      </c>
      <c r="O225" s="54" t="n">
        <v>4</v>
      </c>
      <c r="P225" s="54" t="n">
        <v>120</v>
      </c>
      <c r="Q225" s="54" t="n">
        <v>3</v>
      </c>
      <c r="R225" s="54" t="n">
        <v>400</v>
      </c>
      <c r="S225" s="54" t="n">
        <v>1</v>
      </c>
      <c r="T225" s="54" t="n">
        <v>5</v>
      </c>
      <c r="U225" s="54" t="n">
        <v>120</v>
      </c>
      <c r="V225" s="54" t="n">
        <v>5</v>
      </c>
      <c r="W225" s="54" t="n">
        <v>1000</v>
      </c>
      <c r="X225" s="54" t="n">
        <v>35.46</v>
      </c>
    </row>
    <row r="226">
      <c r="A226" s="54" t="inlineStr">
        <is>
          <t>Peanut skin</t>
        </is>
      </c>
      <c r="B226" s="54" t="n">
        <v>30</v>
      </c>
      <c r="C226" s="54" t="n">
        <v>20</v>
      </c>
      <c r="D226" s="54" t="n">
        <v>32</v>
      </c>
      <c r="E226" s="54" t="n">
        <v>91.31999999999999</v>
      </c>
      <c r="F226" s="54" t="n">
        <v>3.4</v>
      </c>
      <c r="G226" s="54" t="n">
        <v>6.41</v>
      </c>
      <c r="H226" s="54" t="n">
        <v>47.98</v>
      </c>
      <c r="I226" s="54" t="n">
        <v>37.44</v>
      </c>
      <c r="J226" s="54" t="n">
        <v>6.65</v>
      </c>
      <c r="K226" s="54" t="n">
        <v>4</v>
      </c>
      <c r="L226" s="54" t="n">
        <v>1</v>
      </c>
      <c r="M226" s="54" t="n">
        <v>1</v>
      </c>
      <c r="N226" s="54" t="n">
        <v>0</v>
      </c>
      <c r="O226" s="54" t="n">
        <v>0</v>
      </c>
      <c r="P226" s="54" t="n">
        <v>1440</v>
      </c>
      <c r="Q226" s="54" t="n">
        <v>7.8870511400989</v>
      </c>
      <c r="R226" s="54" t="n">
        <v>180</v>
      </c>
      <c r="S226" s="54" t="n">
        <v>1</v>
      </c>
      <c r="T226" s="54" t="n">
        <v>8</v>
      </c>
      <c r="U226" s="54" t="n">
        <v>136.551498143092</v>
      </c>
      <c r="V226" s="54" t="n">
        <v>5</v>
      </c>
      <c r="W226" s="54" t="n">
        <v>800</v>
      </c>
      <c r="X226" s="54" t="n">
        <v>2500</v>
      </c>
    </row>
    <row r="227">
      <c r="A227" s="54" t="inlineStr">
        <is>
          <t>Peanut skin</t>
        </is>
      </c>
      <c r="B227" s="54" t="n">
        <v>30</v>
      </c>
      <c r="C227" s="54" t="n">
        <v>20</v>
      </c>
      <c r="D227" s="54" t="n">
        <v>32</v>
      </c>
      <c r="E227" s="54" t="n">
        <v>91.31999999999999</v>
      </c>
      <c r="F227" s="54" t="n">
        <v>3.4</v>
      </c>
      <c r="G227" s="54" t="n">
        <v>6.41</v>
      </c>
      <c r="H227" s="54" t="n">
        <v>47.98</v>
      </c>
      <c r="I227" s="54" t="n">
        <v>37.44</v>
      </c>
      <c r="J227" s="54" t="n">
        <v>6.65</v>
      </c>
      <c r="K227" s="54" t="n">
        <v>4</v>
      </c>
      <c r="L227" s="54" t="n">
        <v>1</v>
      </c>
      <c r="M227" s="54" t="n">
        <v>1</v>
      </c>
      <c r="N227" s="54" t="n">
        <v>0</v>
      </c>
      <c r="O227" s="54" t="n">
        <v>0</v>
      </c>
      <c r="P227" s="54" t="n">
        <v>1440</v>
      </c>
      <c r="Q227" s="54" t="n">
        <v>7.8870510891412</v>
      </c>
      <c r="R227" s="54" t="n">
        <v>180</v>
      </c>
      <c r="S227" s="54" t="n">
        <v>1</v>
      </c>
      <c r="T227" s="54" t="n">
        <v>8</v>
      </c>
      <c r="U227" s="54" t="n">
        <v>136.55149784038</v>
      </c>
      <c r="V227" s="54" t="n">
        <v>5</v>
      </c>
      <c r="W227" s="54" t="n">
        <v>800</v>
      </c>
      <c r="X227" s="54" t="n">
        <v>1930</v>
      </c>
    </row>
    <row r="228">
      <c r="A228" s="54" t="inlineStr">
        <is>
          <t>Peanut skin</t>
        </is>
      </c>
      <c r="B228" s="54" t="n">
        <v>30</v>
      </c>
      <c r="C228" s="54" t="n">
        <v>20</v>
      </c>
      <c r="D228" s="54" t="n">
        <v>32</v>
      </c>
      <c r="E228" s="54" t="n">
        <v>91.31999999999999</v>
      </c>
      <c r="F228" s="54" t="n">
        <v>3.4</v>
      </c>
      <c r="G228" s="54" t="n">
        <v>6.41</v>
      </c>
      <c r="H228" s="54" t="n">
        <v>47.98</v>
      </c>
      <c r="I228" s="54" t="n">
        <v>37.44</v>
      </c>
      <c r="J228" s="54" t="n">
        <v>6.65</v>
      </c>
      <c r="K228" s="54" t="n">
        <v>4</v>
      </c>
      <c r="L228" s="54" t="n">
        <v>1</v>
      </c>
      <c r="M228" s="54" t="n">
        <v>1</v>
      </c>
      <c r="N228" s="54" t="n">
        <v>0</v>
      </c>
      <c r="O228" s="54" t="n">
        <v>0</v>
      </c>
      <c r="P228" s="54" t="n">
        <v>1440</v>
      </c>
      <c r="Q228" s="54" t="n">
        <v>7.8870511400989</v>
      </c>
      <c r="R228" s="54" t="n">
        <v>180</v>
      </c>
      <c r="S228" s="54" t="n">
        <v>1</v>
      </c>
      <c r="T228" s="54" t="n">
        <v>8</v>
      </c>
      <c r="U228" s="54" t="n">
        <v>136.551498143092</v>
      </c>
      <c r="V228" s="54" t="n">
        <v>5</v>
      </c>
      <c r="W228" s="54" t="n">
        <v>800</v>
      </c>
      <c r="X228" s="54" t="n">
        <v>1580</v>
      </c>
    </row>
    <row r="229">
      <c r="A229" s="54" t="inlineStr">
        <is>
          <t>Peanut skin</t>
        </is>
      </c>
      <c r="B229" s="54" t="n">
        <v>30</v>
      </c>
      <c r="C229" s="54" t="n">
        <v>20</v>
      </c>
      <c r="D229" s="54" t="n">
        <v>32</v>
      </c>
      <c r="E229" s="54" t="n">
        <v>91.31999999999999</v>
      </c>
      <c r="F229" s="54" t="n">
        <v>3.4</v>
      </c>
      <c r="G229" s="54" t="n">
        <v>6.41</v>
      </c>
      <c r="H229" s="54" t="n">
        <v>47.98</v>
      </c>
      <c r="I229" s="54" t="n">
        <v>37.44</v>
      </c>
      <c r="J229" s="54" t="n">
        <v>6.65</v>
      </c>
      <c r="K229" s="54" t="n">
        <v>4</v>
      </c>
      <c r="L229" s="54" t="n">
        <v>1</v>
      </c>
      <c r="M229" s="54" t="n">
        <v>1</v>
      </c>
      <c r="N229" s="54" t="n">
        <v>0</v>
      </c>
      <c r="O229" s="54" t="n">
        <v>0</v>
      </c>
      <c r="P229" s="54" t="n">
        <v>1440</v>
      </c>
      <c r="Q229" s="54" t="n">
        <v>7.8870510891412</v>
      </c>
      <c r="R229" s="54" t="n">
        <v>180</v>
      </c>
      <c r="S229" s="54" t="n">
        <v>1</v>
      </c>
      <c r="T229" s="54" t="n">
        <v>8</v>
      </c>
      <c r="U229" s="54" t="n">
        <v>136.55149784038</v>
      </c>
      <c r="V229" s="54" t="n">
        <v>5</v>
      </c>
      <c r="W229" s="54" t="n">
        <v>800</v>
      </c>
      <c r="X229" s="54" t="n">
        <v>1430</v>
      </c>
    </row>
    <row r="230">
      <c r="A230" s="54" t="inlineStr">
        <is>
          <t>Peanut skin</t>
        </is>
      </c>
      <c r="B230" s="54" t="n">
        <v>30</v>
      </c>
      <c r="C230" s="54" t="n">
        <v>20</v>
      </c>
      <c r="D230" s="54" t="n">
        <v>32</v>
      </c>
      <c r="E230" s="54" t="n">
        <v>91.31999999999999</v>
      </c>
      <c r="F230" s="54" t="n">
        <v>3.4</v>
      </c>
      <c r="G230" s="54" t="n">
        <v>6.41</v>
      </c>
      <c r="H230" s="54" t="n">
        <v>47.98</v>
      </c>
      <c r="I230" s="54" t="n">
        <v>37.44</v>
      </c>
      <c r="J230" s="54" t="n">
        <v>6.65</v>
      </c>
      <c r="K230" s="54" t="n">
        <v>6</v>
      </c>
      <c r="L230" s="54" t="n">
        <v>7</v>
      </c>
      <c r="M230" s="54" t="n">
        <v>1</v>
      </c>
      <c r="N230" s="54" t="n">
        <v>0</v>
      </c>
      <c r="O230" s="54" t="n">
        <v>0</v>
      </c>
      <c r="P230" s="54" t="n">
        <v>120</v>
      </c>
      <c r="Q230" s="54" t="n">
        <v>4.70229216350397</v>
      </c>
      <c r="R230" s="54" t="n">
        <v>180</v>
      </c>
      <c r="S230" s="54" t="n">
        <v>1</v>
      </c>
      <c r="T230" s="54" t="n">
        <v>1</v>
      </c>
      <c r="U230" s="54" t="n">
        <v>87.4650418715151</v>
      </c>
      <c r="V230" s="54" t="n">
        <v>5</v>
      </c>
      <c r="W230" s="54" t="n">
        <v>700</v>
      </c>
      <c r="X230" s="54" t="n">
        <v>68.86</v>
      </c>
    </row>
    <row r="231">
      <c r="A231" s="54" t="inlineStr">
        <is>
          <t>Peanut skin</t>
        </is>
      </c>
      <c r="B231" s="54" t="n">
        <v>30</v>
      </c>
      <c r="C231" s="54" t="n">
        <v>20</v>
      </c>
      <c r="D231" s="54" t="n">
        <v>32</v>
      </c>
      <c r="E231" s="54" t="n">
        <v>91.31999999999999</v>
      </c>
      <c r="F231" s="54" t="n">
        <v>3.4</v>
      </c>
      <c r="G231" s="54" t="n">
        <v>6.41</v>
      </c>
      <c r="H231" s="54" t="n">
        <v>47.98</v>
      </c>
      <c r="I231" s="54" t="n">
        <v>37.44</v>
      </c>
      <c r="J231" s="54" t="n">
        <v>6.65</v>
      </c>
      <c r="K231" s="54" t="n">
        <v>6</v>
      </c>
      <c r="L231" s="54" t="n">
        <v>7</v>
      </c>
      <c r="M231" s="54" t="n">
        <v>1</v>
      </c>
      <c r="N231" s="54" t="n">
        <v>0</v>
      </c>
      <c r="O231" s="54" t="n">
        <v>0</v>
      </c>
      <c r="P231" s="54" t="n">
        <v>120</v>
      </c>
      <c r="Q231" s="54" t="n">
        <v>4.70229169078214</v>
      </c>
      <c r="R231" s="54" t="n">
        <v>180</v>
      </c>
      <c r="S231" s="54" t="n">
        <v>1</v>
      </c>
      <c r="T231" s="54" t="n">
        <v>1</v>
      </c>
      <c r="U231" s="54" t="n">
        <v>87.46503576762601</v>
      </c>
      <c r="V231" s="54" t="n">
        <v>5</v>
      </c>
      <c r="W231" s="54" t="n">
        <v>700</v>
      </c>
      <c r="X231" s="54" t="n">
        <v>55.06</v>
      </c>
    </row>
    <row r="232">
      <c r="A232" s="54" t="inlineStr">
        <is>
          <t>Peanut skin</t>
        </is>
      </c>
      <c r="B232" s="54" t="n">
        <v>30</v>
      </c>
      <c r="C232" s="54" t="n">
        <v>20</v>
      </c>
      <c r="D232" s="54" t="n">
        <v>32</v>
      </c>
      <c r="E232" s="54" t="n">
        <v>91.31999999999999</v>
      </c>
      <c r="F232" s="54" t="n">
        <v>3.4</v>
      </c>
      <c r="G232" s="54" t="n">
        <v>6.41</v>
      </c>
      <c r="H232" s="54" t="n">
        <v>47.98</v>
      </c>
      <c r="I232" s="54" t="n">
        <v>37.44</v>
      </c>
      <c r="J232" s="54" t="n">
        <v>6.65</v>
      </c>
      <c r="K232" s="54" t="n">
        <v>6</v>
      </c>
      <c r="L232" s="54" t="n">
        <v>7</v>
      </c>
      <c r="M232" s="54" t="n">
        <v>1</v>
      </c>
      <c r="N232" s="54" t="n">
        <v>0</v>
      </c>
      <c r="O232" s="54" t="n">
        <v>0</v>
      </c>
      <c r="P232" s="54" t="n">
        <v>120</v>
      </c>
      <c r="Q232" s="54" t="n">
        <v>4.70229118661714</v>
      </c>
      <c r="R232" s="54" t="n">
        <v>180</v>
      </c>
      <c r="S232" s="54" t="n">
        <v>1</v>
      </c>
      <c r="T232" s="54" t="n">
        <v>1</v>
      </c>
      <c r="U232" s="54" t="n">
        <v>87.4650295013756</v>
      </c>
      <c r="V232" s="54" t="n">
        <v>5</v>
      </c>
      <c r="W232" s="54" t="n">
        <v>700</v>
      </c>
      <c r="X232" s="54" t="n">
        <v>41.22</v>
      </c>
    </row>
    <row r="233">
      <c r="A233" s="54" t="inlineStr">
        <is>
          <t>Peat moss</t>
        </is>
      </c>
      <c r="B233" s="54" t="n">
        <v>55</v>
      </c>
      <c r="C233" s="54" t="n">
        <v>65</v>
      </c>
      <c r="D233" s="54" t="n">
        <v>3</v>
      </c>
      <c r="E233" s="54" t="n">
        <v>69.2</v>
      </c>
      <c r="F233" s="54" t="n">
        <v>5.16</v>
      </c>
      <c r="G233" s="54" t="n">
        <v>25.3</v>
      </c>
      <c r="H233" s="54" t="n">
        <v>53.6</v>
      </c>
      <c r="I233" s="54" t="n">
        <v>32.9</v>
      </c>
      <c r="J233" s="54" t="n">
        <v>5.7</v>
      </c>
      <c r="K233" s="54" t="n">
        <v>4</v>
      </c>
      <c r="L233" s="54" t="n">
        <v>2</v>
      </c>
      <c r="M233" s="54" t="n">
        <v>1</v>
      </c>
      <c r="N233" s="54" t="n">
        <v>1</v>
      </c>
      <c r="O233" s="54" t="n">
        <v>4</v>
      </c>
      <c r="P233" s="54" t="n">
        <v>60</v>
      </c>
      <c r="Q233" s="54" t="n">
        <v>5</v>
      </c>
      <c r="R233" s="54" t="n">
        <v>600</v>
      </c>
      <c r="S233" s="54" t="n">
        <v>1</v>
      </c>
      <c r="T233" s="54" t="n">
        <v>6</v>
      </c>
      <c r="U233" s="54" t="n">
        <v>3</v>
      </c>
      <c r="V233" s="54" t="n">
        <v>5</v>
      </c>
      <c r="W233" s="54" t="n">
        <v>300</v>
      </c>
      <c r="X233" s="54" t="n">
        <v>369.1</v>
      </c>
    </row>
    <row r="234">
      <c r="A234" s="54" t="inlineStr">
        <is>
          <t>Peat moss</t>
        </is>
      </c>
      <c r="B234" s="54" t="n">
        <v>55</v>
      </c>
      <c r="C234" s="54" t="n">
        <v>65</v>
      </c>
      <c r="D234" s="54" t="n">
        <v>3</v>
      </c>
      <c r="E234" s="54" t="n">
        <v>69.2</v>
      </c>
      <c r="F234" s="54" t="n">
        <v>5.16</v>
      </c>
      <c r="G234" s="54" t="n">
        <v>25.3</v>
      </c>
      <c r="H234" s="54" t="n">
        <v>53.6</v>
      </c>
      <c r="I234" s="54" t="n">
        <v>32.9</v>
      </c>
      <c r="J234" s="54" t="n">
        <v>5.7</v>
      </c>
      <c r="K234" s="54" t="n">
        <v>4</v>
      </c>
      <c r="L234" s="54" t="n">
        <v>2</v>
      </c>
      <c r="M234" s="54" t="n">
        <v>1</v>
      </c>
      <c r="N234" s="54" t="n">
        <v>1</v>
      </c>
      <c r="O234" s="54" t="n">
        <v>4</v>
      </c>
      <c r="P234" s="54" t="n">
        <v>60</v>
      </c>
      <c r="Q234" s="54" t="n">
        <v>5</v>
      </c>
      <c r="R234" s="54" t="n">
        <v>900</v>
      </c>
      <c r="S234" s="54" t="n">
        <v>1</v>
      </c>
      <c r="T234" s="54" t="n">
        <v>6</v>
      </c>
      <c r="U234" s="54" t="n">
        <v>3</v>
      </c>
      <c r="V234" s="54" t="n">
        <v>5</v>
      </c>
      <c r="W234" s="54" t="n">
        <v>300</v>
      </c>
      <c r="X234" s="54" t="n">
        <v>271.2</v>
      </c>
    </row>
    <row r="235">
      <c r="A235" s="54" t="inlineStr">
        <is>
          <t>Peat moss</t>
        </is>
      </c>
      <c r="B235" s="54" t="n">
        <v>55</v>
      </c>
      <c r="C235" s="54" t="n">
        <v>65</v>
      </c>
      <c r="D235" s="54" t="n">
        <v>3</v>
      </c>
      <c r="E235" s="54" t="n">
        <v>69.2</v>
      </c>
      <c r="F235" s="54" t="n">
        <v>5.16</v>
      </c>
      <c r="G235" s="54" t="n">
        <v>25.3</v>
      </c>
      <c r="H235" s="54" t="n">
        <v>53.6</v>
      </c>
      <c r="I235" s="54" t="n">
        <v>32.9</v>
      </c>
      <c r="J235" s="54" t="n">
        <v>5.7</v>
      </c>
      <c r="K235" s="54" t="n">
        <v>4</v>
      </c>
      <c r="L235" s="54" t="n">
        <v>2</v>
      </c>
      <c r="M235" s="54" t="n">
        <v>1</v>
      </c>
      <c r="N235" s="54" t="n">
        <v>1</v>
      </c>
      <c r="O235" s="54" t="n">
        <v>4</v>
      </c>
      <c r="P235" s="54" t="n">
        <v>60</v>
      </c>
      <c r="Q235" s="54" t="n">
        <v>5</v>
      </c>
      <c r="R235" s="54" t="n">
        <v>1100</v>
      </c>
      <c r="S235" s="54" t="n">
        <v>1</v>
      </c>
      <c r="T235" s="54" t="n">
        <v>6</v>
      </c>
      <c r="U235" s="54" t="n">
        <v>3</v>
      </c>
      <c r="V235" s="54" t="n">
        <v>5</v>
      </c>
      <c r="W235" s="54" t="n">
        <v>300</v>
      </c>
      <c r="X235" s="54" t="n">
        <v>196.6</v>
      </c>
    </row>
    <row r="236">
      <c r="A236" s="54" t="inlineStr">
        <is>
          <t>Peat moss</t>
        </is>
      </c>
      <c r="B236" s="54" t="n">
        <v>55</v>
      </c>
      <c r="C236" s="54" t="n">
        <v>65</v>
      </c>
      <c r="D236" s="54" t="n">
        <v>3</v>
      </c>
      <c r="E236" s="54" t="n">
        <v>69.2</v>
      </c>
      <c r="F236" s="54" t="n">
        <v>5.16</v>
      </c>
      <c r="G236" s="54" t="n">
        <v>25.3</v>
      </c>
      <c r="H236" s="54" t="n">
        <v>53.6</v>
      </c>
      <c r="I236" s="54" t="n">
        <v>32.9</v>
      </c>
      <c r="J236" s="54" t="n">
        <v>5.7</v>
      </c>
      <c r="K236" s="54" t="n">
        <v>4</v>
      </c>
      <c r="L236" s="54" t="n">
        <v>2</v>
      </c>
      <c r="M236" s="54" t="n">
        <v>1</v>
      </c>
      <c r="N236" s="54" t="n">
        <v>1</v>
      </c>
      <c r="O236" s="54" t="n">
        <v>4</v>
      </c>
      <c r="P236" s="54" t="n">
        <v>60</v>
      </c>
      <c r="Q236" s="54" t="n">
        <v>5</v>
      </c>
      <c r="R236" s="54" t="n">
        <v>1400</v>
      </c>
      <c r="S236" s="54" t="n">
        <v>1</v>
      </c>
      <c r="T236" s="54" t="n">
        <v>6</v>
      </c>
      <c r="U236" s="54" t="n">
        <v>3</v>
      </c>
      <c r="V236" s="54" t="n">
        <v>5</v>
      </c>
      <c r="W236" s="54" t="n">
        <v>300</v>
      </c>
      <c r="X236" s="54" t="n">
        <v>92.2</v>
      </c>
    </row>
    <row r="237">
      <c r="A237" s="54" t="inlineStr">
        <is>
          <t>Peat moss</t>
        </is>
      </c>
      <c r="B237" s="54" t="n">
        <v>55</v>
      </c>
      <c r="C237" s="54" t="n">
        <v>65</v>
      </c>
      <c r="D237" s="54" t="n">
        <v>3</v>
      </c>
      <c r="E237" s="54" t="n">
        <v>69.2</v>
      </c>
      <c r="F237" s="54" t="n">
        <v>5.16</v>
      </c>
      <c r="G237" s="54" t="n">
        <v>25.3</v>
      </c>
      <c r="H237" s="54" t="n">
        <v>53.6</v>
      </c>
      <c r="I237" s="54" t="n">
        <v>32.9</v>
      </c>
      <c r="J237" s="54" t="n">
        <v>5.7</v>
      </c>
      <c r="K237" s="54" t="n">
        <v>4</v>
      </c>
      <c r="L237" s="54" t="n">
        <v>2</v>
      </c>
      <c r="M237" s="54" t="n">
        <v>0</v>
      </c>
      <c r="N237" s="54" t="n">
        <v>1</v>
      </c>
      <c r="O237" s="54" t="n">
        <v>4</v>
      </c>
      <c r="P237" s="54" t="n">
        <v>60</v>
      </c>
      <c r="Q237" s="54" t="n">
        <v>5</v>
      </c>
      <c r="R237" s="54" t="n">
        <v>600</v>
      </c>
      <c r="S237" s="54" t="n">
        <v>0</v>
      </c>
      <c r="T237" s="54" t="n">
        <v>5</v>
      </c>
      <c r="U237" s="54" t="n">
        <v>0</v>
      </c>
      <c r="V237" s="54" t="n">
        <v>0</v>
      </c>
      <c r="W237" s="54" t="n">
        <v>0</v>
      </c>
      <c r="X237" s="54" t="n">
        <v>55.3</v>
      </c>
    </row>
    <row r="238">
      <c r="A238" s="54" t="inlineStr">
        <is>
          <t>Peat moss</t>
        </is>
      </c>
      <c r="B238" s="54" t="n">
        <v>55</v>
      </c>
      <c r="C238" s="54" t="n">
        <v>65</v>
      </c>
      <c r="D238" s="54" t="n">
        <v>3</v>
      </c>
      <c r="E238" s="54" t="n">
        <v>69.2</v>
      </c>
      <c r="F238" s="54" t="n">
        <v>5.16</v>
      </c>
      <c r="G238" s="54" t="n">
        <v>25.3</v>
      </c>
      <c r="H238" s="54" t="n">
        <v>53.6</v>
      </c>
      <c r="I238" s="54" t="n">
        <v>32.9</v>
      </c>
      <c r="J238" s="54" t="n">
        <v>5.7</v>
      </c>
      <c r="K238" s="54" t="n">
        <v>4</v>
      </c>
      <c r="L238" s="54" t="n">
        <v>2</v>
      </c>
      <c r="M238" s="54" t="n">
        <v>0</v>
      </c>
      <c r="N238" s="54" t="n">
        <v>1</v>
      </c>
      <c r="O238" s="54" t="n">
        <v>4</v>
      </c>
      <c r="P238" s="54" t="n">
        <v>60</v>
      </c>
      <c r="Q238" s="54" t="n">
        <v>5</v>
      </c>
      <c r="R238" s="54" t="n">
        <v>900</v>
      </c>
      <c r="S238" s="54" t="n">
        <v>0</v>
      </c>
      <c r="T238" s="54" t="n">
        <v>5</v>
      </c>
      <c r="U238" s="54" t="n">
        <v>0</v>
      </c>
      <c r="V238" s="54" t="n">
        <v>0</v>
      </c>
      <c r="W238" s="54" t="n">
        <v>0</v>
      </c>
      <c r="X238" s="54" t="n">
        <v>45.1</v>
      </c>
    </row>
    <row r="239">
      <c r="A239" s="54" t="inlineStr">
        <is>
          <t>Peat moss</t>
        </is>
      </c>
      <c r="B239" s="54" t="n">
        <v>55</v>
      </c>
      <c r="C239" s="54" t="n">
        <v>65</v>
      </c>
      <c r="D239" s="54" t="n">
        <v>3</v>
      </c>
      <c r="E239" s="54" t="n">
        <v>69.2</v>
      </c>
      <c r="F239" s="54" t="n">
        <v>5.16</v>
      </c>
      <c r="G239" s="54" t="n">
        <v>25.3</v>
      </c>
      <c r="H239" s="54" t="n">
        <v>53.6</v>
      </c>
      <c r="I239" s="54" t="n">
        <v>32.9</v>
      </c>
      <c r="J239" s="54" t="n">
        <v>5.7</v>
      </c>
      <c r="K239" s="54" t="n">
        <v>4</v>
      </c>
      <c r="L239" s="54" t="n">
        <v>2</v>
      </c>
      <c r="M239" s="54" t="n">
        <v>0</v>
      </c>
      <c r="N239" s="54" t="n">
        <v>1</v>
      </c>
      <c r="O239" s="54" t="n">
        <v>4</v>
      </c>
      <c r="P239" s="54" t="n">
        <v>60</v>
      </c>
      <c r="Q239" s="54" t="n">
        <v>5</v>
      </c>
      <c r="R239" s="54" t="n">
        <v>1100</v>
      </c>
      <c r="S239" s="54" t="n">
        <v>0</v>
      </c>
      <c r="T239" s="54" t="n">
        <v>5</v>
      </c>
      <c r="U239" s="54" t="n">
        <v>0</v>
      </c>
      <c r="V239" s="54" t="n">
        <v>0</v>
      </c>
      <c r="W239" s="54" t="n">
        <v>0</v>
      </c>
      <c r="X239" s="54" t="n">
        <v>24.5</v>
      </c>
    </row>
    <row r="240">
      <c r="A240" s="54" t="inlineStr">
        <is>
          <t>Peat moss</t>
        </is>
      </c>
      <c r="B240" s="54" t="n">
        <v>55</v>
      </c>
      <c r="C240" s="54" t="n">
        <v>65</v>
      </c>
      <c r="D240" s="54" t="n">
        <v>3</v>
      </c>
      <c r="E240" s="54" t="n">
        <v>69.2</v>
      </c>
      <c r="F240" s="54" t="n">
        <v>5.16</v>
      </c>
      <c r="G240" s="54" t="n">
        <v>25.3</v>
      </c>
      <c r="H240" s="54" t="n">
        <v>53.6</v>
      </c>
      <c r="I240" s="54" t="n">
        <v>32.9</v>
      </c>
      <c r="J240" s="54" t="n">
        <v>5.7</v>
      </c>
      <c r="K240" s="54" t="n">
        <v>4</v>
      </c>
      <c r="L240" s="54" t="n">
        <v>2</v>
      </c>
      <c r="M240" s="54" t="n">
        <v>0</v>
      </c>
      <c r="N240" s="54" t="n">
        <v>1</v>
      </c>
      <c r="O240" s="54" t="n">
        <v>4</v>
      </c>
      <c r="P240" s="54" t="n">
        <v>60</v>
      </c>
      <c r="Q240" s="54" t="n">
        <v>5</v>
      </c>
      <c r="R240" s="54" t="n">
        <v>1400</v>
      </c>
      <c r="S240" s="54" t="n">
        <v>0</v>
      </c>
      <c r="T240" s="54" t="n">
        <v>5</v>
      </c>
      <c r="U240" s="54" t="n">
        <v>0</v>
      </c>
      <c r="V240" s="54" t="n">
        <v>0</v>
      </c>
      <c r="W240" s="54" t="n">
        <v>0</v>
      </c>
      <c r="X240" s="54" t="n">
        <v>20.8</v>
      </c>
    </row>
    <row r="241">
      <c r="A241" s="54" t="inlineStr">
        <is>
          <t>Pine</t>
        </is>
      </c>
      <c r="B241" s="54" t="n">
        <v>32.09</v>
      </c>
      <c r="C241" s="54" t="n">
        <v>14.22</v>
      </c>
      <c r="D241" s="54" t="n">
        <v>31.15</v>
      </c>
      <c r="E241" s="54" t="n">
        <v>83.3</v>
      </c>
      <c r="F241" s="54" t="n">
        <v>1.3</v>
      </c>
      <c r="G241" s="54" t="n">
        <v>15.4</v>
      </c>
      <c r="H241" s="54" t="n">
        <v>52.2</v>
      </c>
      <c r="I241" s="54" t="n">
        <v>41.7</v>
      </c>
      <c r="J241" s="54" t="n">
        <v>6</v>
      </c>
      <c r="K241" s="54" t="n">
        <v>4</v>
      </c>
      <c r="L241" s="54" t="n">
        <v>5</v>
      </c>
      <c r="M241" s="54" t="n">
        <v>0</v>
      </c>
      <c r="N241" s="54" t="n">
        <v>1</v>
      </c>
      <c r="O241" s="54" t="n">
        <v>4</v>
      </c>
      <c r="P241" s="54" t="n">
        <v>60</v>
      </c>
      <c r="Q241" s="54" t="n">
        <v>3.3</v>
      </c>
      <c r="R241" s="54" t="n">
        <v>1000</v>
      </c>
      <c r="S241" s="54" t="n">
        <v>0</v>
      </c>
      <c r="T241" s="54" t="n">
        <v>5</v>
      </c>
      <c r="U241" s="54" t="n">
        <v>0</v>
      </c>
      <c r="V241" s="54" t="n">
        <v>0</v>
      </c>
      <c r="W241" s="54" t="n">
        <v>0</v>
      </c>
      <c r="X241" s="54" t="n">
        <v>141</v>
      </c>
    </row>
    <row r="242">
      <c r="A242" s="54" t="inlineStr">
        <is>
          <t>Pine</t>
        </is>
      </c>
      <c r="B242" s="54" t="n">
        <v>32.09</v>
      </c>
      <c r="C242" s="54" t="n">
        <v>14.22</v>
      </c>
      <c r="D242" s="54" t="n">
        <v>31.15</v>
      </c>
      <c r="E242" s="54" t="n">
        <v>83.3</v>
      </c>
      <c r="F242" s="54" t="n">
        <v>1.3</v>
      </c>
      <c r="G242" s="54" t="n">
        <v>15.4</v>
      </c>
      <c r="H242" s="54" t="n">
        <v>52.2</v>
      </c>
      <c r="I242" s="54" t="n">
        <v>41.7</v>
      </c>
      <c r="J242" s="54" t="n">
        <v>6</v>
      </c>
      <c r="K242" s="54" t="n">
        <v>4</v>
      </c>
      <c r="L242" s="54" t="n">
        <v>5</v>
      </c>
      <c r="M242" s="54" t="n">
        <v>0</v>
      </c>
      <c r="N242" s="54" t="n">
        <v>1</v>
      </c>
      <c r="O242" s="54" t="n">
        <v>4</v>
      </c>
      <c r="P242" s="54" t="n">
        <v>60</v>
      </c>
      <c r="Q242" s="54" t="n">
        <v>3.3</v>
      </c>
      <c r="R242" s="54" t="n">
        <v>1400</v>
      </c>
      <c r="S242" s="54" t="n">
        <v>0</v>
      </c>
      <c r="T242" s="54" t="n">
        <v>5</v>
      </c>
      <c r="U242" s="54" t="n">
        <v>0</v>
      </c>
      <c r="V242" s="54" t="n">
        <v>0</v>
      </c>
      <c r="W242" s="54" t="n">
        <v>0</v>
      </c>
      <c r="X242" s="54" t="n">
        <v>5</v>
      </c>
    </row>
    <row r="243">
      <c r="A243" s="54" t="inlineStr">
        <is>
          <t>Pine</t>
        </is>
      </c>
      <c r="B243" s="54" t="n">
        <v>32.09</v>
      </c>
      <c r="C243" s="54" t="n">
        <v>14.22</v>
      </c>
      <c r="D243" s="54" t="n">
        <v>31.15</v>
      </c>
      <c r="E243" s="54" t="n">
        <v>83.3</v>
      </c>
      <c r="F243" s="54" t="n">
        <v>1.3</v>
      </c>
      <c r="G243" s="54" t="n">
        <v>15.4</v>
      </c>
      <c r="H243" s="54" t="n">
        <v>52.2</v>
      </c>
      <c r="I243" s="54" t="n">
        <v>41.7</v>
      </c>
      <c r="J243" s="54" t="n">
        <v>6</v>
      </c>
      <c r="K243" s="54" t="n">
        <v>4</v>
      </c>
      <c r="L243" s="54" t="n">
        <v>5</v>
      </c>
      <c r="M243" s="54" t="n">
        <v>0</v>
      </c>
      <c r="N243" s="54" t="n">
        <v>1</v>
      </c>
      <c r="O243" s="54" t="n">
        <v>4</v>
      </c>
      <c r="P243" s="54" t="n">
        <v>60</v>
      </c>
      <c r="Q243" s="54" t="n">
        <v>3.3</v>
      </c>
      <c r="R243" s="54" t="n">
        <v>1200</v>
      </c>
      <c r="S243" s="54" t="n">
        <v>0</v>
      </c>
      <c r="T243" s="54" t="n">
        <v>5</v>
      </c>
      <c r="U243" s="54" t="n">
        <v>0</v>
      </c>
      <c r="V243" s="54" t="n">
        <v>0</v>
      </c>
      <c r="W243" s="54" t="n">
        <v>0</v>
      </c>
      <c r="X243" s="54" t="n">
        <v>3.8</v>
      </c>
    </row>
    <row r="244">
      <c r="A244" s="54" t="inlineStr">
        <is>
          <t>Pine wood</t>
        </is>
      </c>
      <c r="B244" s="54" t="n">
        <v>32.91</v>
      </c>
      <c r="C244" s="54" t="n">
        <v>22.92</v>
      </c>
      <c r="D244" s="54" t="n">
        <v>30</v>
      </c>
      <c r="E244" s="54" t="n">
        <v>80.34999999999999</v>
      </c>
      <c r="F244" s="54" t="n">
        <v>1.41</v>
      </c>
      <c r="G244" s="54" t="n">
        <v>10.27</v>
      </c>
      <c r="H244" s="54" t="n">
        <v>48.62</v>
      </c>
      <c r="I244" s="54" t="n">
        <v>38.45</v>
      </c>
      <c r="J244" s="54" t="n">
        <v>5.31</v>
      </c>
      <c r="K244" s="54" t="n">
        <v>4</v>
      </c>
      <c r="L244" s="54" t="n">
        <v>5</v>
      </c>
      <c r="M244" s="54" t="n">
        <v>0</v>
      </c>
      <c r="N244" s="54" t="n">
        <v>1</v>
      </c>
      <c r="O244" s="54" t="n">
        <v>4</v>
      </c>
      <c r="P244" s="54" t="n">
        <v>206.709375</v>
      </c>
      <c r="Q244" s="54" t="n">
        <v>5</v>
      </c>
      <c r="R244" s="54" t="n">
        <v>1400</v>
      </c>
      <c r="S244" s="54" t="n">
        <v>0</v>
      </c>
      <c r="T244" s="54" t="n">
        <v>5</v>
      </c>
      <c r="U244" s="54" t="n">
        <v>0</v>
      </c>
      <c r="V244" s="54" t="n">
        <v>0</v>
      </c>
      <c r="W244" s="54" t="n">
        <v>0</v>
      </c>
      <c r="X244" s="54" t="n">
        <v>3</v>
      </c>
    </row>
    <row r="245">
      <c r="A245" s="54" t="inlineStr">
        <is>
          <t>Pinecone</t>
        </is>
      </c>
      <c r="B245" s="54" t="n">
        <v>32.91</v>
      </c>
      <c r="C245" s="54" t="n">
        <v>22.92</v>
      </c>
      <c r="D245" s="54" t="n">
        <v>30</v>
      </c>
      <c r="E245" s="54" t="n">
        <v>80.34999999999999</v>
      </c>
      <c r="F245" s="54" t="n">
        <v>1.41</v>
      </c>
      <c r="G245" s="54" t="n">
        <v>10.27</v>
      </c>
      <c r="H245" s="54" t="n">
        <v>48.62</v>
      </c>
      <c r="I245" s="54" t="n">
        <v>38.45</v>
      </c>
      <c r="J245" s="54" t="n">
        <v>5.31</v>
      </c>
      <c r="K245" s="54" t="n">
        <v>6</v>
      </c>
      <c r="L245" s="54" t="n">
        <v>7</v>
      </c>
      <c r="M245" s="54" t="n">
        <v>1</v>
      </c>
      <c r="N245" s="54" t="n">
        <v>1</v>
      </c>
      <c r="O245" s="54" t="n">
        <v>1</v>
      </c>
      <c r="P245" s="54" t="n">
        <v>120</v>
      </c>
      <c r="Q245" s="54" t="n">
        <v>2.6971766070595</v>
      </c>
      <c r="R245" s="54" t="n">
        <v>500</v>
      </c>
      <c r="S245" s="54" t="n">
        <v>1</v>
      </c>
      <c r="T245" s="54" t="n">
        <v>0</v>
      </c>
      <c r="U245" s="54" t="n">
        <v>120</v>
      </c>
      <c r="V245" s="54" t="n">
        <v>5</v>
      </c>
      <c r="W245" s="54" t="n">
        <v>800</v>
      </c>
      <c r="X245" s="54" t="n">
        <v>557</v>
      </c>
    </row>
    <row r="246">
      <c r="A246" s="54" t="inlineStr">
        <is>
          <t>Pinecone</t>
        </is>
      </c>
      <c r="B246" s="54" t="n">
        <v>32.91</v>
      </c>
      <c r="C246" s="54" t="n">
        <v>22.92</v>
      </c>
      <c r="D246" s="54" t="n">
        <v>30</v>
      </c>
      <c r="E246" s="54" t="n">
        <v>80.34999999999999</v>
      </c>
      <c r="F246" s="54" t="n">
        <v>1.41</v>
      </c>
      <c r="G246" s="54" t="n">
        <v>10.27</v>
      </c>
      <c r="H246" s="54" t="n">
        <v>48.62</v>
      </c>
      <c r="I246" s="54" t="n">
        <v>38.45</v>
      </c>
      <c r="J246" s="54" t="n">
        <v>5.31</v>
      </c>
      <c r="K246" s="54" t="n">
        <v>6</v>
      </c>
      <c r="L246" s="54" t="n">
        <v>7</v>
      </c>
      <c r="M246" s="54" t="n">
        <v>1</v>
      </c>
      <c r="N246" s="54" t="n">
        <v>1</v>
      </c>
      <c r="O246" s="54" t="n">
        <v>1</v>
      </c>
      <c r="P246" s="54" t="n">
        <v>120</v>
      </c>
      <c r="Q246" s="54" t="n">
        <v>2.90568316444304</v>
      </c>
      <c r="R246" s="54" t="n">
        <v>500</v>
      </c>
      <c r="S246" s="54" t="n">
        <v>1</v>
      </c>
      <c r="T246" s="54" t="n">
        <v>0</v>
      </c>
      <c r="U246" s="54" t="n">
        <v>120</v>
      </c>
      <c r="V246" s="54" t="n">
        <v>5</v>
      </c>
      <c r="W246" s="54" t="n">
        <v>850</v>
      </c>
      <c r="X246" s="54" t="n">
        <v>400</v>
      </c>
    </row>
    <row r="247">
      <c r="A247" s="54" t="inlineStr">
        <is>
          <t>Pinecone</t>
        </is>
      </c>
      <c r="B247" s="54" t="n">
        <v>32.91</v>
      </c>
      <c r="C247" s="54" t="n">
        <v>22.92</v>
      </c>
      <c r="D247" s="54" t="n">
        <v>30</v>
      </c>
      <c r="E247" s="54" t="n">
        <v>80.34999999999999</v>
      </c>
      <c r="F247" s="54" t="n">
        <v>1.41</v>
      </c>
      <c r="G247" s="54" t="n">
        <v>10.27</v>
      </c>
      <c r="H247" s="54" t="n">
        <v>48.62</v>
      </c>
      <c r="I247" s="54" t="n">
        <v>38.45</v>
      </c>
      <c r="J247" s="54" t="n">
        <v>5.31</v>
      </c>
      <c r="K247" s="54" t="n">
        <v>6</v>
      </c>
      <c r="L247" s="54" t="n">
        <v>7</v>
      </c>
      <c r="M247" s="54" t="n">
        <v>1</v>
      </c>
      <c r="N247" s="54" t="n">
        <v>1</v>
      </c>
      <c r="O247" s="54" t="n">
        <v>1</v>
      </c>
      <c r="P247" s="54" t="n">
        <v>120</v>
      </c>
      <c r="Q247" s="54" t="n">
        <v>4.20111170034919</v>
      </c>
      <c r="R247" s="54" t="n">
        <v>500</v>
      </c>
      <c r="S247" s="54" t="n">
        <v>1</v>
      </c>
      <c r="T247" s="54" t="n">
        <v>0</v>
      </c>
      <c r="U247" s="54" t="n">
        <v>120</v>
      </c>
      <c r="V247" s="54" t="n">
        <v>5</v>
      </c>
      <c r="W247" s="54" t="n">
        <v>900</v>
      </c>
      <c r="X247" s="54" t="n">
        <v>395</v>
      </c>
    </row>
    <row r="248">
      <c r="A248" s="54" t="inlineStr">
        <is>
          <t>Pinecone</t>
        </is>
      </c>
      <c r="B248" s="54" t="n">
        <v>32.91</v>
      </c>
      <c r="C248" s="54" t="n">
        <v>22.92</v>
      </c>
      <c r="D248" s="54" t="n">
        <v>30</v>
      </c>
      <c r="E248" s="54" t="n">
        <v>80.34999999999999</v>
      </c>
      <c r="F248" s="54" t="n">
        <v>1.41</v>
      </c>
      <c r="G248" s="54" t="n">
        <v>10.27</v>
      </c>
      <c r="H248" s="54" t="n">
        <v>48.62</v>
      </c>
      <c r="I248" s="54" t="n">
        <v>38.45</v>
      </c>
      <c r="J248" s="54" t="n">
        <v>5.31</v>
      </c>
      <c r="K248" s="54" t="n">
        <v>6</v>
      </c>
      <c r="L248" s="54" t="n">
        <v>7</v>
      </c>
      <c r="M248" s="54" t="n">
        <v>1</v>
      </c>
      <c r="N248" s="54" t="n">
        <v>1</v>
      </c>
      <c r="O248" s="54" t="n">
        <v>1</v>
      </c>
      <c r="P248" s="54" t="n">
        <v>120</v>
      </c>
      <c r="Q248" s="54" t="n">
        <v>4.19822276839146</v>
      </c>
      <c r="R248" s="54" t="n">
        <v>500</v>
      </c>
      <c r="S248" s="54" t="n">
        <v>1</v>
      </c>
      <c r="T248" s="54" t="n">
        <v>0</v>
      </c>
      <c r="U248" s="54" t="n">
        <v>120</v>
      </c>
      <c r="V248" s="54" t="n">
        <v>5</v>
      </c>
      <c r="W248" s="54" t="n">
        <v>500</v>
      </c>
      <c r="X248" s="54" t="n">
        <v>393</v>
      </c>
    </row>
    <row r="249">
      <c r="A249" s="54" t="inlineStr">
        <is>
          <t>Pinecone</t>
        </is>
      </c>
      <c r="B249" s="54" t="n">
        <v>32.91</v>
      </c>
      <c r="C249" s="54" t="n">
        <v>22.92</v>
      </c>
      <c r="D249" s="54" t="n">
        <v>30</v>
      </c>
      <c r="E249" s="54" t="n">
        <v>80.34999999999999</v>
      </c>
      <c r="F249" s="54" t="n">
        <v>1.41</v>
      </c>
      <c r="G249" s="54" t="n">
        <v>10.27</v>
      </c>
      <c r="H249" s="54" t="n">
        <v>48.62</v>
      </c>
      <c r="I249" s="54" t="n">
        <v>38.45</v>
      </c>
      <c r="J249" s="54" t="n">
        <v>5.31</v>
      </c>
      <c r="K249" s="54" t="n">
        <v>6</v>
      </c>
      <c r="L249" s="54" t="n">
        <v>7</v>
      </c>
      <c r="M249" s="54" t="n">
        <v>1</v>
      </c>
      <c r="N249" s="54" t="n">
        <v>1</v>
      </c>
      <c r="O249" s="54" t="n">
        <v>1</v>
      </c>
      <c r="P249" s="54" t="n">
        <v>120</v>
      </c>
      <c r="Q249" s="54" t="n">
        <v>3.91317003990306</v>
      </c>
      <c r="R249" s="54" t="n">
        <v>500</v>
      </c>
      <c r="S249" s="54" t="n">
        <v>1</v>
      </c>
      <c r="T249" s="54" t="n">
        <v>0</v>
      </c>
      <c r="U249" s="54" t="n">
        <v>120</v>
      </c>
      <c r="V249" s="54" t="n">
        <v>5</v>
      </c>
      <c r="W249" s="54" t="n">
        <v>1000</v>
      </c>
      <c r="X249" s="54" t="n">
        <v>239</v>
      </c>
    </row>
    <row r="250">
      <c r="A250" s="54" t="inlineStr">
        <is>
          <t>Pinecone</t>
        </is>
      </c>
      <c r="B250" s="54" t="n">
        <v>32.91</v>
      </c>
      <c r="C250" s="54" t="n">
        <v>22.92</v>
      </c>
      <c r="D250" s="54" t="n">
        <v>30</v>
      </c>
      <c r="E250" s="54" t="n">
        <v>80.34999999999999</v>
      </c>
      <c r="F250" s="54" t="n">
        <v>1.41</v>
      </c>
      <c r="G250" s="54" t="n">
        <v>10.27</v>
      </c>
      <c r="H250" s="54" t="n">
        <v>48.62</v>
      </c>
      <c r="I250" s="54" t="n">
        <v>38.45</v>
      </c>
      <c r="J250" s="54" t="n">
        <v>5.31</v>
      </c>
      <c r="K250" s="54" t="n">
        <v>6</v>
      </c>
      <c r="L250" s="54" t="n">
        <v>7</v>
      </c>
      <c r="M250" s="54" t="n">
        <v>1</v>
      </c>
      <c r="N250" s="54" t="n">
        <v>1</v>
      </c>
      <c r="O250" s="54" t="n">
        <v>1</v>
      </c>
      <c r="P250" s="54" t="n">
        <v>120</v>
      </c>
      <c r="Q250" s="54" t="n">
        <v>4.01895635969833</v>
      </c>
      <c r="R250" s="54" t="n">
        <v>500</v>
      </c>
      <c r="S250" s="54" t="n">
        <v>1</v>
      </c>
      <c r="T250" s="54" t="n">
        <v>0</v>
      </c>
      <c r="U250" s="54" t="n">
        <v>120</v>
      </c>
      <c r="V250" s="54" t="n">
        <v>5</v>
      </c>
      <c r="W250" s="54" t="n">
        <v>1200</v>
      </c>
      <c r="X250" s="54" t="n">
        <v>75</v>
      </c>
    </row>
    <row r="251">
      <c r="A251" s="54" t="inlineStr">
        <is>
          <t>Pinecone</t>
        </is>
      </c>
      <c r="B251" s="54" t="n">
        <v>32.91</v>
      </c>
      <c r="C251" s="54" t="n">
        <v>22.92</v>
      </c>
      <c r="D251" s="54" t="n">
        <v>30</v>
      </c>
      <c r="E251" s="54" t="n">
        <v>80.34999999999999</v>
      </c>
      <c r="F251" s="54" t="n">
        <v>1.41</v>
      </c>
      <c r="G251" s="54" t="n">
        <v>10.27</v>
      </c>
      <c r="H251" s="54" t="n">
        <v>48.62</v>
      </c>
      <c r="I251" s="54" t="n">
        <v>38.45</v>
      </c>
      <c r="J251" s="54" t="n">
        <v>5.31</v>
      </c>
      <c r="K251" s="54" t="n">
        <v>6</v>
      </c>
      <c r="L251" s="54" t="n">
        <v>7</v>
      </c>
      <c r="M251" s="54" t="n">
        <v>1</v>
      </c>
      <c r="N251" s="54" t="n">
        <v>1</v>
      </c>
      <c r="O251" s="54" t="n">
        <v>1</v>
      </c>
      <c r="P251" s="54" t="n">
        <v>120</v>
      </c>
      <c r="Q251" s="54" t="n">
        <v>4.66290240035684</v>
      </c>
      <c r="R251" s="54" t="n">
        <v>500</v>
      </c>
      <c r="S251" s="54" t="n">
        <v>1</v>
      </c>
      <c r="T251" s="54" t="n">
        <v>0</v>
      </c>
      <c r="U251" s="54" t="n">
        <v>120</v>
      </c>
      <c r="V251" s="54" t="n">
        <v>5</v>
      </c>
      <c r="W251" s="54" t="n">
        <v>1400</v>
      </c>
      <c r="X251" s="54" t="n">
        <v>40</v>
      </c>
    </row>
    <row r="252">
      <c r="A252" s="54" t="inlineStr">
        <is>
          <t>Pinecone</t>
        </is>
      </c>
      <c r="B252" s="54" t="n">
        <v>32.91</v>
      </c>
      <c r="C252" s="54" t="n">
        <v>22.92</v>
      </c>
      <c r="D252" s="54" t="n">
        <v>30</v>
      </c>
      <c r="E252" s="54" t="n">
        <v>80.34999999999999</v>
      </c>
      <c r="F252" s="54" t="n">
        <v>1.41</v>
      </c>
      <c r="G252" s="54" t="n">
        <v>10.27</v>
      </c>
      <c r="H252" s="54" t="n">
        <v>48.62</v>
      </c>
      <c r="I252" s="54" t="n">
        <v>38.45</v>
      </c>
      <c r="J252" s="54" t="n">
        <v>5.31</v>
      </c>
      <c r="K252" s="54" t="n">
        <v>6</v>
      </c>
      <c r="L252" s="54" t="n">
        <v>7</v>
      </c>
      <c r="M252" s="54" t="n">
        <v>1</v>
      </c>
      <c r="N252" s="54" t="n">
        <v>1</v>
      </c>
      <c r="O252" s="54" t="n">
        <v>1</v>
      </c>
      <c r="P252" s="54" t="n">
        <v>120</v>
      </c>
      <c r="Q252" s="54" t="n">
        <v>4.00000085493361</v>
      </c>
      <c r="R252" s="54" t="n">
        <v>500</v>
      </c>
      <c r="S252" s="54" t="n">
        <v>1</v>
      </c>
      <c r="T252" s="54" t="n">
        <v>0</v>
      </c>
      <c r="U252" s="54" t="n">
        <v>120</v>
      </c>
      <c r="V252" s="54" t="n">
        <v>5</v>
      </c>
      <c r="W252" s="54" t="n">
        <v>1600</v>
      </c>
      <c r="X252" s="54" t="n">
        <v>4</v>
      </c>
    </row>
    <row r="253">
      <c r="A253" s="54" t="inlineStr">
        <is>
          <t>Pinecone shells</t>
        </is>
      </c>
      <c r="B253" s="54" t="n">
        <v>32.91</v>
      </c>
      <c r="C253" s="54" t="n">
        <v>22.92</v>
      </c>
      <c r="D253" s="54" t="n">
        <v>30</v>
      </c>
      <c r="E253" s="54" t="n">
        <v>80.34999999999999</v>
      </c>
      <c r="F253" s="54" t="n">
        <v>1.41</v>
      </c>
      <c r="G253" s="54" t="n">
        <v>10.27</v>
      </c>
      <c r="H253" s="54" t="n">
        <v>48.62</v>
      </c>
      <c r="I253" s="54" t="n">
        <v>38.45</v>
      </c>
      <c r="J253" s="54" t="n">
        <v>5.31</v>
      </c>
      <c r="K253" s="54" t="n">
        <v>1</v>
      </c>
      <c r="L253" s="54" t="n">
        <v>7</v>
      </c>
      <c r="M253" s="54" t="n">
        <v>0</v>
      </c>
      <c r="N253" s="54" t="n">
        <v>1</v>
      </c>
      <c r="O253" s="54" t="n">
        <v>1</v>
      </c>
      <c r="P253" s="54" t="n">
        <v>180</v>
      </c>
      <c r="Q253" s="54" t="n">
        <v>5</v>
      </c>
      <c r="R253" s="54" t="n">
        <v>600</v>
      </c>
      <c r="S253" s="54" t="n">
        <v>0</v>
      </c>
      <c r="T253" s="54" t="n">
        <v>5</v>
      </c>
      <c r="U253" s="54" t="n">
        <v>0</v>
      </c>
      <c r="V253" s="54" t="n">
        <v>0</v>
      </c>
      <c r="W253" s="54" t="n">
        <v>0</v>
      </c>
      <c r="X253" s="54" t="n">
        <v>38.3</v>
      </c>
    </row>
    <row r="254">
      <c r="A254" s="54" t="inlineStr">
        <is>
          <t>Pistachio shell</t>
        </is>
      </c>
      <c r="B254" s="54" t="n">
        <v>74.56</v>
      </c>
      <c r="C254" s="54" t="n">
        <v>10.33</v>
      </c>
      <c r="D254" s="54" t="n">
        <v>27.02</v>
      </c>
      <c r="E254" s="54" t="n">
        <v>89.31</v>
      </c>
      <c r="F254" s="54" t="n">
        <v>0.33</v>
      </c>
      <c r="G254" s="54" t="n">
        <v>5.46</v>
      </c>
      <c r="H254" s="54" t="n">
        <v>44.58</v>
      </c>
      <c r="I254" s="54" t="n">
        <v>43.75</v>
      </c>
      <c r="J254" s="54" t="n">
        <v>5.68</v>
      </c>
      <c r="K254" s="54" t="n">
        <v>4</v>
      </c>
      <c r="L254" s="54" t="n">
        <v>5</v>
      </c>
      <c r="M254" s="54" t="n">
        <v>0</v>
      </c>
      <c r="N254" s="54" t="n">
        <v>1</v>
      </c>
      <c r="O254" s="54" t="n">
        <v>4</v>
      </c>
      <c r="P254" s="54" t="n">
        <v>120</v>
      </c>
      <c r="Q254" s="54" t="n">
        <v>5</v>
      </c>
      <c r="R254" s="54" t="n">
        <v>1000</v>
      </c>
      <c r="S254" s="54" t="n">
        <v>0</v>
      </c>
      <c r="T254" s="54" t="n">
        <v>5</v>
      </c>
      <c r="U254" s="54" t="n">
        <v>0</v>
      </c>
      <c r="V254" s="54" t="n">
        <v>0</v>
      </c>
      <c r="W254" s="54" t="n">
        <v>0</v>
      </c>
      <c r="X254" s="54" t="n">
        <v>760.9</v>
      </c>
    </row>
    <row r="255">
      <c r="A255" s="54" t="inlineStr">
        <is>
          <t>Pistachio shell</t>
        </is>
      </c>
      <c r="B255" s="54" t="n">
        <v>74.56</v>
      </c>
      <c r="C255" s="54" t="n">
        <v>10.33</v>
      </c>
      <c r="D255" s="54" t="n">
        <v>27.02</v>
      </c>
      <c r="E255" s="54" t="n">
        <v>89.31</v>
      </c>
      <c r="F255" s="54" t="n">
        <v>0.33</v>
      </c>
      <c r="G255" s="54" t="n">
        <v>5.46</v>
      </c>
      <c r="H255" s="54" t="n">
        <v>44.58</v>
      </c>
      <c r="I255" s="54" t="n">
        <v>43.75</v>
      </c>
      <c r="J255" s="54" t="n">
        <v>5.68</v>
      </c>
      <c r="K255" s="54" t="n">
        <v>4</v>
      </c>
      <c r="L255" s="54" t="n">
        <v>5</v>
      </c>
      <c r="M255" s="54" t="n">
        <v>0</v>
      </c>
      <c r="N255" s="54" t="n">
        <v>1</v>
      </c>
      <c r="O255" s="54" t="n">
        <v>4</v>
      </c>
      <c r="P255" s="54" t="n">
        <v>120</v>
      </c>
      <c r="Q255" s="54" t="n">
        <v>5</v>
      </c>
      <c r="R255" s="54" t="n">
        <v>700</v>
      </c>
      <c r="S255" s="54" t="n">
        <v>0</v>
      </c>
      <c r="T255" s="54" t="n">
        <v>5</v>
      </c>
      <c r="U255" s="54" t="n">
        <v>0</v>
      </c>
      <c r="V255" s="54" t="n">
        <v>0</v>
      </c>
      <c r="W255" s="54" t="n">
        <v>0</v>
      </c>
      <c r="X255" s="54" t="n">
        <v>444.6</v>
      </c>
    </row>
    <row r="256">
      <c r="A256" s="54" t="inlineStr">
        <is>
          <t>Pistachio shell</t>
        </is>
      </c>
      <c r="B256" s="54" t="n">
        <v>74.56</v>
      </c>
      <c r="C256" s="54" t="n">
        <v>10.33</v>
      </c>
      <c r="D256" s="54" t="n">
        <v>27.02</v>
      </c>
      <c r="E256" s="54" t="n">
        <v>89.31</v>
      </c>
      <c r="F256" s="54" t="n">
        <v>0.33</v>
      </c>
      <c r="G256" s="54" t="n">
        <v>5.46</v>
      </c>
      <c r="H256" s="54" t="n">
        <v>44.58</v>
      </c>
      <c r="I256" s="54" t="n">
        <v>43.75</v>
      </c>
      <c r="J256" s="54" t="n">
        <v>5.68</v>
      </c>
      <c r="K256" s="54" t="n">
        <v>4</v>
      </c>
      <c r="L256" s="54" t="n">
        <v>5</v>
      </c>
      <c r="M256" s="54" t="n">
        <v>0</v>
      </c>
      <c r="N256" s="54" t="n">
        <v>1</v>
      </c>
      <c r="O256" s="54" t="n">
        <v>4</v>
      </c>
      <c r="P256" s="54" t="n">
        <v>120</v>
      </c>
      <c r="Q256" s="54" t="n">
        <v>5</v>
      </c>
      <c r="R256" s="54" t="n">
        <v>1300</v>
      </c>
      <c r="S256" s="54" t="n">
        <v>0</v>
      </c>
      <c r="T256" s="54" t="n">
        <v>5</v>
      </c>
      <c r="U256" s="54" t="n">
        <v>0</v>
      </c>
      <c r="V256" s="54" t="n">
        <v>0</v>
      </c>
      <c r="W256" s="54" t="n">
        <v>0</v>
      </c>
      <c r="X256" s="54" t="n">
        <v>33.1</v>
      </c>
    </row>
    <row r="257">
      <c r="A257" s="54" t="inlineStr">
        <is>
          <t>Pistachio shell</t>
        </is>
      </c>
      <c r="B257" s="54" t="n">
        <v>74.56</v>
      </c>
      <c r="C257" s="54" t="n">
        <v>10.33</v>
      </c>
      <c r="D257" s="54" t="n">
        <v>27.02</v>
      </c>
      <c r="E257" s="54" t="n">
        <v>89.31</v>
      </c>
      <c r="F257" s="54" t="n">
        <v>0.33</v>
      </c>
      <c r="G257" s="54" t="n">
        <v>5.46</v>
      </c>
      <c r="H257" s="54" t="n">
        <v>44.58</v>
      </c>
      <c r="I257" s="54" t="n">
        <v>43.75</v>
      </c>
      <c r="J257" s="54" t="n">
        <v>5.68</v>
      </c>
      <c r="K257" s="54" t="n">
        <v>4</v>
      </c>
      <c r="L257" s="54" t="n">
        <v>5</v>
      </c>
      <c r="M257" s="54" t="n">
        <v>0</v>
      </c>
      <c r="N257" s="54" t="n">
        <v>1</v>
      </c>
      <c r="O257" s="54" t="n">
        <v>4</v>
      </c>
      <c r="P257" s="54" t="n">
        <v>120</v>
      </c>
      <c r="Q257" s="54" t="n">
        <v>5</v>
      </c>
      <c r="R257" s="54" t="n">
        <v>1500</v>
      </c>
      <c r="S257" s="54" t="n">
        <v>0</v>
      </c>
      <c r="T257" s="54" t="n">
        <v>5</v>
      </c>
      <c r="U257" s="54" t="n">
        <v>0</v>
      </c>
      <c r="V257" s="54" t="n">
        <v>0</v>
      </c>
      <c r="W257" s="54" t="n">
        <v>0</v>
      </c>
      <c r="X257" s="54" t="n">
        <v>16.9</v>
      </c>
    </row>
    <row r="258">
      <c r="A258" s="54" t="inlineStr">
        <is>
          <t>Pistachio shells</t>
        </is>
      </c>
      <c r="B258" s="54" t="n">
        <v>74.56</v>
      </c>
      <c r="C258" s="54" t="n">
        <v>10.33</v>
      </c>
      <c r="D258" s="54" t="n">
        <v>27.02</v>
      </c>
      <c r="E258" s="54" t="n">
        <v>89.31</v>
      </c>
      <c r="F258" s="54" t="n">
        <v>0.33</v>
      </c>
      <c r="G258" s="54" t="n">
        <v>5.46</v>
      </c>
      <c r="H258" s="54" t="n">
        <v>44.58</v>
      </c>
      <c r="I258" s="54" t="n">
        <v>43.75</v>
      </c>
      <c r="J258" s="54" t="n">
        <v>5.68</v>
      </c>
      <c r="K258" s="54" t="n">
        <v>5</v>
      </c>
      <c r="L258" s="54" t="n">
        <v>5</v>
      </c>
      <c r="M258" s="54" t="n">
        <v>1</v>
      </c>
      <c r="N258" s="54" t="n">
        <v>0</v>
      </c>
      <c r="O258" s="54" t="n">
        <v>1</v>
      </c>
      <c r="P258" s="54" t="n">
        <v>360</v>
      </c>
      <c r="Q258" s="54" t="n">
        <v>3.87995269427798</v>
      </c>
      <c r="R258" s="54" t="n">
        <v>165</v>
      </c>
      <c r="S258" s="54" t="n">
        <v>1</v>
      </c>
      <c r="T258" s="54" t="n">
        <v>5</v>
      </c>
      <c r="U258" s="54" t="n">
        <v>39.4650537634409</v>
      </c>
      <c r="V258" s="54" t="n">
        <v>1.32558139534884</v>
      </c>
      <c r="W258" s="54" t="n">
        <v>800</v>
      </c>
      <c r="X258" s="54" t="n">
        <v>289.9</v>
      </c>
    </row>
    <row r="259">
      <c r="A259" s="54" t="inlineStr">
        <is>
          <t>Pistachio shells</t>
        </is>
      </c>
      <c r="B259" s="54" t="n">
        <v>74.56</v>
      </c>
      <c r="C259" s="54" t="n">
        <v>10.33</v>
      </c>
      <c r="D259" s="54" t="n">
        <v>27.02</v>
      </c>
      <c r="E259" s="54" t="n">
        <v>89.31</v>
      </c>
      <c r="F259" s="54" t="n">
        <v>0.33</v>
      </c>
      <c r="G259" s="54" t="n">
        <v>5.46</v>
      </c>
      <c r="H259" s="54" t="n">
        <v>44.58</v>
      </c>
      <c r="I259" s="54" t="n">
        <v>43.75</v>
      </c>
      <c r="J259" s="54" t="n">
        <v>5.68</v>
      </c>
      <c r="K259" s="54" t="n">
        <v>5</v>
      </c>
      <c r="L259" s="54" t="n">
        <v>5</v>
      </c>
      <c r="M259" s="54" t="n">
        <v>1</v>
      </c>
      <c r="N259" s="54" t="n">
        <v>0</v>
      </c>
      <c r="O259" s="54" t="n">
        <v>1</v>
      </c>
      <c r="P259" s="54" t="n">
        <v>360</v>
      </c>
      <c r="Q259" s="54" t="n">
        <v>4.50695726239638</v>
      </c>
      <c r="R259" s="54" t="n">
        <v>165</v>
      </c>
      <c r="S259" s="54" t="n">
        <v>1</v>
      </c>
      <c r="T259" s="54" t="n">
        <v>5</v>
      </c>
      <c r="U259" s="54" t="n">
        <v>39.4650537634409</v>
      </c>
      <c r="V259" s="54" t="n">
        <v>1.32558139534884</v>
      </c>
      <c r="W259" s="54" t="n">
        <v>900</v>
      </c>
      <c r="X259" s="54" t="n">
        <v>224.02</v>
      </c>
    </row>
    <row r="260">
      <c r="A260" s="54" t="inlineStr">
        <is>
          <t>Pistachio shells</t>
        </is>
      </c>
      <c r="B260" s="54" t="n">
        <v>74.56</v>
      </c>
      <c r="C260" s="54" t="n">
        <v>10.33</v>
      </c>
      <c r="D260" s="54" t="n">
        <v>27.02</v>
      </c>
      <c r="E260" s="54" t="n">
        <v>89.31</v>
      </c>
      <c r="F260" s="54" t="n">
        <v>0.33</v>
      </c>
      <c r="G260" s="54" t="n">
        <v>5.46</v>
      </c>
      <c r="H260" s="54" t="n">
        <v>44.58</v>
      </c>
      <c r="I260" s="54" t="n">
        <v>43.75</v>
      </c>
      <c r="J260" s="54" t="n">
        <v>5.68</v>
      </c>
      <c r="K260" s="54" t="n">
        <v>5</v>
      </c>
      <c r="L260" s="54" t="n">
        <v>5</v>
      </c>
      <c r="M260" s="54" t="n">
        <v>1</v>
      </c>
      <c r="N260" s="54" t="n">
        <v>0</v>
      </c>
      <c r="O260" s="54" t="n">
        <v>1</v>
      </c>
      <c r="P260" s="54" t="n">
        <v>360</v>
      </c>
      <c r="Q260" s="54" t="n">
        <v>4.51402646641681</v>
      </c>
      <c r="R260" s="54" t="n">
        <v>165</v>
      </c>
      <c r="S260" s="54" t="n">
        <v>1</v>
      </c>
      <c r="T260" s="54" t="n">
        <v>5</v>
      </c>
      <c r="U260" s="54" t="n">
        <v>39.4650537634409</v>
      </c>
      <c r="V260" s="54" t="n">
        <v>1.32558139534884</v>
      </c>
      <c r="W260" s="54" t="n">
        <v>1100</v>
      </c>
      <c r="X260" s="54" t="n">
        <v>194.5</v>
      </c>
    </row>
    <row r="261">
      <c r="A261" s="54" t="inlineStr">
        <is>
          <t>Pistachio shells</t>
        </is>
      </c>
      <c r="B261" s="54" t="n">
        <v>74.56</v>
      </c>
      <c r="C261" s="54" t="n">
        <v>10.33</v>
      </c>
      <c r="D261" s="54" t="n">
        <v>27.02</v>
      </c>
      <c r="E261" s="54" t="n">
        <v>89.31</v>
      </c>
      <c r="F261" s="54" t="n">
        <v>0.33</v>
      </c>
      <c r="G261" s="54" t="n">
        <v>5.46</v>
      </c>
      <c r="H261" s="54" t="n">
        <v>44.58</v>
      </c>
      <c r="I261" s="54" t="n">
        <v>43.75</v>
      </c>
      <c r="J261" s="54" t="n">
        <v>5.68</v>
      </c>
      <c r="K261" s="54" t="n">
        <v>5</v>
      </c>
      <c r="L261" s="54" t="n">
        <v>5</v>
      </c>
      <c r="M261" s="54" t="n">
        <v>1</v>
      </c>
      <c r="N261" s="54" t="n">
        <v>0</v>
      </c>
      <c r="O261" s="54" t="n">
        <v>1</v>
      </c>
      <c r="P261" s="54" t="n">
        <v>360</v>
      </c>
      <c r="Q261" s="54" t="n">
        <v>4.80626988272355</v>
      </c>
      <c r="R261" s="54" t="n">
        <v>165</v>
      </c>
      <c r="S261" s="54" t="n">
        <v>1</v>
      </c>
      <c r="T261" s="54" t="n">
        <v>5</v>
      </c>
      <c r="U261" s="54" t="n">
        <v>39.4650537634409</v>
      </c>
      <c r="V261" s="54" t="n">
        <v>1.32558139534884</v>
      </c>
      <c r="W261" s="54" t="n">
        <v>1000</v>
      </c>
      <c r="X261" s="54" t="n">
        <v>137.07</v>
      </c>
    </row>
    <row r="262">
      <c r="A262" s="54" t="inlineStr">
        <is>
          <t>Platanus</t>
        </is>
      </c>
      <c r="B262" s="54" t="n">
        <v>33.79</v>
      </c>
      <c r="C262" s="54" t="n">
        <v>19.91</v>
      </c>
      <c r="D262" s="54" t="n">
        <v>25.89</v>
      </c>
      <c r="E262" s="54" t="n">
        <v>74.09999999999999</v>
      </c>
      <c r="F262" s="54" t="n">
        <v>3.61</v>
      </c>
      <c r="G262" s="54" t="n">
        <v>22.29</v>
      </c>
      <c r="H262" s="54" t="n">
        <v>47.8</v>
      </c>
      <c r="I262" s="54" t="n">
        <v>40.33</v>
      </c>
      <c r="J262" s="54" t="n">
        <v>6.62</v>
      </c>
      <c r="K262" s="54" t="n">
        <v>0</v>
      </c>
      <c r="L262" s="54" t="n">
        <v>5</v>
      </c>
      <c r="M262" s="54" t="n">
        <v>1</v>
      </c>
      <c r="N262" s="54" t="n">
        <v>1</v>
      </c>
      <c r="O262" s="54" t="n">
        <v>4</v>
      </c>
      <c r="P262" s="54" t="n">
        <v>60</v>
      </c>
      <c r="Q262" s="54" t="n">
        <v>1</v>
      </c>
      <c r="R262" s="54" t="n">
        <v>550</v>
      </c>
      <c r="S262" s="54" t="n">
        <v>1</v>
      </c>
      <c r="T262" s="54" t="n">
        <v>5</v>
      </c>
      <c r="U262" s="54" t="n">
        <v>120</v>
      </c>
      <c r="V262" s="54" t="n">
        <v>10</v>
      </c>
      <c r="W262" s="54" t="n">
        <v>700</v>
      </c>
      <c r="X262" s="54" t="n">
        <v>602.1</v>
      </c>
    </row>
    <row r="263">
      <c r="A263" s="54" t="inlineStr">
        <is>
          <t>Platanus</t>
        </is>
      </c>
      <c r="B263" s="54" t="n">
        <v>33.79</v>
      </c>
      <c r="C263" s="54" t="n">
        <v>19.91</v>
      </c>
      <c r="D263" s="54" t="n">
        <v>25.89</v>
      </c>
      <c r="E263" s="54" t="n">
        <v>74.09999999999999</v>
      </c>
      <c r="F263" s="54" t="n">
        <v>3.61</v>
      </c>
      <c r="G263" s="54" t="n">
        <v>22.29</v>
      </c>
      <c r="H263" s="54" t="n">
        <v>47.8</v>
      </c>
      <c r="I263" s="54" t="n">
        <v>40.33</v>
      </c>
      <c r="J263" s="54" t="n">
        <v>6.62</v>
      </c>
      <c r="K263" s="54" t="n">
        <v>4</v>
      </c>
      <c r="L263" s="54" t="n">
        <v>5</v>
      </c>
      <c r="M263" s="54" t="n">
        <v>1</v>
      </c>
      <c r="N263" s="54" t="n">
        <v>1</v>
      </c>
      <c r="O263" s="54" t="n">
        <v>4</v>
      </c>
      <c r="P263" s="54" t="n">
        <v>60</v>
      </c>
      <c r="Q263" s="54" t="n">
        <v>1</v>
      </c>
      <c r="R263" s="54" t="n">
        <v>550</v>
      </c>
      <c r="S263" s="54" t="n">
        <v>1</v>
      </c>
      <c r="T263" s="54" t="n">
        <v>5</v>
      </c>
      <c r="U263" s="54" t="n">
        <v>120</v>
      </c>
      <c r="V263" s="54" t="n">
        <v>10</v>
      </c>
      <c r="W263" s="54" t="n">
        <v>700</v>
      </c>
      <c r="X263" s="54" t="n">
        <v>307.2</v>
      </c>
    </row>
    <row r="264">
      <c r="A264" s="54" t="inlineStr">
        <is>
          <t>Platanus bark</t>
        </is>
      </c>
      <c r="B264" s="54" t="n">
        <v>33.79</v>
      </c>
      <c r="C264" s="54" t="n">
        <v>19.91</v>
      </c>
      <c r="D264" s="54" t="n">
        <v>25.89</v>
      </c>
      <c r="E264" s="54" t="n">
        <v>74.09999999999999</v>
      </c>
      <c r="F264" s="54" t="n">
        <v>3.61</v>
      </c>
      <c r="G264" s="54" t="n">
        <v>22.29</v>
      </c>
      <c r="H264" s="54" t="n">
        <v>47.8</v>
      </c>
      <c r="I264" s="54" t="n">
        <v>40.33</v>
      </c>
      <c r="J264" s="54" t="n">
        <v>6.62</v>
      </c>
      <c r="K264" s="54" t="n">
        <v>6</v>
      </c>
      <c r="L264" s="54" t="n">
        <v>5</v>
      </c>
      <c r="M264" s="54" t="n">
        <v>0</v>
      </c>
      <c r="N264" s="54" t="n">
        <v>1</v>
      </c>
      <c r="O264" s="54" t="n">
        <v>0</v>
      </c>
      <c r="P264" s="54" t="n">
        <v>81.15290299833519</v>
      </c>
      <c r="Q264" s="54" t="n">
        <v>4.56072835003923</v>
      </c>
      <c r="R264" s="54" t="n">
        <v>700</v>
      </c>
      <c r="S264" s="54" t="n">
        <v>0</v>
      </c>
      <c r="T264" s="54" t="n">
        <v>5</v>
      </c>
      <c r="U264" s="54" t="n">
        <v>0</v>
      </c>
      <c r="V264" s="54" t="n">
        <v>0</v>
      </c>
      <c r="W264" s="54" t="n">
        <v>0</v>
      </c>
      <c r="X264" s="54" t="n">
        <v>602.1</v>
      </c>
    </row>
    <row r="265">
      <c r="A265" s="54" t="inlineStr">
        <is>
          <t>Poplar wood</t>
        </is>
      </c>
      <c r="B265" s="54" t="n">
        <v>44.12</v>
      </c>
      <c r="C265" s="54" t="n">
        <v>30.21</v>
      </c>
      <c r="D265" s="54" t="n">
        <v>21.24</v>
      </c>
      <c r="E265" s="54" t="n">
        <v>74.385703649405</v>
      </c>
      <c r="F265" s="54" t="n">
        <v>6.95059798546959</v>
      </c>
      <c r="G265" s="54" t="n">
        <v>18.2820159252674</v>
      </c>
      <c r="H265" s="54" t="n">
        <v>46.8766245529132</v>
      </c>
      <c r="I265" s="54" t="n">
        <v>37.7801436964187</v>
      </c>
      <c r="J265" s="54" t="n">
        <v>13.1621483602777</v>
      </c>
      <c r="K265" s="54" t="n">
        <v>4</v>
      </c>
      <c r="L265" s="54" t="n">
        <v>5</v>
      </c>
      <c r="M265" s="54" t="n">
        <v>0</v>
      </c>
      <c r="N265" s="54" t="n">
        <v>1</v>
      </c>
      <c r="O265" s="54" t="n">
        <v>4</v>
      </c>
      <c r="P265" s="54" t="n">
        <v>120</v>
      </c>
      <c r="Q265" s="54" t="n">
        <v>3.76116931433213</v>
      </c>
      <c r="R265" s="54" t="n">
        <v>1600</v>
      </c>
      <c r="S265" s="54" t="n">
        <v>0</v>
      </c>
      <c r="T265" s="54" t="n">
        <v>5</v>
      </c>
      <c r="U265" s="54" t="n">
        <v>0</v>
      </c>
      <c r="V265" s="54" t="n">
        <v>0</v>
      </c>
      <c r="W265" s="54" t="n">
        <v>0</v>
      </c>
      <c r="X265" s="54" t="n">
        <v>117.7</v>
      </c>
    </row>
    <row r="266">
      <c r="A266" s="54" t="inlineStr">
        <is>
          <t>Poplar wood</t>
        </is>
      </c>
      <c r="B266" s="54" t="n">
        <v>44.12</v>
      </c>
      <c r="C266" s="54" t="n">
        <v>30.21</v>
      </c>
      <c r="D266" s="54" t="n">
        <v>21.24</v>
      </c>
      <c r="E266" s="54" t="n">
        <v>84.4896598907022</v>
      </c>
      <c r="F266" s="54" t="n">
        <v>2.26686453889956</v>
      </c>
      <c r="G266" s="54" t="n">
        <v>13.3562879872914</v>
      </c>
      <c r="H266" s="54" t="n">
        <v>48.7672916022473</v>
      </c>
      <c r="I266" s="54" t="n">
        <v>41.1038434384864</v>
      </c>
      <c r="J266" s="54" t="n">
        <v>6.09652990959455</v>
      </c>
      <c r="K266" s="54" t="n">
        <v>4</v>
      </c>
      <c r="L266" s="54" t="n">
        <v>5</v>
      </c>
      <c r="M266" s="54" t="n">
        <v>0</v>
      </c>
      <c r="N266" s="54" t="n">
        <v>1</v>
      </c>
      <c r="O266" s="54" t="n">
        <v>4</v>
      </c>
      <c r="P266" s="54" t="n">
        <v>120</v>
      </c>
      <c r="Q266" s="54" t="n">
        <v>4.98177461138592</v>
      </c>
      <c r="R266" s="54" t="n">
        <v>1400</v>
      </c>
      <c r="S266" s="54" t="n">
        <v>0</v>
      </c>
      <c r="T266" s="54" t="n">
        <v>5</v>
      </c>
      <c r="U266" s="54" t="n">
        <v>0</v>
      </c>
      <c r="V266" s="54" t="n">
        <v>0</v>
      </c>
      <c r="W266" s="54" t="n">
        <v>0</v>
      </c>
      <c r="X266" s="54" t="n">
        <v>5.8</v>
      </c>
    </row>
    <row r="267">
      <c r="A267" s="54" t="inlineStr">
        <is>
          <t>Potato peel</t>
        </is>
      </c>
      <c r="B267" s="54" t="n">
        <v>55.25</v>
      </c>
      <c r="C267" s="54" t="n">
        <v>11.71</v>
      </c>
      <c r="D267" s="54" t="n">
        <v>14.24</v>
      </c>
      <c r="E267" s="54" t="n">
        <v>66.54000000000001</v>
      </c>
      <c r="F267" s="54" t="n">
        <v>8.6</v>
      </c>
      <c r="G267" s="54" t="n">
        <v>16.55</v>
      </c>
      <c r="H267" s="54" t="n">
        <v>43.85</v>
      </c>
      <c r="I267" s="54" t="n">
        <v>46.83</v>
      </c>
      <c r="J267" s="54" t="n">
        <v>5.8</v>
      </c>
      <c r="K267" s="54" t="n">
        <v>1</v>
      </c>
      <c r="L267" s="54" t="n">
        <v>5</v>
      </c>
      <c r="M267" s="54" t="n">
        <v>0</v>
      </c>
      <c r="N267" s="54" t="n">
        <v>1</v>
      </c>
      <c r="O267" s="54" t="n">
        <v>4</v>
      </c>
      <c r="P267" s="54" t="n">
        <v>60</v>
      </c>
      <c r="Q267" s="54" t="n">
        <v>5</v>
      </c>
      <c r="R267" s="54" t="n">
        <v>1300</v>
      </c>
      <c r="S267" s="54" t="n">
        <v>0</v>
      </c>
      <c r="T267" s="54" t="n">
        <v>5</v>
      </c>
      <c r="U267" s="54" t="n">
        <v>0</v>
      </c>
      <c r="V267" s="54" t="n">
        <v>0</v>
      </c>
      <c r="W267" s="54" t="n">
        <v>0</v>
      </c>
      <c r="X267" s="54" t="n">
        <v>35</v>
      </c>
    </row>
    <row r="268">
      <c r="A268" s="54" t="inlineStr">
        <is>
          <t>Potato peel</t>
        </is>
      </c>
      <c r="B268" s="54" t="n">
        <v>55.25</v>
      </c>
      <c r="C268" s="54" t="n">
        <v>11.71</v>
      </c>
      <c r="D268" s="54" t="n">
        <v>14.24</v>
      </c>
      <c r="E268" s="54" t="n">
        <v>66.54000000000001</v>
      </c>
      <c r="F268" s="54" t="n">
        <v>8.6</v>
      </c>
      <c r="G268" s="54" t="n">
        <v>16.55</v>
      </c>
      <c r="H268" s="54" t="n">
        <v>43.85</v>
      </c>
      <c r="I268" s="54" t="n">
        <v>46.83</v>
      </c>
      <c r="J268" s="54" t="n">
        <v>5.8</v>
      </c>
      <c r="K268" s="54" t="n">
        <v>4</v>
      </c>
      <c r="L268" s="54" t="n">
        <v>5</v>
      </c>
      <c r="M268" s="54" t="n">
        <v>0</v>
      </c>
      <c r="N268" s="54" t="n">
        <v>1</v>
      </c>
      <c r="O268" s="54" t="n">
        <v>4</v>
      </c>
      <c r="P268" s="54" t="n">
        <v>60</v>
      </c>
      <c r="Q268" s="54" t="n">
        <v>5</v>
      </c>
      <c r="R268" s="54" t="n">
        <v>1300</v>
      </c>
      <c r="S268" s="54" t="n">
        <v>0</v>
      </c>
      <c r="T268" s="54" t="n">
        <v>5</v>
      </c>
      <c r="U268" s="54" t="n">
        <v>0</v>
      </c>
      <c r="V268" s="54" t="n">
        <v>0</v>
      </c>
      <c r="W268" s="54" t="n">
        <v>0</v>
      </c>
      <c r="X268" s="54" t="n">
        <v>8.5</v>
      </c>
    </row>
    <row r="269">
      <c r="A269" s="54" t="inlineStr">
        <is>
          <t>Rambutan peel</t>
        </is>
      </c>
      <c r="B269" s="54" t="n">
        <v>24.28</v>
      </c>
      <c r="C269" s="54" t="n">
        <v>11.62</v>
      </c>
      <c r="D269" s="54" t="n">
        <v>35.34</v>
      </c>
      <c r="E269" s="54" t="n">
        <v>76.91709116146789</v>
      </c>
      <c r="F269" s="54" t="n">
        <v>5.22595412844037</v>
      </c>
      <c r="G269" s="54" t="n">
        <v>14.0326146788991</v>
      </c>
      <c r="H269" s="54" t="n">
        <v>47.3857750759878</v>
      </c>
      <c r="I269" s="54" t="n">
        <v>42.0079027355623</v>
      </c>
      <c r="J269" s="54" t="n">
        <v>6.9858950617284</v>
      </c>
      <c r="K269" s="54" t="n">
        <v>6</v>
      </c>
      <c r="L269" s="54" t="n">
        <v>6</v>
      </c>
      <c r="M269" s="54" t="n">
        <v>1</v>
      </c>
      <c r="N269" s="54" t="n">
        <v>0</v>
      </c>
      <c r="O269" s="54" t="n">
        <v>1</v>
      </c>
      <c r="P269" s="54" t="n">
        <v>1000</v>
      </c>
      <c r="Q269" s="54" t="n">
        <v>9.28914977077066</v>
      </c>
      <c r="R269" s="54" t="n">
        <v>200</v>
      </c>
      <c r="S269" s="54" t="n">
        <v>1</v>
      </c>
      <c r="T269" s="54" t="n">
        <v>5</v>
      </c>
      <c r="U269" s="54" t="n">
        <v>39.4650537634409</v>
      </c>
      <c r="V269" s="54" t="n">
        <v>120</v>
      </c>
      <c r="W269" s="54" t="n">
        <v>5</v>
      </c>
      <c r="X269" s="54" t="n">
        <v>1200</v>
      </c>
    </row>
    <row r="270">
      <c r="A270" s="54" t="inlineStr">
        <is>
          <t>Rambutan peel</t>
        </is>
      </c>
      <c r="B270" s="54" t="n">
        <v>24.28</v>
      </c>
      <c r="C270" s="54" t="n">
        <v>11.62</v>
      </c>
      <c r="D270" s="54" t="n">
        <v>35.34</v>
      </c>
      <c r="E270" s="54" t="n">
        <v>76.91709116146789</v>
      </c>
      <c r="F270" s="54" t="n">
        <v>5.22595412844037</v>
      </c>
      <c r="G270" s="54" t="n">
        <v>14.0326146788991</v>
      </c>
      <c r="H270" s="54" t="n">
        <v>47.3857750759878</v>
      </c>
      <c r="I270" s="54" t="n">
        <v>42.0079027355623</v>
      </c>
      <c r="J270" s="54" t="n">
        <v>6.9858950617284</v>
      </c>
      <c r="K270" s="54" t="n">
        <v>6</v>
      </c>
      <c r="L270" s="54" t="n">
        <v>6</v>
      </c>
      <c r="M270" s="54" t="n">
        <v>1</v>
      </c>
      <c r="N270" s="54" t="n">
        <v>0</v>
      </c>
      <c r="O270" s="54" t="n">
        <v>1</v>
      </c>
      <c r="P270" s="54" t="n">
        <v>1200</v>
      </c>
      <c r="Q270" s="54" t="n">
        <v>8.530005542436809</v>
      </c>
      <c r="R270" s="54" t="n">
        <v>200</v>
      </c>
      <c r="S270" s="54" t="n">
        <v>1</v>
      </c>
      <c r="T270" s="54" t="n">
        <v>5</v>
      </c>
      <c r="U270" s="54" t="n">
        <v>39.4650537634409</v>
      </c>
      <c r="V270" s="54" t="n">
        <v>120</v>
      </c>
      <c r="W270" s="54" t="n">
        <v>5</v>
      </c>
      <c r="X270" s="54" t="n">
        <v>1000</v>
      </c>
    </row>
    <row r="271">
      <c r="A271" s="54" t="inlineStr">
        <is>
          <t>Rambutan peel</t>
        </is>
      </c>
      <c r="B271" s="54" t="n">
        <v>24.28</v>
      </c>
      <c r="C271" s="54" t="n">
        <v>11.62</v>
      </c>
      <c r="D271" s="54" t="n">
        <v>35.34</v>
      </c>
      <c r="E271" s="54" t="n">
        <v>76.91709116146789</v>
      </c>
      <c r="F271" s="54" t="n">
        <v>5.22595412844037</v>
      </c>
      <c r="G271" s="54" t="n">
        <v>14.0326146788991</v>
      </c>
      <c r="H271" s="54" t="n">
        <v>47.3857750759878</v>
      </c>
      <c r="I271" s="54" t="n">
        <v>42.0079027355623</v>
      </c>
      <c r="J271" s="54" t="n">
        <v>6.9858950617284</v>
      </c>
      <c r="K271" s="54" t="n">
        <v>6</v>
      </c>
      <c r="L271" s="54" t="n">
        <v>6</v>
      </c>
      <c r="M271" s="54" t="n">
        <v>1</v>
      </c>
      <c r="N271" s="54" t="n">
        <v>0</v>
      </c>
      <c r="O271" s="54" t="n">
        <v>1</v>
      </c>
      <c r="P271" s="54" t="n">
        <v>800</v>
      </c>
      <c r="Q271" s="54" t="n">
        <v>7.50825928014986</v>
      </c>
      <c r="R271" s="54" t="n">
        <v>200</v>
      </c>
      <c r="S271" s="54" t="n">
        <v>1</v>
      </c>
      <c r="T271" s="54" t="n">
        <v>5</v>
      </c>
      <c r="U271" s="54" t="n">
        <v>39.4650537634409</v>
      </c>
      <c r="V271" s="54" t="n">
        <v>120</v>
      </c>
      <c r="W271" s="54" t="n">
        <v>5</v>
      </c>
      <c r="X271" s="54" t="n">
        <v>800</v>
      </c>
    </row>
    <row r="272">
      <c r="A272" s="54" t="inlineStr">
        <is>
          <t>Reed straw</t>
        </is>
      </c>
      <c r="B272" s="54" t="n">
        <v>56</v>
      </c>
      <c r="C272" s="54" t="n">
        <v>14.5</v>
      </c>
      <c r="D272" s="54" t="n">
        <v>20.5</v>
      </c>
      <c r="E272" s="54" t="n">
        <v>79.73</v>
      </c>
      <c r="F272" s="54" t="n">
        <v>2</v>
      </c>
      <c r="G272" s="54" t="n">
        <v>14.47</v>
      </c>
      <c r="H272" s="54" t="n">
        <v>45.16</v>
      </c>
      <c r="I272" s="54" t="n">
        <v>48.78</v>
      </c>
      <c r="J272" s="54" t="n">
        <v>5.58</v>
      </c>
      <c r="K272" s="54" t="n">
        <v>6</v>
      </c>
      <c r="L272" s="54" t="n">
        <v>5</v>
      </c>
      <c r="M272" s="54" t="n">
        <v>1</v>
      </c>
      <c r="N272" s="54" t="n">
        <v>0</v>
      </c>
      <c r="O272" s="54" t="n">
        <v>4</v>
      </c>
      <c r="P272" s="54" t="n">
        <v>24</v>
      </c>
      <c r="Q272" s="54" t="n">
        <v>10</v>
      </c>
      <c r="R272" s="54" t="n">
        <v>200</v>
      </c>
      <c r="S272" s="54" t="n">
        <v>1</v>
      </c>
      <c r="T272" s="54" t="n">
        <v>5</v>
      </c>
      <c r="U272" s="54" t="n">
        <v>120</v>
      </c>
      <c r="V272" s="54" t="n">
        <v>5</v>
      </c>
      <c r="W272" s="54" t="n">
        <v>900</v>
      </c>
      <c r="X272" s="54" t="n">
        <v>325.3</v>
      </c>
    </row>
    <row r="273">
      <c r="A273" s="54" t="inlineStr">
        <is>
          <t>Reed straw</t>
        </is>
      </c>
      <c r="B273" s="54" t="n">
        <v>56</v>
      </c>
      <c r="C273" s="54" t="n">
        <v>14.5</v>
      </c>
      <c r="D273" s="54" t="n">
        <v>20.5</v>
      </c>
      <c r="E273" s="54" t="n">
        <v>79.73</v>
      </c>
      <c r="F273" s="54" t="n">
        <v>2</v>
      </c>
      <c r="G273" s="54" t="n">
        <v>14.47</v>
      </c>
      <c r="H273" s="54" t="n">
        <v>45.16</v>
      </c>
      <c r="I273" s="54" t="n">
        <v>48.78</v>
      </c>
      <c r="J273" s="54" t="n">
        <v>5.58</v>
      </c>
      <c r="K273" s="54" t="n">
        <v>6</v>
      </c>
      <c r="L273" s="54" t="n">
        <v>5</v>
      </c>
      <c r="M273" s="54" t="n">
        <v>1</v>
      </c>
      <c r="N273" s="54" t="n">
        <v>0</v>
      </c>
      <c r="O273" s="54" t="n">
        <v>4</v>
      </c>
      <c r="P273" s="54" t="n">
        <v>24</v>
      </c>
      <c r="Q273" s="54" t="n">
        <v>10</v>
      </c>
      <c r="R273" s="54" t="n">
        <v>200</v>
      </c>
      <c r="S273" s="54" t="n">
        <v>1</v>
      </c>
      <c r="T273" s="54" t="n">
        <v>5</v>
      </c>
      <c r="U273" s="54" t="n">
        <v>120</v>
      </c>
      <c r="V273" s="54" t="n">
        <v>5</v>
      </c>
      <c r="W273" s="54" t="n">
        <v>1100</v>
      </c>
      <c r="X273" s="54" t="n">
        <v>82.01000000000001</v>
      </c>
    </row>
    <row r="274">
      <c r="A274" s="54" t="inlineStr">
        <is>
          <t>Reed straw</t>
        </is>
      </c>
      <c r="B274" s="54" t="n">
        <v>56</v>
      </c>
      <c r="C274" s="54" t="n">
        <v>14.5</v>
      </c>
      <c r="D274" s="54" t="n">
        <v>20.5</v>
      </c>
      <c r="E274" s="54" t="n">
        <v>79.73</v>
      </c>
      <c r="F274" s="54" t="n">
        <v>2</v>
      </c>
      <c r="G274" s="54" t="n">
        <v>14.47</v>
      </c>
      <c r="H274" s="54" t="n">
        <v>45.16</v>
      </c>
      <c r="I274" s="54" t="n">
        <v>48.78</v>
      </c>
      <c r="J274" s="54" t="n">
        <v>5.58</v>
      </c>
      <c r="K274" s="54" t="n">
        <v>6</v>
      </c>
      <c r="L274" s="54" t="n">
        <v>5</v>
      </c>
      <c r="M274" s="54" t="n">
        <v>1</v>
      </c>
      <c r="N274" s="54" t="n">
        <v>0</v>
      </c>
      <c r="O274" s="54" t="n">
        <v>4</v>
      </c>
      <c r="P274" s="54" t="n">
        <v>24</v>
      </c>
      <c r="Q274" s="54" t="n">
        <v>10</v>
      </c>
      <c r="R274" s="54" t="n">
        <v>200</v>
      </c>
      <c r="S274" s="54" t="n">
        <v>1</v>
      </c>
      <c r="T274" s="54" t="n">
        <v>5</v>
      </c>
      <c r="U274" s="54" t="n">
        <v>120</v>
      </c>
      <c r="V274" s="54" t="n">
        <v>5</v>
      </c>
      <c r="W274" s="54" t="n">
        <v>1300</v>
      </c>
      <c r="X274" s="54" t="n">
        <v>36.2</v>
      </c>
    </row>
    <row r="275">
      <c r="A275" s="54" t="inlineStr">
        <is>
          <t>Reed straw</t>
        </is>
      </c>
      <c r="B275" s="54" t="n">
        <v>56</v>
      </c>
      <c r="C275" s="54" t="n">
        <v>14.5</v>
      </c>
      <c r="D275" s="54" t="n">
        <v>20.5</v>
      </c>
      <c r="E275" s="54" t="n">
        <v>79.73</v>
      </c>
      <c r="F275" s="54" t="n">
        <v>2</v>
      </c>
      <c r="G275" s="54" t="n">
        <v>14.47</v>
      </c>
      <c r="H275" s="54" t="n">
        <v>45.16</v>
      </c>
      <c r="I275" s="54" t="n">
        <v>48.78</v>
      </c>
      <c r="J275" s="54" t="n">
        <v>5.58</v>
      </c>
      <c r="K275" s="54" t="n">
        <v>6</v>
      </c>
      <c r="L275" s="54" t="n">
        <v>5</v>
      </c>
      <c r="M275" s="54" t="n">
        <v>1</v>
      </c>
      <c r="N275" s="54" t="n">
        <v>0</v>
      </c>
      <c r="O275" s="54" t="n">
        <v>4</v>
      </c>
      <c r="P275" s="54" t="n">
        <v>24</v>
      </c>
      <c r="Q275" s="54" t="n">
        <v>10</v>
      </c>
      <c r="R275" s="54" t="n">
        <v>200</v>
      </c>
      <c r="S275" s="54" t="n">
        <v>1</v>
      </c>
      <c r="T275" s="54" t="n">
        <v>5</v>
      </c>
      <c r="U275" s="54" t="n">
        <v>120</v>
      </c>
      <c r="V275" s="54" t="n">
        <v>5</v>
      </c>
      <c r="W275" s="54" t="n">
        <v>1500</v>
      </c>
      <c r="X275" s="54" t="n">
        <v>23.87</v>
      </c>
    </row>
    <row r="276">
      <c r="A276" s="54" t="inlineStr">
        <is>
          <t>Reed straw</t>
        </is>
      </c>
      <c r="B276" s="54" t="n">
        <v>56</v>
      </c>
      <c r="C276" s="54" t="n">
        <v>14.5</v>
      </c>
      <c r="D276" s="54" t="n">
        <v>20.5</v>
      </c>
      <c r="E276" s="54" t="n">
        <v>79.73</v>
      </c>
      <c r="F276" s="54" t="n">
        <v>2</v>
      </c>
      <c r="G276" s="54" t="n">
        <v>14.47</v>
      </c>
      <c r="H276" s="54" t="n">
        <v>45.16</v>
      </c>
      <c r="I276" s="54" t="n">
        <v>48.78</v>
      </c>
      <c r="J276" s="54" t="n">
        <v>5.58</v>
      </c>
      <c r="K276" s="54" t="n">
        <v>2</v>
      </c>
      <c r="L276" s="54" t="n">
        <v>5</v>
      </c>
      <c r="M276" s="54" t="n">
        <v>1</v>
      </c>
      <c r="N276" s="54" t="n">
        <v>1</v>
      </c>
      <c r="O276" s="54" t="n">
        <v>4</v>
      </c>
      <c r="P276" s="54" t="n">
        <v>180</v>
      </c>
      <c r="Q276" s="54" t="n">
        <v>10</v>
      </c>
      <c r="R276" s="54" t="n">
        <v>400</v>
      </c>
      <c r="S276" s="54" t="n">
        <v>1</v>
      </c>
      <c r="T276" s="54" t="n">
        <v>5</v>
      </c>
      <c r="U276" s="54" t="n">
        <v>120</v>
      </c>
      <c r="V276" s="54" t="n">
        <v>5</v>
      </c>
      <c r="W276" s="54" t="n">
        <v>1400</v>
      </c>
      <c r="X276" s="54" t="n">
        <v>11.78</v>
      </c>
    </row>
    <row r="277">
      <c r="A277" s="54" t="inlineStr">
        <is>
          <t>Reed straw</t>
        </is>
      </c>
      <c r="B277" s="54" t="n">
        <v>56</v>
      </c>
      <c r="C277" s="54" t="n">
        <v>14.5</v>
      </c>
      <c r="D277" s="54" t="n">
        <v>20.5</v>
      </c>
      <c r="E277" s="54" t="n">
        <v>79.73</v>
      </c>
      <c r="F277" s="54" t="n">
        <v>2</v>
      </c>
      <c r="G277" s="54" t="n">
        <v>14.47</v>
      </c>
      <c r="H277" s="54" t="n">
        <v>45.16</v>
      </c>
      <c r="I277" s="54" t="n">
        <v>48.78</v>
      </c>
      <c r="J277" s="54" t="n">
        <v>5.58</v>
      </c>
      <c r="K277" s="54" t="n">
        <v>2</v>
      </c>
      <c r="L277" s="54" t="n">
        <v>5</v>
      </c>
      <c r="M277" s="54" t="n">
        <v>1</v>
      </c>
      <c r="N277" s="54" t="n">
        <v>1</v>
      </c>
      <c r="O277" s="54" t="n">
        <v>4</v>
      </c>
      <c r="P277" s="54" t="n">
        <v>180</v>
      </c>
      <c r="Q277" s="54" t="n">
        <v>10</v>
      </c>
      <c r="R277" s="54" t="n">
        <v>400</v>
      </c>
      <c r="S277" s="54" t="n">
        <v>1</v>
      </c>
      <c r="T277" s="54" t="n">
        <v>5</v>
      </c>
      <c r="U277" s="54" t="n">
        <v>120</v>
      </c>
      <c r="V277" s="54" t="n">
        <v>5</v>
      </c>
      <c r="W277" s="54" t="n">
        <v>1400</v>
      </c>
      <c r="X277" s="54" t="n">
        <v>10.66</v>
      </c>
    </row>
    <row r="278">
      <c r="A278" s="54" t="inlineStr">
        <is>
          <t>Reed straw</t>
        </is>
      </c>
      <c r="B278" s="54" t="n">
        <v>56</v>
      </c>
      <c r="C278" s="54" t="n">
        <v>14.5</v>
      </c>
      <c r="D278" s="54" t="n">
        <v>20.5</v>
      </c>
      <c r="E278" s="54" t="n">
        <v>79.73</v>
      </c>
      <c r="F278" s="54" t="n">
        <v>2</v>
      </c>
      <c r="G278" s="54" t="n">
        <v>14.47</v>
      </c>
      <c r="H278" s="54" t="n">
        <v>45.16</v>
      </c>
      <c r="I278" s="54" t="n">
        <v>48.78</v>
      </c>
      <c r="J278" s="54" t="n">
        <v>5.58</v>
      </c>
      <c r="K278" s="54" t="n">
        <v>2</v>
      </c>
      <c r="L278" s="54" t="n">
        <v>5</v>
      </c>
      <c r="M278" s="54" t="n">
        <v>1</v>
      </c>
      <c r="N278" s="54" t="n">
        <v>1</v>
      </c>
      <c r="O278" s="54" t="n">
        <v>4</v>
      </c>
      <c r="P278" s="54" t="n">
        <v>180</v>
      </c>
      <c r="Q278" s="54" t="n">
        <v>10</v>
      </c>
      <c r="R278" s="54" t="n">
        <v>400</v>
      </c>
      <c r="S278" s="54" t="n">
        <v>1</v>
      </c>
      <c r="T278" s="54" t="n">
        <v>5</v>
      </c>
      <c r="U278" s="54" t="n">
        <v>120</v>
      </c>
      <c r="V278" s="54" t="n">
        <v>5</v>
      </c>
      <c r="W278" s="54" t="n">
        <v>1400</v>
      </c>
      <c r="X278" s="54" t="n">
        <v>10.57</v>
      </c>
    </row>
    <row r="279">
      <c r="A279" s="54" t="inlineStr">
        <is>
          <t>Reed straw</t>
        </is>
      </c>
      <c r="B279" s="54" t="n">
        <v>56</v>
      </c>
      <c r="C279" s="54" t="n">
        <v>14.5</v>
      </c>
      <c r="D279" s="54" t="n">
        <v>20.5</v>
      </c>
      <c r="E279" s="54" t="n">
        <v>79.73</v>
      </c>
      <c r="F279" s="54" t="n">
        <v>2</v>
      </c>
      <c r="G279" s="54" t="n">
        <v>14.47</v>
      </c>
      <c r="H279" s="54" t="n">
        <v>45.16</v>
      </c>
      <c r="I279" s="54" t="n">
        <v>48.78</v>
      </c>
      <c r="J279" s="54" t="n">
        <v>5.58</v>
      </c>
      <c r="K279" s="54" t="n">
        <v>2</v>
      </c>
      <c r="L279" s="54" t="n">
        <v>5</v>
      </c>
      <c r="M279" s="54" t="n">
        <v>1</v>
      </c>
      <c r="N279" s="54" t="n">
        <v>1</v>
      </c>
      <c r="O279" s="54" t="n">
        <v>4</v>
      </c>
      <c r="P279" s="54" t="n">
        <v>180</v>
      </c>
      <c r="Q279" s="54" t="n">
        <v>10</v>
      </c>
      <c r="R279" s="54" t="n">
        <v>400</v>
      </c>
      <c r="S279" s="54" t="n">
        <v>1</v>
      </c>
      <c r="T279" s="54" t="n">
        <v>5</v>
      </c>
      <c r="U279" s="54" t="n">
        <v>120</v>
      </c>
      <c r="V279" s="54" t="n">
        <v>5</v>
      </c>
      <c r="W279" s="54" t="n">
        <v>1400</v>
      </c>
      <c r="X279" s="54" t="n">
        <v>4.53</v>
      </c>
    </row>
    <row r="280">
      <c r="A280" s="54" t="inlineStr">
        <is>
          <t>Reed straw</t>
        </is>
      </c>
      <c r="B280" s="54" t="n">
        <v>56</v>
      </c>
      <c r="C280" s="54" t="n">
        <v>14.5</v>
      </c>
      <c r="D280" s="54" t="n">
        <v>20.5</v>
      </c>
      <c r="E280" s="54" t="n">
        <v>79.73</v>
      </c>
      <c r="F280" s="54" t="n">
        <v>2</v>
      </c>
      <c r="G280" s="54" t="n">
        <v>14.47</v>
      </c>
      <c r="H280" s="54" t="n">
        <v>45.16</v>
      </c>
      <c r="I280" s="54" t="n">
        <v>48.78</v>
      </c>
      <c r="J280" s="54" t="n">
        <v>5.58</v>
      </c>
      <c r="K280" s="54" t="n">
        <v>2</v>
      </c>
      <c r="L280" s="54" t="n">
        <v>5</v>
      </c>
      <c r="M280" s="54" t="n">
        <v>1</v>
      </c>
      <c r="N280" s="54" t="n">
        <v>1</v>
      </c>
      <c r="O280" s="54" t="n">
        <v>4</v>
      </c>
      <c r="P280" s="54" t="n">
        <v>180</v>
      </c>
      <c r="Q280" s="54" t="n">
        <v>10</v>
      </c>
      <c r="R280" s="54" t="n">
        <v>400</v>
      </c>
      <c r="S280" s="54" t="n">
        <v>1</v>
      </c>
      <c r="T280" s="54" t="n">
        <v>5</v>
      </c>
      <c r="U280" s="54" t="n">
        <v>120</v>
      </c>
      <c r="V280" s="54" t="n">
        <v>5</v>
      </c>
      <c r="W280" s="54" t="n">
        <v>1400</v>
      </c>
      <c r="X280" s="54" t="n">
        <v>3.47</v>
      </c>
    </row>
    <row r="281">
      <c r="A281" s="54" t="inlineStr">
        <is>
          <t>Rice husk</t>
        </is>
      </c>
      <c r="B281" s="54" t="n">
        <v>38.3</v>
      </c>
      <c r="C281" s="54" t="n">
        <v>31.6</v>
      </c>
      <c r="D281" s="54" t="n">
        <v>11.8</v>
      </c>
      <c r="E281" s="54" t="n">
        <v>68.2</v>
      </c>
      <c r="F281" s="54" t="n">
        <v>16.1</v>
      </c>
      <c r="G281" s="54" t="n">
        <v>15.7</v>
      </c>
      <c r="H281" s="54" t="n">
        <v>45.2</v>
      </c>
      <c r="I281" s="54" t="n">
        <v>47.6</v>
      </c>
      <c r="J281" s="54" t="n">
        <v>5.8</v>
      </c>
      <c r="K281" s="54" t="n">
        <v>1</v>
      </c>
      <c r="L281" s="54" t="n">
        <v>5</v>
      </c>
      <c r="M281" s="54" t="n">
        <v>1</v>
      </c>
      <c r="N281" s="54" t="n">
        <v>1</v>
      </c>
      <c r="O281" s="54" t="n">
        <v>4</v>
      </c>
      <c r="P281" s="54" t="n">
        <v>150</v>
      </c>
      <c r="Q281" s="54" t="n">
        <v>3</v>
      </c>
      <c r="R281" s="54" t="n">
        <v>600</v>
      </c>
      <c r="S281" s="54" t="n">
        <v>1</v>
      </c>
      <c r="T281" s="54" t="n">
        <v>1</v>
      </c>
      <c r="U281" s="54" t="n">
        <v>180</v>
      </c>
      <c r="V281" s="54" t="n">
        <v>0</v>
      </c>
      <c r="W281" s="54" t="n">
        <v>800</v>
      </c>
      <c r="X281" s="54" t="n">
        <v>757.63</v>
      </c>
    </row>
    <row r="282">
      <c r="A282" s="54" t="inlineStr">
        <is>
          <t>Rice husk</t>
        </is>
      </c>
      <c r="B282" s="54" t="n">
        <v>38.3</v>
      </c>
      <c r="C282" s="54" t="n">
        <v>31.6</v>
      </c>
      <c r="D282" s="54" t="n">
        <v>11.8</v>
      </c>
      <c r="E282" s="54" t="n">
        <v>68.2</v>
      </c>
      <c r="F282" s="54" t="n">
        <v>16.1</v>
      </c>
      <c r="G282" s="54" t="n">
        <v>15.7</v>
      </c>
      <c r="H282" s="54" t="n">
        <v>45.2</v>
      </c>
      <c r="I282" s="54" t="n">
        <v>47.6</v>
      </c>
      <c r="J282" s="54" t="n">
        <v>5.8</v>
      </c>
      <c r="K282" s="54" t="n">
        <v>1</v>
      </c>
      <c r="L282" s="54" t="n">
        <v>5</v>
      </c>
      <c r="M282" s="54" t="n">
        <v>0</v>
      </c>
      <c r="N282" s="54" t="n">
        <v>1</v>
      </c>
      <c r="O282" s="54" t="n">
        <v>4</v>
      </c>
      <c r="P282" s="54" t="n">
        <v>150</v>
      </c>
      <c r="Q282" s="54" t="n">
        <v>3</v>
      </c>
      <c r="R282" s="54" t="n">
        <v>600</v>
      </c>
      <c r="S282" s="54" t="n">
        <v>0</v>
      </c>
      <c r="T282" s="54" t="n">
        <v>5</v>
      </c>
      <c r="U282" s="54" t="n">
        <v>0</v>
      </c>
      <c r="V282" s="54" t="n">
        <v>0</v>
      </c>
      <c r="W282" s="54" t="n">
        <v>0</v>
      </c>
      <c r="X282" s="54" t="n">
        <v>634.0599999999999</v>
      </c>
    </row>
    <row r="283">
      <c r="A283" s="54" t="inlineStr">
        <is>
          <t>Rice husk</t>
        </is>
      </c>
      <c r="B283" s="54" t="n">
        <v>38.3</v>
      </c>
      <c r="C283" s="54" t="n">
        <v>31.6</v>
      </c>
      <c r="D283" s="54" t="n">
        <v>11.8</v>
      </c>
      <c r="E283" s="54" t="n">
        <v>68.2</v>
      </c>
      <c r="F283" s="54" t="n">
        <v>16.1</v>
      </c>
      <c r="G283" s="54" t="n">
        <v>15.7</v>
      </c>
      <c r="H283" s="54" t="n">
        <v>45.2</v>
      </c>
      <c r="I283" s="54" t="n">
        <v>47.6</v>
      </c>
      <c r="J283" s="54" t="n">
        <v>5.8</v>
      </c>
      <c r="K283" s="54" t="n">
        <v>1</v>
      </c>
      <c r="L283" s="54" t="n">
        <v>5</v>
      </c>
      <c r="M283" s="54" t="n">
        <v>1</v>
      </c>
      <c r="N283" s="54" t="n">
        <v>1</v>
      </c>
      <c r="O283" s="54" t="n">
        <v>4</v>
      </c>
      <c r="P283" s="54" t="n">
        <v>150</v>
      </c>
      <c r="Q283" s="54" t="n">
        <v>3</v>
      </c>
      <c r="R283" s="54" t="n">
        <v>600</v>
      </c>
      <c r="S283" s="54" t="n">
        <v>1</v>
      </c>
      <c r="T283" s="54" t="n">
        <v>1</v>
      </c>
      <c r="U283" s="54" t="n">
        <v>180</v>
      </c>
      <c r="V283" s="54" t="n">
        <v>0</v>
      </c>
      <c r="W283" s="54" t="n">
        <v>1000</v>
      </c>
      <c r="X283" s="54" t="n">
        <v>584.03</v>
      </c>
    </row>
    <row r="284">
      <c r="A284" s="54" t="inlineStr">
        <is>
          <t>Rice husk</t>
        </is>
      </c>
      <c r="B284" s="54" t="n">
        <v>38.3</v>
      </c>
      <c r="C284" s="54" t="n">
        <v>31.6</v>
      </c>
      <c r="D284" s="54" t="n">
        <v>11.8</v>
      </c>
      <c r="E284" s="54" t="n">
        <v>68.2</v>
      </c>
      <c r="F284" s="54" t="n">
        <v>16.1</v>
      </c>
      <c r="G284" s="54" t="n">
        <v>15.7</v>
      </c>
      <c r="H284" s="54" t="n">
        <v>45.2</v>
      </c>
      <c r="I284" s="54" t="n">
        <v>47.6</v>
      </c>
      <c r="J284" s="54" t="n">
        <v>5.8</v>
      </c>
      <c r="K284" s="54" t="n">
        <v>1</v>
      </c>
      <c r="L284" s="54" t="n">
        <v>5</v>
      </c>
      <c r="M284" s="54" t="n">
        <v>1</v>
      </c>
      <c r="N284" s="54" t="n">
        <v>1</v>
      </c>
      <c r="O284" s="54" t="n">
        <v>4</v>
      </c>
      <c r="P284" s="54" t="n">
        <v>150</v>
      </c>
      <c r="Q284" s="54" t="n">
        <v>3</v>
      </c>
      <c r="R284" s="54" t="n">
        <v>600</v>
      </c>
      <c r="S284" s="54" t="n">
        <v>1</v>
      </c>
      <c r="T284" s="54" t="n">
        <v>1</v>
      </c>
      <c r="U284" s="54" t="n">
        <v>180</v>
      </c>
      <c r="V284" s="54" t="n">
        <v>0</v>
      </c>
      <c r="W284" s="54" t="n">
        <v>1200</v>
      </c>
      <c r="X284" s="54" t="n">
        <v>459.29</v>
      </c>
    </row>
    <row r="285">
      <c r="A285" s="54" t="inlineStr">
        <is>
          <t>Rice husk</t>
        </is>
      </c>
      <c r="B285" s="54" t="n">
        <v>38.3</v>
      </c>
      <c r="C285" s="54" t="n">
        <v>31.6</v>
      </c>
      <c r="D285" s="54" t="n">
        <v>11.8</v>
      </c>
      <c r="E285" s="54" t="n">
        <v>68.2</v>
      </c>
      <c r="F285" s="54" t="n">
        <v>16.1</v>
      </c>
      <c r="G285" s="54" t="n">
        <v>15.7</v>
      </c>
      <c r="H285" s="54" t="n">
        <v>45.2</v>
      </c>
      <c r="I285" s="54" t="n">
        <v>47.6</v>
      </c>
      <c r="J285" s="54" t="n">
        <v>5.8</v>
      </c>
      <c r="K285" s="54" t="n">
        <v>1</v>
      </c>
      <c r="L285" s="54" t="n">
        <v>5</v>
      </c>
      <c r="M285" s="54" t="n">
        <v>1</v>
      </c>
      <c r="N285" s="54" t="n">
        <v>1</v>
      </c>
      <c r="O285" s="54" t="n">
        <v>4</v>
      </c>
      <c r="P285" s="54" t="n">
        <v>150</v>
      </c>
      <c r="Q285" s="54" t="n">
        <v>3</v>
      </c>
      <c r="R285" s="54" t="n">
        <v>600</v>
      </c>
      <c r="S285" s="54" t="n">
        <v>1</v>
      </c>
      <c r="T285" s="54" t="n">
        <v>1</v>
      </c>
      <c r="U285" s="54" t="n">
        <v>180</v>
      </c>
      <c r="V285" s="54" t="n">
        <v>0</v>
      </c>
      <c r="W285" s="54" t="n">
        <v>1400</v>
      </c>
      <c r="X285" s="54" t="n">
        <v>424.86</v>
      </c>
    </row>
    <row r="286">
      <c r="A286" s="54" t="inlineStr">
        <is>
          <t>Rice husk</t>
        </is>
      </c>
      <c r="B286" s="54" t="n">
        <v>38.3</v>
      </c>
      <c r="C286" s="54" t="n">
        <v>31.6</v>
      </c>
      <c r="D286" s="54" t="n">
        <v>11.8</v>
      </c>
      <c r="E286" s="54" t="n">
        <v>68.2</v>
      </c>
      <c r="F286" s="54" t="n">
        <v>16.1</v>
      </c>
      <c r="G286" s="54" t="n">
        <v>15.7</v>
      </c>
      <c r="H286" s="54" t="n">
        <v>45.2</v>
      </c>
      <c r="I286" s="54" t="n">
        <v>47.6</v>
      </c>
      <c r="J286" s="54" t="n">
        <v>5.8</v>
      </c>
      <c r="K286" s="54" t="n">
        <v>4</v>
      </c>
      <c r="L286" s="54" t="n">
        <v>1</v>
      </c>
      <c r="M286" s="54" t="n">
        <v>0</v>
      </c>
      <c r="N286" s="54" t="n">
        <v>1</v>
      </c>
      <c r="O286" s="54" t="n">
        <v>4</v>
      </c>
      <c r="P286" s="54" t="n">
        <v>138.666666666667</v>
      </c>
      <c r="Q286" s="54" t="n">
        <v>3</v>
      </c>
      <c r="R286" s="54" t="n">
        <v>1300</v>
      </c>
      <c r="S286" s="54" t="n">
        <v>0</v>
      </c>
      <c r="T286" s="54" t="n">
        <v>5</v>
      </c>
      <c r="U286" s="54" t="n">
        <v>0</v>
      </c>
      <c r="V286" s="54" t="n">
        <v>0</v>
      </c>
      <c r="W286" s="54" t="n">
        <v>0</v>
      </c>
      <c r="X286" s="54" t="n">
        <v>285</v>
      </c>
    </row>
    <row r="287">
      <c r="A287" s="54" t="inlineStr">
        <is>
          <t>Rice husk</t>
        </is>
      </c>
      <c r="B287" s="54" t="n">
        <v>38.3</v>
      </c>
      <c r="C287" s="54" t="n">
        <v>31.6</v>
      </c>
      <c r="D287" s="54" t="n">
        <v>11.8</v>
      </c>
      <c r="E287" s="54" t="n">
        <v>68.2</v>
      </c>
      <c r="F287" s="54" t="n">
        <v>16.1</v>
      </c>
      <c r="G287" s="54" t="n">
        <v>15.7</v>
      </c>
      <c r="H287" s="54" t="n">
        <v>45.2</v>
      </c>
      <c r="I287" s="54" t="n">
        <v>47.6</v>
      </c>
      <c r="J287" s="54" t="n">
        <v>5.8</v>
      </c>
      <c r="K287" s="54" t="n">
        <v>4</v>
      </c>
      <c r="L287" s="54" t="n">
        <v>1</v>
      </c>
      <c r="M287" s="54" t="n">
        <v>0</v>
      </c>
      <c r="N287" s="54" t="n">
        <v>1</v>
      </c>
      <c r="O287" s="54" t="n">
        <v>4</v>
      </c>
      <c r="P287" s="54" t="n">
        <v>138.666666666667</v>
      </c>
      <c r="Q287" s="54" t="n">
        <v>3</v>
      </c>
      <c r="R287" s="54" t="n">
        <v>900</v>
      </c>
      <c r="S287" s="54" t="n">
        <v>0</v>
      </c>
      <c r="T287" s="54" t="n">
        <v>5</v>
      </c>
      <c r="U287" s="54" t="n">
        <v>0</v>
      </c>
      <c r="V287" s="54" t="n">
        <v>0</v>
      </c>
      <c r="W287" s="54" t="n">
        <v>0</v>
      </c>
      <c r="X287" s="54" t="n">
        <v>265</v>
      </c>
    </row>
    <row r="288">
      <c r="A288" s="54" t="inlineStr">
        <is>
          <t>Rice husk</t>
        </is>
      </c>
      <c r="B288" s="54" t="n">
        <v>38.3</v>
      </c>
      <c r="C288" s="54" t="n">
        <v>31.6</v>
      </c>
      <c r="D288" s="54" t="n">
        <v>11.8</v>
      </c>
      <c r="E288" s="54" t="n">
        <v>68.2</v>
      </c>
      <c r="F288" s="54" t="n">
        <v>16.1</v>
      </c>
      <c r="G288" s="54" t="n">
        <v>15.7</v>
      </c>
      <c r="H288" s="54" t="n">
        <v>45.2</v>
      </c>
      <c r="I288" s="54" t="n">
        <v>47.6</v>
      </c>
      <c r="J288" s="54" t="n">
        <v>5.8</v>
      </c>
      <c r="K288" s="54" t="n">
        <v>4</v>
      </c>
      <c r="L288" s="54" t="n">
        <v>1</v>
      </c>
      <c r="M288" s="54" t="n">
        <v>0</v>
      </c>
      <c r="N288" s="54" t="n">
        <v>1</v>
      </c>
      <c r="O288" s="54" t="n">
        <v>4</v>
      </c>
      <c r="P288" s="54" t="n">
        <v>138.666666666667</v>
      </c>
      <c r="Q288" s="54" t="n">
        <v>3</v>
      </c>
      <c r="R288" s="54" t="n">
        <v>1600</v>
      </c>
      <c r="S288" s="54" t="n">
        <v>0</v>
      </c>
      <c r="T288" s="54" t="n">
        <v>5</v>
      </c>
      <c r="U288" s="54" t="n">
        <v>0</v>
      </c>
      <c r="V288" s="54" t="n">
        <v>0</v>
      </c>
      <c r="W288" s="54" t="n">
        <v>0</v>
      </c>
      <c r="X288" s="54" t="n">
        <v>218</v>
      </c>
    </row>
    <row r="289">
      <c r="A289" s="54" t="inlineStr">
        <is>
          <t>Rice husk</t>
        </is>
      </c>
      <c r="B289" s="54" t="n">
        <v>38.3</v>
      </c>
      <c r="C289" s="54" t="n">
        <v>31.6</v>
      </c>
      <c r="D289" s="54" t="n">
        <v>11.8</v>
      </c>
      <c r="E289" s="54" t="n">
        <v>68.2</v>
      </c>
      <c r="F289" s="54" t="n">
        <v>16.1</v>
      </c>
      <c r="G289" s="54" t="n">
        <v>15.7</v>
      </c>
      <c r="H289" s="54" t="n">
        <v>45.2</v>
      </c>
      <c r="I289" s="54" t="n">
        <v>47.6</v>
      </c>
      <c r="J289" s="54" t="n">
        <v>5.8</v>
      </c>
      <c r="K289" s="54" t="n">
        <v>4</v>
      </c>
      <c r="L289" s="54" t="n">
        <v>5</v>
      </c>
      <c r="M289" s="54" t="n">
        <v>1</v>
      </c>
      <c r="N289" s="54" t="n">
        <v>1</v>
      </c>
      <c r="O289" s="54" t="n">
        <v>4</v>
      </c>
      <c r="P289" s="54" t="n">
        <v>240</v>
      </c>
      <c r="Q289" s="54" t="n">
        <v>2.5</v>
      </c>
      <c r="R289" s="54" t="n">
        <v>360</v>
      </c>
      <c r="S289" s="54" t="n">
        <v>1</v>
      </c>
      <c r="T289" s="54" t="n">
        <v>5</v>
      </c>
      <c r="U289" s="54" t="n">
        <v>120</v>
      </c>
      <c r="V289" s="54" t="n">
        <v>0</v>
      </c>
      <c r="W289" s="54" t="n">
        <v>1300</v>
      </c>
      <c r="X289" s="54" t="n">
        <v>17.96</v>
      </c>
    </row>
    <row r="290">
      <c r="A290" s="54" t="inlineStr">
        <is>
          <t>Rice husk</t>
        </is>
      </c>
      <c r="B290" s="54" t="n">
        <v>38.3</v>
      </c>
      <c r="C290" s="54" t="n">
        <v>31.6</v>
      </c>
      <c r="D290" s="54" t="n">
        <v>11.8</v>
      </c>
      <c r="E290" s="54" t="n">
        <v>68.2</v>
      </c>
      <c r="F290" s="54" t="n">
        <v>16.1</v>
      </c>
      <c r="G290" s="54" t="n">
        <v>15.7</v>
      </c>
      <c r="H290" s="54" t="n">
        <v>45.2</v>
      </c>
      <c r="I290" s="54" t="n">
        <v>47.6</v>
      </c>
      <c r="J290" s="54" t="n">
        <v>5.8</v>
      </c>
      <c r="K290" s="54" t="n">
        <v>3</v>
      </c>
      <c r="L290" s="54" t="n">
        <v>5</v>
      </c>
      <c r="M290" s="54" t="n">
        <v>0</v>
      </c>
      <c r="N290" s="54" t="n">
        <v>1</v>
      </c>
      <c r="O290" s="54" t="n">
        <v>4</v>
      </c>
      <c r="P290" s="54" t="n">
        <v>120</v>
      </c>
      <c r="Q290" s="54" t="n">
        <v>5</v>
      </c>
      <c r="R290" s="54" t="n">
        <v>1100</v>
      </c>
      <c r="S290" s="54" t="n">
        <v>0</v>
      </c>
      <c r="T290" s="54" t="n">
        <v>5</v>
      </c>
      <c r="U290" s="54" t="n">
        <v>0</v>
      </c>
      <c r="V290" s="54" t="n">
        <v>0</v>
      </c>
      <c r="W290" s="54" t="n">
        <v>0</v>
      </c>
      <c r="X290" s="54" t="n">
        <v>2.68</v>
      </c>
    </row>
    <row r="291">
      <c r="A291" s="54" t="inlineStr">
        <is>
          <t>Rice husk</t>
        </is>
      </c>
      <c r="B291" s="54" t="n">
        <v>38.3</v>
      </c>
      <c r="C291" s="54" t="n">
        <v>31.6</v>
      </c>
      <c r="D291" s="54" t="n">
        <v>11.8</v>
      </c>
      <c r="E291" s="54" t="n">
        <v>68.2</v>
      </c>
      <c r="F291" s="54" t="n">
        <v>16.1</v>
      </c>
      <c r="G291" s="54" t="n">
        <v>15.7</v>
      </c>
      <c r="H291" s="54" t="n">
        <v>45.2</v>
      </c>
      <c r="I291" s="54" t="n">
        <v>47.6</v>
      </c>
      <c r="J291" s="54" t="n">
        <v>5.8</v>
      </c>
      <c r="K291" s="54" t="n">
        <v>1</v>
      </c>
      <c r="L291" s="54" t="n">
        <v>5</v>
      </c>
      <c r="M291" s="54" t="n">
        <v>0</v>
      </c>
      <c r="N291" s="54" t="n">
        <v>1</v>
      </c>
      <c r="O291" s="54" t="n">
        <v>4</v>
      </c>
      <c r="P291" s="54" t="n">
        <v>120</v>
      </c>
      <c r="Q291" s="54" t="n">
        <v>5</v>
      </c>
      <c r="R291" s="54" t="n">
        <v>1100</v>
      </c>
      <c r="S291" s="54" t="n">
        <v>0</v>
      </c>
      <c r="T291" s="54" t="n">
        <v>5</v>
      </c>
      <c r="U291" s="54" t="n">
        <v>0</v>
      </c>
      <c r="V291" s="54" t="n">
        <v>0</v>
      </c>
      <c r="W291" s="54" t="n">
        <v>0</v>
      </c>
      <c r="X291" s="54" t="n">
        <v>2.68</v>
      </c>
    </row>
    <row r="292">
      <c r="A292" s="54" t="inlineStr">
        <is>
          <t>Rice husk</t>
        </is>
      </c>
      <c r="B292" s="54" t="n">
        <v>38.3</v>
      </c>
      <c r="C292" s="54" t="n">
        <v>31.6</v>
      </c>
      <c r="D292" s="54" t="n">
        <v>11.8</v>
      </c>
      <c r="E292" s="54" t="n">
        <v>68.2</v>
      </c>
      <c r="F292" s="54" t="n">
        <v>16.1</v>
      </c>
      <c r="G292" s="54" t="n">
        <v>15.7</v>
      </c>
      <c r="H292" s="54" t="n">
        <v>45.2</v>
      </c>
      <c r="I292" s="54" t="n">
        <v>47.6</v>
      </c>
      <c r="J292" s="54" t="n">
        <v>5.8</v>
      </c>
      <c r="K292" s="54" t="n">
        <v>3</v>
      </c>
      <c r="L292" s="54" t="n">
        <v>5</v>
      </c>
      <c r="M292" s="54" t="n">
        <v>0</v>
      </c>
      <c r="N292" s="54" t="n">
        <v>1</v>
      </c>
      <c r="O292" s="54" t="n">
        <v>4</v>
      </c>
      <c r="P292" s="54" t="n">
        <v>120</v>
      </c>
      <c r="Q292" s="54" t="n">
        <v>5</v>
      </c>
      <c r="R292" s="54" t="n">
        <v>1300</v>
      </c>
      <c r="S292" s="54" t="n">
        <v>0</v>
      </c>
      <c r="T292" s="54" t="n">
        <v>5</v>
      </c>
      <c r="U292" s="54" t="n">
        <v>0</v>
      </c>
      <c r="V292" s="54" t="n">
        <v>0</v>
      </c>
      <c r="W292" s="54" t="n">
        <v>0</v>
      </c>
      <c r="X292" s="54" t="n">
        <v>0.27</v>
      </c>
    </row>
    <row r="293">
      <c r="A293" s="54" t="inlineStr">
        <is>
          <t>Rice husk</t>
        </is>
      </c>
      <c r="B293" s="54" t="n">
        <v>38.3</v>
      </c>
      <c r="C293" s="54" t="n">
        <v>31.6</v>
      </c>
      <c r="D293" s="54" t="n">
        <v>11.8</v>
      </c>
      <c r="E293" s="54" t="n">
        <v>68.2</v>
      </c>
      <c r="F293" s="54" t="n">
        <v>16.1</v>
      </c>
      <c r="G293" s="54" t="n">
        <v>15.7</v>
      </c>
      <c r="H293" s="54" t="n">
        <v>45.2</v>
      </c>
      <c r="I293" s="54" t="n">
        <v>47.6</v>
      </c>
      <c r="J293" s="54" t="n">
        <v>5.8</v>
      </c>
      <c r="K293" s="54" t="n">
        <v>3</v>
      </c>
      <c r="L293" s="54" t="n">
        <v>5</v>
      </c>
      <c r="M293" s="54" t="n">
        <v>0</v>
      </c>
      <c r="N293" s="54" t="n">
        <v>1</v>
      </c>
      <c r="O293" s="54" t="n">
        <v>4</v>
      </c>
      <c r="P293" s="54" t="n">
        <v>120</v>
      </c>
      <c r="Q293" s="54" t="n">
        <v>5</v>
      </c>
      <c r="R293" s="54" t="n">
        <v>1500</v>
      </c>
      <c r="S293" s="54" t="n">
        <v>0</v>
      </c>
      <c r="T293" s="54" t="n">
        <v>5</v>
      </c>
      <c r="U293" s="54" t="n">
        <v>0</v>
      </c>
      <c r="V293" s="54" t="n">
        <v>0</v>
      </c>
      <c r="W293" s="54" t="n">
        <v>0</v>
      </c>
      <c r="X293" s="54" t="n">
        <v>0.23</v>
      </c>
    </row>
    <row r="294">
      <c r="A294" s="54" t="inlineStr">
        <is>
          <t>rosewood</t>
        </is>
      </c>
      <c r="B294" s="54" t="n">
        <v>16.13</v>
      </c>
      <c r="C294" s="54" t="n">
        <v>4.33</v>
      </c>
      <c r="D294" s="54" t="n">
        <v>4.51</v>
      </c>
      <c r="E294" s="54" t="n">
        <v>76.7006946025613</v>
      </c>
      <c r="F294" s="54" t="n">
        <v>5.027201066877</v>
      </c>
      <c r="G294" s="54" t="n">
        <v>13.962987151812</v>
      </c>
      <c r="H294" s="54" t="n">
        <v>47.3787063499704</v>
      </c>
      <c r="I294" s="54" t="n">
        <v>42.1301254315147</v>
      </c>
      <c r="J294" s="54" t="n">
        <v>6.92015439081616</v>
      </c>
      <c r="K294" s="54" t="n">
        <v>4</v>
      </c>
      <c r="L294" s="54" t="n">
        <v>5</v>
      </c>
      <c r="M294" s="54" t="n">
        <v>0</v>
      </c>
      <c r="N294" s="54" t="n">
        <v>1</v>
      </c>
      <c r="O294" s="54" t="n">
        <v>4</v>
      </c>
      <c r="P294" s="54" t="n">
        <v>120</v>
      </c>
      <c r="Q294" s="54" t="n">
        <v>2</v>
      </c>
      <c r="R294" s="54" t="n">
        <v>1300</v>
      </c>
      <c r="S294" s="54" t="n">
        <v>0</v>
      </c>
      <c r="T294" s="54" t="n">
        <v>5</v>
      </c>
      <c r="U294" s="54" t="n">
        <v>0</v>
      </c>
      <c r="V294" s="54" t="n">
        <v>0</v>
      </c>
      <c r="W294" s="54" t="n">
        <v>0</v>
      </c>
      <c r="X294" s="54" t="n">
        <v>4.5</v>
      </c>
    </row>
    <row r="295">
      <c r="A295" s="54" t="inlineStr">
        <is>
          <t>rosewood</t>
        </is>
      </c>
      <c r="B295" s="54" t="n">
        <v>16.13</v>
      </c>
      <c r="C295" s="54" t="n">
        <v>4.33</v>
      </c>
      <c r="D295" s="54" t="n">
        <v>4.51</v>
      </c>
      <c r="E295" s="54" t="n">
        <v>76.7006946025613</v>
      </c>
      <c r="F295" s="54" t="n">
        <v>5.027201066877</v>
      </c>
      <c r="G295" s="54" t="n">
        <v>13.962987151812</v>
      </c>
      <c r="H295" s="54" t="n">
        <v>47.3787063499704</v>
      </c>
      <c r="I295" s="54" t="n">
        <v>42.1301254315147</v>
      </c>
      <c r="J295" s="54" t="n">
        <v>6.92015439081616</v>
      </c>
      <c r="K295" s="54" t="n">
        <v>4</v>
      </c>
      <c r="L295" s="54" t="n">
        <v>5</v>
      </c>
      <c r="M295" s="54" t="n">
        <v>0</v>
      </c>
      <c r="N295" s="54" t="n">
        <v>1</v>
      </c>
      <c r="O295" s="54" t="n">
        <v>4</v>
      </c>
      <c r="P295" s="54" t="n">
        <v>120</v>
      </c>
      <c r="Q295" s="54" t="n">
        <v>2</v>
      </c>
      <c r="R295" s="54" t="n">
        <v>1100</v>
      </c>
      <c r="S295" s="54" t="n">
        <v>0</v>
      </c>
      <c r="T295" s="54" t="n">
        <v>5</v>
      </c>
      <c r="U295" s="54" t="n">
        <v>0</v>
      </c>
      <c r="V295" s="54" t="n">
        <v>0</v>
      </c>
      <c r="W295" s="54" t="n">
        <v>0</v>
      </c>
      <c r="X295" s="54" t="n">
        <v>4.2</v>
      </c>
    </row>
    <row r="296">
      <c r="A296" s="54" t="inlineStr">
        <is>
          <t>rosewood</t>
        </is>
      </c>
      <c r="B296" s="54" t="n">
        <v>16.13</v>
      </c>
      <c r="C296" s="54" t="n">
        <v>4.33</v>
      </c>
      <c r="D296" s="54" t="n">
        <v>4.51</v>
      </c>
      <c r="E296" s="54" t="n">
        <v>76.7006946025613</v>
      </c>
      <c r="F296" s="54" t="n">
        <v>5.027201066877</v>
      </c>
      <c r="G296" s="54" t="n">
        <v>13.962987151812</v>
      </c>
      <c r="H296" s="54" t="n">
        <v>47.3787063499704</v>
      </c>
      <c r="I296" s="54" t="n">
        <v>42.1301254315147</v>
      </c>
      <c r="J296" s="54" t="n">
        <v>6.92015439081616</v>
      </c>
      <c r="K296" s="54" t="n">
        <v>4</v>
      </c>
      <c r="L296" s="54" t="n">
        <v>5</v>
      </c>
      <c r="M296" s="54" t="n">
        <v>0</v>
      </c>
      <c r="N296" s="54" t="n">
        <v>1</v>
      </c>
      <c r="O296" s="54" t="n">
        <v>4</v>
      </c>
      <c r="P296" s="54" t="n">
        <v>120</v>
      </c>
      <c r="Q296" s="54" t="n">
        <v>2</v>
      </c>
      <c r="R296" s="54" t="n">
        <v>1500</v>
      </c>
      <c r="S296" s="54" t="n">
        <v>0</v>
      </c>
      <c r="T296" s="54" t="n">
        <v>5</v>
      </c>
      <c r="U296" s="54" t="n">
        <v>0</v>
      </c>
      <c r="V296" s="54" t="n">
        <v>0</v>
      </c>
      <c r="W296" s="54" t="n">
        <v>0</v>
      </c>
      <c r="X296" s="54" t="n">
        <v>2.6</v>
      </c>
    </row>
    <row r="297">
      <c r="A297" s="54" t="inlineStr">
        <is>
          <t>Scrap wood</t>
        </is>
      </c>
      <c r="B297" s="54" t="n">
        <v>37.0879485690463</v>
      </c>
      <c r="C297" s="54" t="n">
        <v>24.3166636950336</v>
      </c>
      <c r="D297" s="54" t="n">
        <v>24.7748129098681</v>
      </c>
      <c r="E297" s="54" t="n">
        <v>76.5</v>
      </c>
      <c r="F297" s="54" t="n">
        <v>0.74</v>
      </c>
      <c r="G297" s="54" t="n">
        <v>17.3</v>
      </c>
      <c r="H297" s="54" t="n">
        <v>48.19</v>
      </c>
      <c r="I297" s="54" t="n">
        <v>44.73</v>
      </c>
      <c r="J297" s="54" t="n">
        <v>6.35</v>
      </c>
      <c r="K297" s="54" t="n">
        <v>1</v>
      </c>
      <c r="L297" s="54" t="n">
        <v>5</v>
      </c>
      <c r="M297" s="54" t="n">
        <v>0</v>
      </c>
      <c r="N297" s="54" t="n">
        <v>1</v>
      </c>
      <c r="O297" s="54" t="n">
        <v>4</v>
      </c>
      <c r="P297" s="54" t="n">
        <v>360</v>
      </c>
      <c r="Q297" s="54" t="n">
        <v>13</v>
      </c>
      <c r="R297" s="54" t="n">
        <v>1000</v>
      </c>
      <c r="S297" s="54" t="n">
        <v>0</v>
      </c>
      <c r="T297" s="54" t="n">
        <v>5</v>
      </c>
      <c r="U297" s="54" t="n">
        <v>0</v>
      </c>
      <c r="V297" s="54" t="n">
        <v>0</v>
      </c>
      <c r="W297" s="54" t="n">
        <v>0</v>
      </c>
      <c r="X297" s="54" t="n">
        <v>30</v>
      </c>
    </row>
    <row r="298">
      <c r="A298" s="54" t="inlineStr">
        <is>
          <t>Seaweed</t>
        </is>
      </c>
      <c r="B298" s="54" t="n">
        <v>41.593962936694</v>
      </c>
      <c r="C298" s="54" t="n">
        <v>17.1061476359803</v>
      </c>
      <c r="D298" s="54" t="n">
        <v>21.4716590943798</v>
      </c>
      <c r="E298" s="54" t="n">
        <v>72.53259479317239</v>
      </c>
      <c r="F298" s="54" t="n">
        <v>8.369573529792341</v>
      </c>
      <c r="G298" s="54" t="n">
        <v>14.8730173249494</v>
      </c>
      <c r="H298" s="54" t="n">
        <v>45.4707731360366</v>
      </c>
      <c r="I298" s="54" t="n">
        <v>39.0584918100627</v>
      </c>
      <c r="J298" s="54" t="n">
        <v>5.74179494946221</v>
      </c>
      <c r="K298" s="54" t="n">
        <v>6</v>
      </c>
      <c r="L298" s="54" t="n">
        <v>7</v>
      </c>
      <c r="M298" s="54" t="n">
        <v>0</v>
      </c>
      <c r="N298" s="54" t="n">
        <v>1</v>
      </c>
      <c r="O298" s="54" t="n">
        <v>1</v>
      </c>
      <c r="P298" s="54" t="n">
        <v>240</v>
      </c>
      <c r="Q298" s="54" t="n">
        <v>3</v>
      </c>
      <c r="R298" s="54" t="n">
        <v>450</v>
      </c>
      <c r="S298" s="54" t="n">
        <v>0</v>
      </c>
      <c r="T298" s="54" t="n">
        <v>5</v>
      </c>
      <c r="U298" s="54" t="n">
        <v>0</v>
      </c>
      <c r="V298" s="54" t="n">
        <v>0</v>
      </c>
      <c r="W298" s="54" t="n">
        <v>0</v>
      </c>
      <c r="X298" s="54" t="n">
        <v>1641</v>
      </c>
    </row>
    <row r="299">
      <c r="A299" s="54" t="inlineStr">
        <is>
          <t>Seaweed</t>
        </is>
      </c>
      <c r="B299" s="54" t="n">
        <v>42.5569775798429</v>
      </c>
      <c r="C299" s="54" t="n">
        <v>30.0330451890758</v>
      </c>
      <c r="D299" s="54" t="n">
        <v>18.0043875768287</v>
      </c>
      <c r="E299" s="54" t="n">
        <v>73.0175966226947</v>
      </c>
      <c r="F299" s="54" t="n">
        <v>3.09178102322965</v>
      </c>
      <c r="G299" s="54" t="n">
        <v>18.5358043898306</v>
      </c>
      <c r="H299" s="54" t="n">
        <v>48.4263315590857</v>
      </c>
      <c r="I299" s="54" t="n">
        <v>42.1179958273063</v>
      </c>
      <c r="J299" s="54" t="n">
        <v>5.92734349211942</v>
      </c>
      <c r="K299" s="54" t="n">
        <v>6</v>
      </c>
      <c r="L299" s="54" t="n">
        <v>7</v>
      </c>
      <c r="M299" s="54" t="n">
        <v>0</v>
      </c>
      <c r="N299" s="54" t="n">
        <v>1</v>
      </c>
      <c r="O299" s="54" t="n">
        <v>1</v>
      </c>
      <c r="P299" s="54" t="n">
        <v>240</v>
      </c>
      <c r="Q299" s="54" t="n">
        <v>3</v>
      </c>
      <c r="R299" s="54" t="n">
        <v>450</v>
      </c>
      <c r="S299" s="54" t="n">
        <v>0</v>
      </c>
      <c r="T299" s="54" t="n">
        <v>5</v>
      </c>
      <c r="U299" s="54" t="n">
        <v>0</v>
      </c>
      <c r="V299" s="54" t="n">
        <v>0</v>
      </c>
      <c r="W299" s="54" t="n">
        <v>0</v>
      </c>
      <c r="X299" s="54" t="n">
        <v>231</v>
      </c>
    </row>
    <row r="300">
      <c r="A300" s="54" t="inlineStr">
        <is>
          <t>Shaddock peel</t>
        </is>
      </c>
      <c r="B300" s="54" t="n">
        <v>25</v>
      </c>
      <c r="C300" s="54" t="n">
        <v>12</v>
      </c>
      <c r="D300" s="54" t="n">
        <v>18</v>
      </c>
      <c r="E300" s="54" t="n">
        <v>91.1234636008052</v>
      </c>
      <c r="F300" s="54" t="n">
        <v>3.3762596239109</v>
      </c>
      <c r="G300" s="54" t="n">
        <v>6.54667673662726</v>
      </c>
      <c r="H300" s="54" t="n">
        <v>47.932180099592</v>
      </c>
      <c r="I300" s="54" t="n">
        <v>37.6322970463217</v>
      </c>
      <c r="J300" s="54" t="n">
        <v>6.63185556970333</v>
      </c>
      <c r="K300" s="54" t="n">
        <v>6</v>
      </c>
      <c r="L300" s="54" t="n">
        <v>1</v>
      </c>
      <c r="M300" s="54" t="n">
        <v>0</v>
      </c>
      <c r="N300" s="54" t="n">
        <v>1</v>
      </c>
      <c r="O300" s="54" t="n">
        <v>4</v>
      </c>
      <c r="P300" s="54" t="n">
        <v>120</v>
      </c>
      <c r="Q300" s="54" t="n">
        <v>5</v>
      </c>
      <c r="R300" s="54" t="n">
        <v>1400</v>
      </c>
      <c r="S300" s="54" t="n">
        <v>0</v>
      </c>
      <c r="T300" s="54" t="n">
        <v>5</v>
      </c>
      <c r="U300" s="54" t="n">
        <v>0</v>
      </c>
      <c r="V300" s="54" t="n">
        <v>0</v>
      </c>
      <c r="W300" s="54" t="n">
        <v>0</v>
      </c>
      <c r="X300" s="54" t="n">
        <v>39</v>
      </c>
    </row>
    <row r="301">
      <c r="A301" s="54" t="inlineStr">
        <is>
          <t>Shaddock peel</t>
        </is>
      </c>
      <c r="B301" s="54" t="n">
        <v>25</v>
      </c>
      <c r="C301" s="54" t="n">
        <v>12</v>
      </c>
      <c r="D301" s="54" t="n">
        <v>18</v>
      </c>
      <c r="E301" s="54" t="n">
        <v>91.1234636008052</v>
      </c>
      <c r="F301" s="54" t="n">
        <v>3.3762596239109</v>
      </c>
      <c r="G301" s="54" t="n">
        <v>6.54667673662726</v>
      </c>
      <c r="H301" s="54" t="n">
        <v>47.932180099592</v>
      </c>
      <c r="I301" s="54" t="n">
        <v>37.6322970463217</v>
      </c>
      <c r="J301" s="54" t="n">
        <v>6.63185556970333</v>
      </c>
      <c r="K301" s="54" t="n">
        <v>6</v>
      </c>
      <c r="L301" s="54" t="n">
        <v>1</v>
      </c>
      <c r="M301" s="54" t="n">
        <v>0</v>
      </c>
      <c r="N301" s="54" t="n">
        <v>1</v>
      </c>
      <c r="O301" s="54" t="n">
        <v>4</v>
      </c>
      <c r="P301" s="54" t="n">
        <v>120</v>
      </c>
      <c r="Q301" s="54" t="n">
        <v>4.8878056543207</v>
      </c>
      <c r="R301" s="54" t="n">
        <v>1200</v>
      </c>
      <c r="S301" s="54" t="n">
        <v>0</v>
      </c>
      <c r="T301" s="54" t="n">
        <v>5</v>
      </c>
      <c r="U301" s="54" t="n">
        <v>0</v>
      </c>
      <c r="V301" s="54" t="n">
        <v>0</v>
      </c>
      <c r="W301" s="54" t="n">
        <v>0</v>
      </c>
      <c r="X301" s="54" t="n">
        <v>82.8</v>
      </c>
    </row>
    <row r="302">
      <c r="A302" s="54" t="inlineStr">
        <is>
          <t>Shaddock peel</t>
        </is>
      </c>
      <c r="B302" s="54" t="n">
        <v>25</v>
      </c>
      <c r="C302" s="54" t="n">
        <v>12</v>
      </c>
      <c r="D302" s="54" t="n">
        <v>18</v>
      </c>
      <c r="E302" s="54" t="n">
        <v>91.1234636008052</v>
      </c>
      <c r="F302" s="54" t="n">
        <v>3.3762596239109</v>
      </c>
      <c r="G302" s="54" t="n">
        <v>6.54667673662726</v>
      </c>
      <c r="H302" s="54" t="n">
        <v>47.932180099592</v>
      </c>
      <c r="I302" s="54" t="n">
        <v>37.6322970463217</v>
      </c>
      <c r="J302" s="54" t="n">
        <v>6.63185556970333</v>
      </c>
      <c r="K302" s="54" t="n">
        <v>6</v>
      </c>
      <c r="L302" s="54" t="n">
        <v>1</v>
      </c>
      <c r="M302" s="54" t="n">
        <v>0</v>
      </c>
      <c r="N302" s="54" t="n">
        <v>1</v>
      </c>
      <c r="O302" s="54" t="n">
        <v>4</v>
      </c>
      <c r="P302" s="54" t="n">
        <v>120</v>
      </c>
      <c r="Q302" s="54" t="n">
        <v>3.00748068788999</v>
      </c>
      <c r="R302" s="54" t="n">
        <v>1000</v>
      </c>
      <c r="S302" s="54" t="n">
        <v>0</v>
      </c>
      <c r="T302" s="54" t="n">
        <v>5</v>
      </c>
      <c r="U302" s="54" t="n">
        <v>0</v>
      </c>
      <c r="V302" s="54" t="n">
        <v>0</v>
      </c>
      <c r="W302" s="54" t="n">
        <v>0</v>
      </c>
      <c r="X302" s="54" t="n">
        <v>68.59999999999999</v>
      </c>
    </row>
    <row r="303">
      <c r="A303" s="54" t="inlineStr">
        <is>
          <t>Shaddock peel</t>
        </is>
      </c>
      <c r="B303" s="54" t="n">
        <v>25</v>
      </c>
      <c r="C303" s="54" t="n">
        <v>12</v>
      </c>
      <c r="D303" s="54" t="n">
        <v>18</v>
      </c>
      <c r="E303" s="54" t="n">
        <v>91.1234636008052</v>
      </c>
      <c r="F303" s="54" t="n">
        <v>3.3762596239109</v>
      </c>
      <c r="G303" s="54" t="n">
        <v>6.54667673662726</v>
      </c>
      <c r="H303" s="54" t="n">
        <v>47.932180099592</v>
      </c>
      <c r="I303" s="54" t="n">
        <v>37.6322970463217</v>
      </c>
      <c r="J303" s="54" t="n">
        <v>6.63185556970333</v>
      </c>
      <c r="K303" s="54" t="n">
        <v>6</v>
      </c>
      <c r="L303" s="54" t="n">
        <v>1</v>
      </c>
      <c r="M303" s="54" t="n">
        <v>0</v>
      </c>
      <c r="N303" s="54" t="n">
        <v>1</v>
      </c>
      <c r="O303" s="54" t="n">
        <v>4</v>
      </c>
      <c r="P303" s="54" t="n">
        <v>120</v>
      </c>
      <c r="Q303" s="54" t="n">
        <v>3.00396423822931</v>
      </c>
      <c r="R303" s="54" t="n">
        <v>800</v>
      </c>
      <c r="S303" s="54" t="n">
        <v>0</v>
      </c>
      <c r="T303" s="54" t="n">
        <v>5</v>
      </c>
      <c r="U303" s="54" t="n">
        <v>0</v>
      </c>
      <c r="V303" s="54" t="n">
        <v>0</v>
      </c>
      <c r="W303" s="54" t="n">
        <v>0</v>
      </c>
      <c r="X303" s="54" t="n">
        <v>25.5</v>
      </c>
    </row>
    <row r="304">
      <c r="A304" s="54" t="inlineStr">
        <is>
          <t>Shaddock peel</t>
        </is>
      </c>
      <c r="B304" s="54" t="n">
        <v>25</v>
      </c>
      <c r="C304" s="54" t="n">
        <v>12</v>
      </c>
      <c r="D304" s="54" t="n">
        <v>18</v>
      </c>
      <c r="E304" s="54" t="n">
        <v>91.1234636008052</v>
      </c>
      <c r="F304" s="54" t="n">
        <v>3.3762596239109</v>
      </c>
      <c r="G304" s="54" t="n">
        <v>6.54667673662726</v>
      </c>
      <c r="H304" s="54" t="n">
        <v>47.932180099592</v>
      </c>
      <c r="I304" s="54" t="n">
        <v>37.6322970463217</v>
      </c>
      <c r="J304" s="54" t="n">
        <v>6.63185556970333</v>
      </c>
      <c r="K304" s="54" t="n">
        <v>4</v>
      </c>
      <c r="L304" s="54" t="n">
        <v>6</v>
      </c>
      <c r="M304" s="54" t="n">
        <v>1</v>
      </c>
      <c r="N304" s="54" t="n">
        <v>0</v>
      </c>
      <c r="O304" s="54" t="n">
        <v>0</v>
      </c>
      <c r="P304" s="54" t="n">
        <v>1440</v>
      </c>
      <c r="Q304" s="54" t="n">
        <v>8.836698222118351</v>
      </c>
      <c r="R304" s="54" t="n">
        <v>180</v>
      </c>
      <c r="S304" s="54" t="n">
        <v>1</v>
      </c>
      <c r="T304" s="54" t="n">
        <v>5</v>
      </c>
      <c r="U304" s="54" t="n">
        <v>0</v>
      </c>
      <c r="V304" s="54" t="n">
        <v>2.22222222222222</v>
      </c>
      <c r="W304" s="54" t="n">
        <v>600</v>
      </c>
      <c r="X304" s="54" t="n">
        <v>538</v>
      </c>
    </row>
    <row r="305">
      <c r="A305" s="54" t="inlineStr">
        <is>
          <t>Shaddock peel</t>
        </is>
      </c>
      <c r="B305" s="54" t="n">
        <v>25</v>
      </c>
      <c r="C305" s="54" t="n">
        <v>12</v>
      </c>
      <c r="D305" s="54" t="n">
        <v>18</v>
      </c>
      <c r="E305" s="54" t="n">
        <v>91.1234636008052</v>
      </c>
      <c r="F305" s="54" t="n">
        <v>3.3762596239109</v>
      </c>
      <c r="G305" s="54" t="n">
        <v>6.54667673662726</v>
      </c>
      <c r="H305" s="54" t="n">
        <v>47.932180099592</v>
      </c>
      <c r="I305" s="54" t="n">
        <v>37.6322970463217</v>
      </c>
      <c r="J305" s="54" t="n">
        <v>6.63185556970333</v>
      </c>
      <c r="K305" s="54" t="n">
        <v>4</v>
      </c>
      <c r="L305" s="54" t="n">
        <v>5</v>
      </c>
      <c r="M305" s="54" t="n">
        <v>1</v>
      </c>
      <c r="N305" s="54" t="n">
        <v>0</v>
      </c>
      <c r="O305" s="54" t="n">
        <v>0</v>
      </c>
      <c r="P305" s="54" t="n">
        <v>1440</v>
      </c>
      <c r="Q305" s="54" t="n">
        <v>8.836698222118351</v>
      </c>
      <c r="R305" s="54" t="n">
        <v>180</v>
      </c>
      <c r="S305" s="54" t="n">
        <v>1</v>
      </c>
      <c r="T305" s="54" t="n">
        <v>8</v>
      </c>
      <c r="U305" s="54" t="n">
        <v>0</v>
      </c>
      <c r="V305" s="54" t="n">
        <v>5</v>
      </c>
      <c r="W305" s="54" t="n">
        <v>600</v>
      </c>
      <c r="X305" s="54" t="n">
        <v>536</v>
      </c>
    </row>
    <row r="306">
      <c r="A306" s="54" t="inlineStr">
        <is>
          <t>Shaddock peel</t>
        </is>
      </c>
      <c r="B306" s="54" t="n">
        <v>25</v>
      </c>
      <c r="C306" s="54" t="n">
        <v>12</v>
      </c>
      <c r="D306" s="54" t="n">
        <v>18</v>
      </c>
      <c r="E306" s="54" t="n">
        <v>91.1234636008052</v>
      </c>
      <c r="F306" s="54" t="n">
        <v>3.3762596239109</v>
      </c>
      <c r="G306" s="54" t="n">
        <v>6.54667673662726</v>
      </c>
      <c r="H306" s="54" t="n">
        <v>47.932180099592</v>
      </c>
      <c r="I306" s="54" t="n">
        <v>37.6322970463217</v>
      </c>
      <c r="J306" s="54" t="n">
        <v>6.63185556970333</v>
      </c>
      <c r="K306" s="54" t="n">
        <v>4</v>
      </c>
      <c r="L306" s="54" t="n">
        <v>6</v>
      </c>
      <c r="M306" s="54" t="n">
        <v>1</v>
      </c>
      <c r="N306" s="54" t="n">
        <v>0</v>
      </c>
      <c r="O306" s="54" t="n">
        <v>0</v>
      </c>
      <c r="P306" s="54" t="n">
        <v>1440</v>
      </c>
      <c r="Q306" s="54" t="n">
        <v>8.836698222118351</v>
      </c>
      <c r="R306" s="54" t="n">
        <v>180</v>
      </c>
      <c r="S306" s="54" t="n">
        <v>1</v>
      </c>
      <c r="T306" s="54" t="n">
        <v>5</v>
      </c>
      <c r="U306" s="54" t="n">
        <v>0</v>
      </c>
      <c r="V306" s="54" t="n">
        <v>2.22222222222222</v>
      </c>
      <c r="W306" s="54" t="n">
        <v>700</v>
      </c>
      <c r="X306" s="54" t="n">
        <v>515</v>
      </c>
    </row>
    <row r="307">
      <c r="A307" s="54" t="inlineStr">
        <is>
          <t>Shaddock peel</t>
        </is>
      </c>
      <c r="B307" s="54" t="n">
        <v>25</v>
      </c>
      <c r="C307" s="54" t="n">
        <v>12</v>
      </c>
      <c r="D307" s="54" t="n">
        <v>18</v>
      </c>
      <c r="E307" s="54" t="n">
        <v>91.1234636008052</v>
      </c>
      <c r="F307" s="54" t="n">
        <v>3.3762596239109</v>
      </c>
      <c r="G307" s="54" t="n">
        <v>6.54667673662726</v>
      </c>
      <c r="H307" s="54" t="n">
        <v>47.932180099592</v>
      </c>
      <c r="I307" s="54" t="n">
        <v>37.6322970463217</v>
      </c>
      <c r="J307" s="54" t="n">
        <v>6.63185556970333</v>
      </c>
      <c r="K307" s="54" t="n">
        <v>4</v>
      </c>
      <c r="L307" s="54" t="n">
        <v>6</v>
      </c>
      <c r="M307" s="54" t="n">
        <v>1</v>
      </c>
      <c r="N307" s="54" t="n">
        <v>0</v>
      </c>
      <c r="O307" s="54" t="n">
        <v>0</v>
      </c>
      <c r="P307" s="54" t="n">
        <v>1440</v>
      </c>
      <c r="Q307" s="54" t="n">
        <v>8.836698222118351</v>
      </c>
      <c r="R307" s="54" t="n">
        <v>180</v>
      </c>
      <c r="S307" s="54" t="n">
        <v>1</v>
      </c>
      <c r="T307" s="54" t="n">
        <v>5</v>
      </c>
      <c r="U307" s="54" t="n">
        <v>0</v>
      </c>
      <c r="V307" s="54" t="n">
        <v>2.22222222222222</v>
      </c>
      <c r="W307" s="54" t="n">
        <v>500</v>
      </c>
      <c r="X307" s="54" t="n">
        <v>473</v>
      </c>
    </row>
    <row r="308">
      <c r="A308" s="54" t="inlineStr">
        <is>
          <t>Shaddock peel</t>
        </is>
      </c>
      <c r="B308" s="54" t="n">
        <v>25</v>
      </c>
      <c r="C308" s="54" t="n">
        <v>12</v>
      </c>
      <c r="D308" s="54" t="n">
        <v>18</v>
      </c>
      <c r="E308" s="54" t="n">
        <v>91.1234636008052</v>
      </c>
      <c r="F308" s="54" t="n">
        <v>3.3762596239109</v>
      </c>
      <c r="G308" s="54" t="n">
        <v>6.54667673662726</v>
      </c>
      <c r="H308" s="54" t="n">
        <v>47.932180099592</v>
      </c>
      <c r="I308" s="54" t="n">
        <v>37.6322970463217</v>
      </c>
      <c r="J308" s="54" t="n">
        <v>6.63185556970333</v>
      </c>
      <c r="K308" s="54" t="n">
        <v>4</v>
      </c>
      <c r="L308" s="54" t="n">
        <v>5</v>
      </c>
      <c r="M308" s="54" t="n">
        <v>1</v>
      </c>
      <c r="N308" s="54" t="n">
        <v>0</v>
      </c>
      <c r="O308" s="54" t="n">
        <v>0</v>
      </c>
      <c r="P308" s="54" t="n">
        <v>1440</v>
      </c>
      <c r="Q308" s="54" t="n">
        <v>8.836698222118351</v>
      </c>
      <c r="R308" s="54" t="n">
        <v>180</v>
      </c>
      <c r="S308" s="54" t="n">
        <v>1</v>
      </c>
      <c r="T308" s="54" t="n">
        <v>8</v>
      </c>
      <c r="U308" s="54" t="n">
        <v>0</v>
      </c>
      <c r="V308" s="54" t="n">
        <v>5</v>
      </c>
      <c r="W308" s="54" t="n">
        <v>700</v>
      </c>
      <c r="X308" s="54" t="n">
        <v>435</v>
      </c>
    </row>
    <row r="309">
      <c r="A309" s="54" t="inlineStr">
        <is>
          <t>Snake fruit peal</t>
        </is>
      </c>
      <c r="B309" s="54" t="n">
        <v>33.2213311659527</v>
      </c>
      <c r="C309" s="54" t="n">
        <v>21.8551058982753</v>
      </c>
      <c r="D309" s="54" t="n">
        <v>28.5459419408344</v>
      </c>
      <c r="E309" s="54" t="n">
        <v>63.5</v>
      </c>
      <c r="F309" s="54" t="n">
        <v>5.2</v>
      </c>
      <c r="G309" s="54" t="n">
        <v>25.5</v>
      </c>
      <c r="H309" s="54" t="n">
        <v>55.73</v>
      </c>
      <c r="I309" s="54" t="n">
        <v>23.28</v>
      </c>
      <c r="J309" s="54" t="n">
        <v>5.77345889477054</v>
      </c>
      <c r="K309" s="54" t="n">
        <v>6</v>
      </c>
      <c r="L309" s="54" t="n">
        <v>1</v>
      </c>
      <c r="M309" s="54" t="n">
        <v>1</v>
      </c>
      <c r="N309" s="54" t="n">
        <v>1</v>
      </c>
      <c r="O309" s="54" t="n">
        <v>4</v>
      </c>
      <c r="P309" s="54" t="n">
        <v>60</v>
      </c>
      <c r="Q309" s="54" t="n">
        <v>2.76</v>
      </c>
      <c r="R309" s="54" t="n">
        <v>500</v>
      </c>
      <c r="S309" s="54" t="n">
        <v>1</v>
      </c>
      <c r="T309" s="54" t="n">
        <v>3</v>
      </c>
      <c r="U309" s="54" t="n">
        <v>60</v>
      </c>
      <c r="V309" s="54" t="n">
        <v>5</v>
      </c>
      <c r="W309" s="54" t="n">
        <v>800</v>
      </c>
      <c r="X309" s="54" t="n">
        <v>1007</v>
      </c>
    </row>
    <row r="310">
      <c r="A310" s="54" t="inlineStr">
        <is>
          <t>Snake fruit peal</t>
        </is>
      </c>
      <c r="B310" s="54" t="n">
        <v>33.2213311624287</v>
      </c>
      <c r="C310" s="54" t="n">
        <v>21.855105910329</v>
      </c>
      <c r="D310" s="54" t="n">
        <v>28.5459419572931</v>
      </c>
      <c r="E310" s="54" t="n">
        <v>63.5</v>
      </c>
      <c r="F310" s="54" t="n">
        <v>5.2</v>
      </c>
      <c r="G310" s="54" t="n">
        <v>25.5</v>
      </c>
      <c r="H310" s="54" t="n">
        <v>55.73</v>
      </c>
      <c r="I310" s="54" t="n">
        <v>23.28</v>
      </c>
      <c r="J310" s="54" t="n">
        <v>5.77345888952458</v>
      </c>
      <c r="K310" s="54" t="n">
        <v>6</v>
      </c>
      <c r="L310" s="54" t="n">
        <v>1</v>
      </c>
      <c r="M310" s="54" t="n">
        <v>1</v>
      </c>
      <c r="N310" s="54" t="n">
        <v>1</v>
      </c>
      <c r="O310" s="54" t="n">
        <v>4</v>
      </c>
      <c r="P310" s="54" t="n">
        <v>60</v>
      </c>
      <c r="Q310" s="54" t="n">
        <v>2.76</v>
      </c>
      <c r="R310" s="54" t="n">
        <v>500</v>
      </c>
      <c r="S310" s="54" t="n">
        <v>1</v>
      </c>
      <c r="T310" s="54" t="n">
        <v>3</v>
      </c>
      <c r="U310" s="54" t="n">
        <v>60</v>
      </c>
      <c r="V310" s="54" t="n">
        <v>5</v>
      </c>
      <c r="W310" s="54" t="n">
        <v>800</v>
      </c>
      <c r="X310" s="54" t="n">
        <v>845</v>
      </c>
    </row>
    <row r="311">
      <c r="A311" s="54" t="inlineStr">
        <is>
          <t>Sorghum stalk</t>
        </is>
      </c>
      <c r="B311" s="54" t="n">
        <v>36.42</v>
      </c>
      <c r="C311" s="54" t="n">
        <v>30.1</v>
      </c>
      <c r="D311" s="54" t="n">
        <v>19.85</v>
      </c>
      <c r="E311" s="54" t="n">
        <v>71.70999999999999</v>
      </c>
      <c r="F311" s="54" t="n">
        <v>3.94</v>
      </c>
      <c r="G311" s="54" t="n">
        <v>17.95</v>
      </c>
      <c r="H311" s="54" t="n">
        <v>44.03</v>
      </c>
      <c r="I311" s="54" t="n">
        <v>5.68</v>
      </c>
      <c r="J311" s="54" t="n">
        <v>49.93</v>
      </c>
      <c r="K311" s="54" t="n">
        <v>4</v>
      </c>
      <c r="L311" s="54" t="n">
        <v>1</v>
      </c>
      <c r="M311" s="54" t="n">
        <v>0</v>
      </c>
      <c r="N311" s="54" t="n">
        <v>1</v>
      </c>
      <c r="O311" s="54" t="n">
        <v>4</v>
      </c>
      <c r="P311" s="54" t="n">
        <v>120</v>
      </c>
      <c r="Q311" s="54" t="n">
        <v>2</v>
      </c>
      <c r="R311" s="54" t="n">
        <v>1100</v>
      </c>
      <c r="S311" s="54" t="n">
        <v>0</v>
      </c>
      <c r="T311" s="54" t="n">
        <v>5</v>
      </c>
      <c r="U311" s="54" t="n">
        <v>0</v>
      </c>
      <c r="V311" s="54" t="n">
        <v>0</v>
      </c>
      <c r="W311" s="54" t="n">
        <v>0</v>
      </c>
      <c r="X311" s="54" t="n">
        <v>234.5</v>
      </c>
    </row>
    <row r="312">
      <c r="A312" s="54" t="inlineStr">
        <is>
          <t>Sorghum stalk</t>
        </is>
      </c>
      <c r="B312" s="54" t="n">
        <v>36.42</v>
      </c>
      <c r="C312" s="54" t="n">
        <v>30.1</v>
      </c>
      <c r="D312" s="54" t="n">
        <v>19.85</v>
      </c>
      <c r="E312" s="54" t="n">
        <v>71.70999999999999</v>
      </c>
      <c r="F312" s="54" t="n">
        <v>3.94</v>
      </c>
      <c r="G312" s="54" t="n">
        <v>17.95</v>
      </c>
      <c r="H312" s="54" t="n">
        <v>44.03</v>
      </c>
      <c r="I312" s="54" t="n">
        <v>5.68</v>
      </c>
      <c r="J312" s="54" t="n">
        <v>49.93</v>
      </c>
      <c r="K312" s="54" t="n">
        <v>4</v>
      </c>
      <c r="L312" s="54" t="n">
        <v>1</v>
      </c>
      <c r="M312" s="54" t="n">
        <v>0</v>
      </c>
      <c r="N312" s="54" t="n">
        <v>1</v>
      </c>
      <c r="O312" s="54" t="n">
        <v>4</v>
      </c>
      <c r="P312" s="54" t="n">
        <v>120</v>
      </c>
      <c r="Q312" s="54" t="n">
        <v>2</v>
      </c>
      <c r="R312" s="54" t="n">
        <v>1500</v>
      </c>
      <c r="S312" s="54" t="n">
        <v>0</v>
      </c>
      <c r="T312" s="54" t="n">
        <v>5</v>
      </c>
      <c r="U312" s="54" t="n">
        <v>0</v>
      </c>
      <c r="V312" s="54" t="n">
        <v>0</v>
      </c>
      <c r="W312" s="54" t="n">
        <v>0</v>
      </c>
      <c r="X312" s="54" t="n">
        <v>85.59999999999999</v>
      </c>
    </row>
    <row r="313">
      <c r="A313" s="54" t="inlineStr">
        <is>
          <t>Sorghum stalk</t>
        </is>
      </c>
      <c r="B313" s="54" t="n">
        <v>36.42</v>
      </c>
      <c r="C313" s="54" t="n">
        <v>30.1</v>
      </c>
      <c r="D313" s="54" t="n">
        <v>19.85</v>
      </c>
      <c r="E313" s="54" t="n">
        <v>71.70999999999999</v>
      </c>
      <c r="F313" s="54" t="n">
        <v>3.94</v>
      </c>
      <c r="G313" s="54" t="n">
        <v>17.95</v>
      </c>
      <c r="H313" s="54" t="n">
        <v>44.03</v>
      </c>
      <c r="I313" s="54" t="n">
        <v>5.68</v>
      </c>
      <c r="J313" s="54" t="n">
        <v>49.93</v>
      </c>
      <c r="K313" s="54" t="n">
        <v>4</v>
      </c>
      <c r="L313" s="54" t="n">
        <v>1</v>
      </c>
      <c r="M313" s="54" t="n">
        <v>0</v>
      </c>
      <c r="N313" s="54" t="n">
        <v>1</v>
      </c>
      <c r="O313" s="54" t="n">
        <v>4</v>
      </c>
      <c r="P313" s="54" t="n">
        <v>120</v>
      </c>
      <c r="Q313" s="54" t="n">
        <v>2</v>
      </c>
      <c r="R313" s="54" t="n">
        <v>1300</v>
      </c>
      <c r="S313" s="54" t="n">
        <v>0</v>
      </c>
      <c r="T313" s="54" t="n">
        <v>5</v>
      </c>
      <c r="U313" s="54" t="n">
        <v>0</v>
      </c>
      <c r="V313" s="54" t="n">
        <v>0</v>
      </c>
      <c r="W313" s="54" t="n">
        <v>0</v>
      </c>
      <c r="X313" s="54" t="n">
        <v>35.6</v>
      </c>
    </row>
    <row r="314">
      <c r="A314" s="54" t="inlineStr">
        <is>
          <t>Soybean root</t>
        </is>
      </c>
      <c r="B314" s="54" t="n">
        <v>40.62</v>
      </c>
      <c r="C314" s="54" t="n">
        <v>33.78</v>
      </c>
      <c r="D314" s="54" t="n">
        <v>7.75</v>
      </c>
      <c r="E314" s="54" t="n">
        <v>74.09999999999999</v>
      </c>
      <c r="F314" s="54" t="n">
        <v>4</v>
      </c>
      <c r="G314" s="54" t="n">
        <v>14.6</v>
      </c>
      <c r="H314" s="54" t="n">
        <v>45.8</v>
      </c>
      <c r="I314" s="54" t="n">
        <v>43.7</v>
      </c>
      <c r="J314" s="54" t="n">
        <v>6.9</v>
      </c>
      <c r="K314" s="54" t="n">
        <v>6</v>
      </c>
      <c r="L314" s="54" t="n">
        <v>1</v>
      </c>
      <c r="M314" s="54" t="n">
        <v>0</v>
      </c>
      <c r="N314" s="54" t="n">
        <v>1</v>
      </c>
      <c r="O314" s="54" t="n">
        <v>4</v>
      </c>
      <c r="P314" s="54" t="n">
        <v>120</v>
      </c>
      <c r="Q314" s="54" t="n">
        <v>3.45168050881648</v>
      </c>
      <c r="R314" s="54" t="n">
        <v>600</v>
      </c>
      <c r="S314" s="54" t="n">
        <v>0</v>
      </c>
      <c r="T314" s="54" t="n">
        <v>5</v>
      </c>
      <c r="U314" s="54" t="n">
        <v>0</v>
      </c>
      <c r="V314" s="54" t="n">
        <v>0</v>
      </c>
      <c r="W314" s="54" t="n">
        <v>0</v>
      </c>
      <c r="X314" s="54" t="n">
        <v>6.5</v>
      </c>
    </row>
    <row r="315">
      <c r="A315" s="54" t="inlineStr">
        <is>
          <t>Soybean root</t>
        </is>
      </c>
      <c r="B315" s="54" t="n">
        <v>40.62</v>
      </c>
      <c r="C315" s="54" t="n">
        <v>33.78</v>
      </c>
      <c r="D315" s="54" t="n">
        <v>7.75</v>
      </c>
      <c r="E315" s="54" t="n">
        <v>74.09999999999999</v>
      </c>
      <c r="F315" s="54" t="n">
        <v>4</v>
      </c>
      <c r="G315" s="54" t="n">
        <v>14.6</v>
      </c>
      <c r="H315" s="54" t="n">
        <v>45.8</v>
      </c>
      <c r="I315" s="54" t="n">
        <v>43.7</v>
      </c>
      <c r="J315" s="54" t="n">
        <v>6.9</v>
      </c>
      <c r="K315" s="54" t="n">
        <v>6</v>
      </c>
      <c r="L315" s="54" t="n">
        <v>1</v>
      </c>
      <c r="M315" s="54" t="n">
        <v>0</v>
      </c>
      <c r="N315" s="54" t="n">
        <v>1</v>
      </c>
      <c r="O315" s="54" t="n">
        <v>4</v>
      </c>
      <c r="P315" s="54" t="n">
        <v>120</v>
      </c>
      <c r="Q315" s="54" t="n">
        <v>5.63746887521874</v>
      </c>
      <c r="R315" s="54" t="n">
        <v>700</v>
      </c>
      <c r="S315" s="54" t="n">
        <v>0</v>
      </c>
      <c r="T315" s="54" t="n">
        <v>5</v>
      </c>
      <c r="U315" s="54" t="n">
        <v>0</v>
      </c>
      <c r="V315" s="54" t="n">
        <v>0</v>
      </c>
      <c r="W315" s="54" t="n">
        <v>0</v>
      </c>
      <c r="X315" s="54" t="n">
        <v>10.5</v>
      </c>
    </row>
    <row r="316">
      <c r="A316" s="54" t="inlineStr">
        <is>
          <t>Soybean root</t>
        </is>
      </c>
      <c r="B316" s="54" t="n">
        <v>40.62</v>
      </c>
      <c r="C316" s="54" t="n">
        <v>33.78</v>
      </c>
      <c r="D316" s="54" t="n">
        <v>7.75</v>
      </c>
      <c r="E316" s="54" t="n">
        <v>74.09999999999999</v>
      </c>
      <c r="F316" s="54" t="n">
        <v>4</v>
      </c>
      <c r="G316" s="54" t="n">
        <v>14.6</v>
      </c>
      <c r="H316" s="54" t="n">
        <v>45.8</v>
      </c>
      <c r="I316" s="54" t="n">
        <v>43.7</v>
      </c>
      <c r="J316" s="54" t="n">
        <v>6.9</v>
      </c>
      <c r="K316" s="54" t="n">
        <v>6</v>
      </c>
      <c r="L316" s="54" t="n">
        <v>1</v>
      </c>
      <c r="M316" s="54" t="n">
        <v>0</v>
      </c>
      <c r="N316" s="54" t="n">
        <v>1</v>
      </c>
      <c r="O316" s="54" t="n">
        <v>4</v>
      </c>
      <c r="P316" s="54" t="n">
        <v>120</v>
      </c>
      <c r="Q316" s="54" t="n">
        <v>3.59671266400651</v>
      </c>
      <c r="R316" s="54" t="n">
        <v>800</v>
      </c>
      <c r="S316" s="54" t="n">
        <v>0</v>
      </c>
      <c r="T316" s="54" t="n">
        <v>5</v>
      </c>
      <c r="U316" s="54" t="n">
        <v>0</v>
      </c>
      <c r="V316" s="54" t="n">
        <v>0</v>
      </c>
      <c r="W316" s="54" t="n">
        <v>0</v>
      </c>
      <c r="X316" s="54" t="n">
        <v>7.6</v>
      </c>
    </row>
    <row r="317">
      <c r="A317" s="54" t="inlineStr">
        <is>
          <t>Spartina alterniflora</t>
        </is>
      </c>
      <c r="B317" s="54" t="n">
        <v>35.9</v>
      </c>
      <c r="C317" s="54" t="n">
        <v>342</v>
      </c>
      <c r="D317" s="54" t="n">
        <v>15.9</v>
      </c>
      <c r="E317" s="54" t="n">
        <v>68.8644370719265</v>
      </c>
      <c r="F317" s="54" t="n">
        <v>11.0173177084386</v>
      </c>
      <c r="G317" s="54" t="n">
        <v>22.6626159388995</v>
      </c>
      <c r="H317" s="54" t="n">
        <v>45.9365700835009</v>
      </c>
      <c r="I317" s="54" t="n">
        <v>44.1985530197491</v>
      </c>
      <c r="J317" s="54" t="n">
        <v>5.37696286794553</v>
      </c>
      <c r="K317" s="54" t="n">
        <v>6</v>
      </c>
      <c r="L317" s="54" t="n">
        <v>2</v>
      </c>
      <c r="M317" s="54" t="n">
        <v>0</v>
      </c>
      <c r="N317" s="54" t="n">
        <v>1</v>
      </c>
      <c r="O317" s="54" t="n">
        <v>4</v>
      </c>
      <c r="P317" s="54" t="n">
        <v>180</v>
      </c>
      <c r="Q317" s="54" t="n">
        <v>4.75570809882702</v>
      </c>
      <c r="R317" s="54" t="n">
        <v>1600</v>
      </c>
      <c r="S317" s="54" t="n">
        <v>0</v>
      </c>
      <c r="T317" s="54" t="n">
        <v>5</v>
      </c>
      <c r="U317" s="54" t="n">
        <v>0</v>
      </c>
      <c r="V317" s="54" t="n">
        <v>0</v>
      </c>
      <c r="W317" s="54" t="n">
        <v>0</v>
      </c>
      <c r="X317" s="54" t="n">
        <v>7.9</v>
      </c>
    </row>
    <row r="318">
      <c r="A318" s="54" t="inlineStr">
        <is>
          <t>Spartina alterniflora</t>
        </is>
      </c>
      <c r="B318" s="54" t="n">
        <v>35.9</v>
      </c>
      <c r="C318" s="54" t="n">
        <v>342</v>
      </c>
      <c r="D318" s="54" t="n">
        <v>15.9</v>
      </c>
      <c r="E318" s="54" t="n">
        <v>68.8644370719265</v>
      </c>
      <c r="F318" s="54" t="n">
        <v>11.0173177084386</v>
      </c>
      <c r="G318" s="54" t="n">
        <v>22.6626159388995</v>
      </c>
      <c r="H318" s="54" t="n">
        <v>45.9365700835009</v>
      </c>
      <c r="I318" s="54" t="n">
        <v>44.1985530197491</v>
      </c>
      <c r="J318" s="54" t="n">
        <v>5.37696286794553</v>
      </c>
      <c r="K318" s="54" t="n">
        <v>6</v>
      </c>
      <c r="L318" s="54" t="n">
        <v>2</v>
      </c>
      <c r="M318" s="54" t="n">
        <v>0</v>
      </c>
      <c r="N318" s="54" t="n">
        <v>1</v>
      </c>
      <c r="O318" s="54" t="n">
        <v>4</v>
      </c>
      <c r="P318" s="54" t="n">
        <v>180</v>
      </c>
      <c r="Q318" s="54" t="n">
        <v>5</v>
      </c>
      <c r="R318" s="54" t="n">
        <v>1400</v>
      </c>
      <c r="S318" s="54" t="n">
        <v>0</v>
      </c>
      <c r="T318" s="54" t="n">
        <v>5</v>
      </c>
      <c r="U318" s="54" t="n">
        <v>0</v>
      </c>
      <c r="V318" s="54" t="n">
        <v>0</v>
      </c>
      <c r="W318" s="54" t="n">
        <v>0</v>
      </c>
      <c r="X318" s="54" t="n">
        <v>13.9</v>
      </c>
    </row>
    <row r="319">
      <c r="A319" s="54" t="inlineStr">
        <is>
          <t>Spartina alterniflora</t>
        </is>
      </c>
      <c r="B319" s="54" t="n">
        <v>35.9</v>
      </c>
      <c r="C319" s="54" t="n">
        <v>342</v>
      </c>
      <c r="D319" s="54" t="n">
        <v>15.9</v>
      </c>
      <c r="E319" s="54" t="n">
        <v>68.8644370719265</v>
      </c>
      <c r="F319" s="54" t="n">
        <v>11.0173177084386</v>
      </c>
      <c r="G319" s="54" t="n">
        <v>22.6626159388995</v>
      </c>
      <c r="H319" s="54" t="n">
        <v>45.9365700835009</v>
      </c>
      <c r="I319" s="54" t="n">
        <v>44.1985530197491</v>
      </c>
      <c r="J319" s="54" t="n">
        <v>5.37696286794553</v>
      </c>
      <c r="K319" s="54" t="n">
        <v>6</v>
      </c>
      <c r="L319" s="54" t="n">
        <v>2</v>
      </c>
      <c r="M319" s="54" t="n">
        <v>0</v>
      </c>
      <c r="N319" s="54" t="n">
        <v>1</v>
      </c>
      <c r="O319" s="54" t="n">
        <v>4</v>
      </c>
      <c r="P319" s="54" t="n">
        <v>180</v>
      </c>
      <c r="Q319" s="54" t="n">
        <v>4.75809841663837</v>
      </c>
      <c r="R319" s="54" t="n">
        <v>1200</v>
      </c>
      <c r="S319" s="54" t="n">
        <v>0</v>
      </c>
      <c r="T319" s="54" t="n">
        <v>5</v>
      </c>
      <c r="U319" s="54" t="n">
        <v>0</v>
      </c>
      <c r="V319" s="54" t="n">
        <v>0</v>
      </c>
      <c r="W319" s="54" t="n">
        <v>0</v>
      </c>
      <c r="X319" s="54" t="n">
        <v>415.8</v>
      </c>
    </row>
    <row r="320">
      <c r="A320" s="54" t="inlineStr">
        <is>
          <t>Spartina alterniflora</t>
        </is>
      </c>
      <c r="B320" s="54" t="n">
        <v>35.9</v>
      </c>
      <c r="C320" s="54" t="n">
        <v>342</v>
      </c>
      <c r="D320" s="54" t="n">
        <v>15.9</v>
      </c>
      <c r="E320" s="54" t="n">
        <v>68.8644370719265</v>
      </c>
      <c r="F320" s="54" t="n">
        <v>11.0173177084386</v>
      </c>
      <c r="G320" s="54" t="n">
        <v>22.6626159388995</v>
      </c>
      <c r="H320" s="54" t="n">
        <v>45.9365700835009</v>
      </c>
      <c r="I320" s="54" t="n">
        <v>44.1985530197491</v>
      </c>
      <c r="J320" s="54" t="n">
        <v>5.37696286794553</v>
      </c>
      <c r="K320" s="54" t="n">
        <v>6</v>
      </c>
      <c r="L320" s="54" t="n">
        <v>2</v>
      </c>
      <c r="M320" s="54" t="n">
        <v>0</v>
      </c>
      <c r="N320" s="54" t="n">
        <v>1</v>
      </c>
      <c r="O320" s="54" t="n">
        <v>4</v>
      </c>
      <c r="P320" s="54" t="n">
        <v>180</v>
      </c>
      <c r="Q320" s="54" t="n">
        <v>4.27940025308691</v>
      </c>
      <c r="R320" s="54" t="n">
        <v>1000</v>
      </c>
      <c r="S320" s="54" t="n">
        <v>0</v>
      </c>
      <c r="T320" s="54" t="n">
        <v>5</v>
      </c>
      <c r="U320" s="54" t="n">
        <v>0</v>
      </c>
      <c r="V320" s="54" t="n">
        <v>0</v>
      </c>
      <c r="W320" s="54" t="n">
        <v>0</v>
      </c>
      <c r="X320" s="54" t="n">
        <v>20.6</v>
      </c>
    </row>
    <row r="321">
      <c r="A321" s="54" t="inlineStr">
        <is>
          <t>Spartina alterniflora Loisel</t>
        </is>
      </c>
      <c r="B321" s="54" t="n">
        <v>35.9</v>
      </c>
      <c r="C321" s="54" t="n">
        <v>342</v>
      </c>
      <c r="D321" s="54" t="n">
        <v>15.9</v>
      </c>
      <c r="E321" s="54" t="n">
        <v>68.8644370719265</v>
      </c>
      <c r="F321" s="54" t="n">
        <v>11.0173177084386</v>
      </c>
      <c r="G321" s="54" t="n">
        <v>22.6626159388995</v>
      </c>
      <c r="H321" s="54" t="n">
        <v>45.9365700835009</v>
      </c>
      <c r="I321" s="54" t="n">
        <v>44.1985530197491</v>
      </c>
      <c r="J321" s="54" t="n">
        <v>5.37696286794553</v>
      </c>
      <c r="K321" s="54" t="n">
        <v>4</v>
      </c>
      <c r="L321" s="54" t="n">
        <v>2</v>
      </c>
      <c r="M321" s="54" t="n">
        <v>1</v>
      </c>
      <c r="N321" s="54" t="n">
        <v>1</v>
      </c>
      <c r="O321" s="54" t="n">
        <v>4</v>
      </c>
      <c r="P321" s="54" t="n">
        <v>120</v>
      </c>
      <c r="Q321" s="54" t="n">
        <v>5</v>
      </c>
      <c r="R321" s="54" t="n">
        <v>600</v>
      </c>
      <c r="S321" s="54" t="n">
        <v>1</v>
      </c>
      <c r="T321" s="54" t="n">
        <v>5</v>
      </c>
      <c r="U321" s="54" t="n">
        <v>120</v>
      </c>
      <c r="V321" s="54" t="n">
        <v>1.32558139534884</v>
      </c>
      <c r="W321" s="54" t="n">
        <v>1200</v>
      </c>
      <c r="X321" s="54" t="n">
        <v>100.4</v>
      </c>
    </row>
    <row r="322">
      <c r="A322" s="54" t="inlineStr">
        <is>
          <t>Sugar cane basggase</t>
        </is>
      </c>
      <c r="B322" s="54" t="n">
        <v>36.5</v>
      </c>
      <c r="C322" s="54" t="n">
        <v>26</v>
      </c>
      <c r="D322" s="54" t="n">
        <v>18.5</v>
      </c>
      <c r="E322" s="54" t="n">
        <v>83.5</v>
      </c>
      <c r="F322" s="54" t="n">
        <v>4.2</v>
      </c>
      <c r="G322" s="54" t="n">
        <v>12.5</v>
      </c>
      <c r="H322" s="54" t="n">
        <v>43.1</v>
      </c>
      <c r="I322" s="54" t="n">
        <v>51.4</v>
      </c>
      <c r="J322" s="54" t="n">
        <v>5.51</v>
      </c>
      <c r="K322" s="54" t="n">
        <v>4</v>
      </c>
      <c r="L322" s="54" t="n">
        <v>5</v>
      </c>
      <c r="M322" s="54" t="n">
        <v>1</v>
      </c>
      <c r="N322" s="54" t="n">
        <v>1</v>
      </c>
      <c r="O322" s="54" t="n">
        <v>4</v>
      </c>
      <c r="P322" s="54" t="n">
        <v>240</v>
      </c>
      <c r="Q322" s="54" t="n">
        <v>2.5</v>
      </c>
      <c r="R322" s="54" t="n">
        <v>360</v>
      </c>
      <c r="S322" s="54" t="n">
        <v>1</v>
      </c>
      <c r="T322" s="54" t="n">
        <v>5</v>
      </c>
      <c r="U322" s="54" t="n">
        <v>120</v>
      </c>
      <c r="V322" s="54" t="n">
        <v>1.32558139534884</v>
      </c>
      <c r="W322" s="54" t="n">
        <v>1300</v>
      </c>
      <c r="X322" s="54" t="n">
        <v>10.61</v>
      </c>
    </row>
    <row r="323">
      <c r="A323" s="54" t="inlineStr">
        <is>
          <t>Sugarcane</t>
        </is>
      </c>
      <c r="B323" s="54" t="n">
        <v>42.4</v>
      </c>
      <c r="C323" s="54" t="n">
        <v>25.2</v>
      </c>
      <c r="D323" s="54" t="n">
        <v>19.7</v>
      </c>
      <c r="E323" s="54" t="n">
        <v>84.79000000000001</v>
      </c>
      <c r="F323" s="54" t="n">
        <v>2.91</v>
      </c>
      <c r="G323" s="54" t="n">
        <v>11.82</v>
      </c>
      <c r="H323" s="54" t="n">
        <v>49.2</v>
      </c>
      <c r="I323" s="54" t="n">
        <v>43</v>
      </c>
      <c r="J323" s="54" t="n">
        <v>4.69</v>
      </c>
      <c r="K323" s="54" t="n">
        <v>6</v>
      </c>
      <c r="L323" s="54" t="n">
        <v>7</v>
      </c>
      <c r="M323" s="54" t="n">
        <v>0</v>
      </c>
      <c r="N323" s="54" t="n">
        <v>1</v>
      </c>
      <c r="O323" s="54" t="n">
        <v>4</v>
      </c>
      <c r="P323" s="54" t="n">
        <v>120</v>
      </c>
      <c r="Q323" s="54" t="n">
        <v>3</v>
      </c>
      <c r="R323" s="54" t="n">
        <v>800</v>
      </c>
      <c r="S323" s="54" t="n">
        <v>0</v>
      </c>
      <c r="T323" s="54" t="n">
        <v>5</v>
      </c>
      <c r="U323" s="54" t="n">
        <v>0</v>
      </c>
      <c r="V323" s="54" t="n">
        <v>0</v>
      </c>
      <c r="W323" s="54" t="n">
        <v>0</v>
      </c>
      <c r="X323" s="54" t="n">
        <v>299</v>
      </c>
    </row>
    <row r="324">
      <c r="A324" s="54" t="inlineStr">
        <is>
          <t>Sugarcane</t>
        </is>
      </c>
      <c r="B324" s="54" t="n">
        <v>42.4</v>
      </c>
      <c r="C324" s="54" t="n">
        <v>25.2</v>
      </c>
      <c r="D324" s="54" t="n">
        <v>19.7</v>
      </c>
      <c r="E324" s="54" t="n">
        <v>84.79000000000001</v>
      </c>
      <c r="F324" s="54" t="n">
        <v>2.91</v>
      </c>
      <c r="G324" s="54" t="n">
        <v>11.82</v>
      </c>
      <c r="H324" s="54" t="n">
        <v>49.2</v>
      </c>
      <c r="I324" s="54" t="n">
        <v>43</v>
      </c>
      <c r="J324" s="54" t="n">
        <v>4.69</v>
      </c>
      <c r="K324" s="54" t="n">
        <v>6</v>
      </c>
      <c r="L324" s="54" t="n">
        <v>7</v>
      </c>
      <c r="M324" s="54" t="n">
        <v>0</v>
      </c>
      <c r="N324" s="54" t="n">
        <v>1</v>
      </c>
      <c r="O324" s="54" t="n">
        <v>4</v>
      </c>
      <c r="P324" s="54" t="n">
        <v>120</v>
      </c>
      <c r="Q324" s="54" t="n">
        <v>3</v>
      </c>
      <c r="R324" s="54" t="n">
        <v>900</v>
      </c>
      <c r="S324" s="54" t="n">
        <v>0</v>
      </c>
      <c r="T324" s="54" t="n">
        <v>5</v>
      </c>
      <c r="U324" s="54" t="n">
        <v>0</v>
      </c>
      <c r="V324" s="54" t="n">
        <v>0</v>
      </c>
      <c r="W324" s="54" t="n">
        <v>0</v>
      </c>
      <c r="X324" s="54" t="n">
        <v>254</v>
      </c>
    </row>
    <row r="325">
      <c r="A325" s="54" t="inlineStr">
        <is>
          <t>Sugarcane</t>
        </is>
      </c>
      <c r="B325" s="54" t="n">
        <v>42.4</v>
      </c>
      <c r="C325" s="54" t="n">
        <v>25.2</v>
      </c>
      <c r="D325" s="54" t="n">
        <v>19.7</v>
      </c>
      <c r="E325" s="54" t="n">
        <v>84.79000000000001</v>
      </c>
      <c r="F325" s="54" t="n">
        <v>2.91</v>
      </c>
      <c r="G325" s="54" t="n">
        <v>11.82</v>
      </c>
      <c r="H325" s="54" t="n">
        <v>49.2</v>
      </c>
      <c r="I325" s="54" t="n">
        <v>43</v>
      </c>
      <c r="J325" s="54" t="n">
        <v>4.69</v>
      </c>
      <c r="K325" s="54" t="n">
        <v>6</v>
      </c>
      <c r="L325" s="54" t="n">
        <v>7</v>
      </c>
      <c r="M325" s="54" t="n">
        <v>0</v>
      </c>
      <c r="N325" s="54" t="n">
        <v>1</v>
      </c>
      <c r="O325" s="54" t="n">
        <v>4</v>
      </c>
      <c r="P325" s="54" t="n">
        <v>120</v>
      </c>
      <c r="Q325" s="54" t="n">
        <v>3</v>
      </c>
      <c r="R325" s="54" t="n">
        <v>1000</v>
      </c>
      <c r="S325" s="54" t="n">
        <v>0</v>
      </c>
      <c r="T325" s="54" t="n">
        <v>5</v>
      </c>
      <c r="U325" s="54" t="n">
        <v>0</v>
      </c>
      <c r="V325" s="54" t="n">
        <v>0</v>
      </c>
      <c r="W325" s="54" t="n">
        <v>0</v>
      </c>
      <c r="X325" s="54" t="n">
        <v>218</v>
      </c>
    </row>
    <row r="326">
      <c r="A326" s="54" t="inlineStr">
        <is>
          <t>Sugarcane</t>
        </is>
      </c>
      <c r="B326" s="54" t="n">
        <v>42.4</v>
      </c>
      <c r="C326" s="54" t="n">
        <v>25.2</v>
      </c>
      <c r="D326" s="54" t="n">
        <v>19.7</v>
      </c>
      <c r="E326" s="54" t="n">
        <v>84.79000000000001</v>
      </c>
      <c r="F326" s="54" t="n">
        <v>2.91</v>
      </c>
      <c r="G326" s="54" t="n">
        <v>11.82</v>
      </c>
      <c r="H326" s="54" t="n">
        <v>49.2</v>
      </c>
      <c r="I326" s="54" t="n">
        <v>43</v>
      </c>
      <c r="J326" s="54" t="n">
        <v>4.69</v>
      </c>
      <c r="K326" s="54" t="n">
        <v>6</v>
      </c>
      <c r="L326" s="54" t="n">
        <v>7</v>
      </c>
      <c r="M326" s="54" t="n">
        <v>0</v>
      </c>
      <c r="N326" s="54" t="n">
        <v>1</v>
      </c>
      <c r="O326" s="54" t="n">
        <v>4</v>
      </c>
      <c r="P326" s="54" t="n">
        <v>120</v>
      </c>
      <c r="Q326" s="54" t="n">
        <v>3</v>
      </c>
      <c r="R326" s="54" t="n">
        <v>1100</v>
      </c>
      <c r="S326" s="54" t="n">
        <v>0</v>
      </c>
      <c r="T326" s="54" t="n">
        <v>5</v>
      </c>
      <c r="U326" s="54" t="n">
        <v>0</v>
      </c>
      <c r="V326" s="54" t="n">
        <v>0</v>
      </c>
      <c r="W326" s="54" t="n">
        <v>0</v>
      </c>
      <c r="X326" s="54" t="n">
        <v>152</v>
      </c>
    </row>
    <row r="327">
      <c r="A327" s="54" t="inlineStr">
        <is>
          <t>Sugarcane</t>
        </is>
      </c>
      <c r="B327" s="54" t="n">
        <v>42.4</v>
      </c>
      <c r="C327" s="54" t="n">
        <v>25.2</v>
      </c>
      <c r="D327" s="54" t="n">
        <v>19.7</v>
      </c>
      <c r="E327" s="54" t="n">
        <v>84.79000000000001</v>
      </c>
      <c r="F327" s="54" t="n">
        <v>2.91</v>
      </c>
      <c r="G327" s="54" t="n">
        <v>11.82</v>
      </c>
      <c r="H327" s="54" t="n">
        <v>49.2</v>
      </c>
      <c r="I327" s="54" t="n">
        <v>43</v>
      </c>
      <c r="J327" s="54" t="n">
        <v>4.69</v>
      </c>
      <c r="K327" s="54" t="n">
        <v>6</v>
      </c>
      <c r="L327" s="54" t="n">
        <v>7</v>
      </c>
      <c r="M327" s="54" t="n">
        <v>1</v>
      </c>
      <c r="N327" s="54" t="n">
        <v>1</v>
      </c>
      <c r="O327" s="54" t="n">
        <v>4</v>
      </c>
      <c r="P327" s="54" t="n">
        <v>120</v>
      </c>
      <c r="Q327" s="54" t="n">
        <v>3</v>
      </c>
      <c r="R327" s="54" t="n">
        <v>1200</v>
      </c>
      <c r="S327" s="54" t="n">
        <v>1</v>
      </c>
      <c r="T327" s="54" t="n">
        <v>2</v>
      </c>
      <c r="U327" s="54" t="n">
        <v>1</v>
      </c>
      <c r="V327" s="54" t="n">
        <v>0</v>
      </c>
      <c r="W327" s="54" t="n">
        <v>0</v>
      </c>
      <c r="X327" s="54" t="n">
        <v>70</v>
      </c>
    </row>
    <row r="328">
      <c r="A328" s="54" t="inlineStr">
        <is>
          <t>Sugarcane</t>
        </is>
      </c>
      <c r="B328" s="54" t="n">
        <v>42.4</v>
      </c>
      <c r="C328" s="54" t="n">
        <v>25.2</v>
      </c>
      <c r="D328" s="54" t="n">
        <v>19.7</v>
      </c>
      <c r="E328" s="54" t="n">
        <v>84.79000000000001</v>
      </c>
      <c r="F328" s="54" t="n">
        <v>2.91</v>
      </c>
      <c r="G328" s="54" t="n">
        <v>11.82</v>
      </c>
      <c r="H328" s="54" t="n">
        <v>49.2</v>
      </c>
      <c r="I328" s="54" t="n">
        <v>43</v>
      </c>
      <c r="J328" s="54" t="n">
        <v>4.69</v>
      </c>
      <c r="K328" s="54" t="n">
        <v>6</v>
      </c>
      <c r="L328" s="54" t="n">
        <v>7</v>
      </c>
      <c r="M328" s="54" t="n">
        <v>0</v>
      </c>
      <c r="N328" s="54" t="n">
        <v>1</v>
      </c>
      <c r="O328" s="54" t="n">
        <v>4</v>
      </c>
      <c r="P328" s="54" t="n">
        <v>120</v>
      </c>
      <c r="Q328" s="54" t="n">
        <v>3</v>
      </c>
      <c r="R328" s="54" t="n">
        <v>1200</v>
      </c>
      <c r="S328" s="54" t="n">
        <v>0</v>
      </c>
      <c r="T328" s="54" t="n">
        <v>5</v>
      </c>
      <c r="U328" s="54" t="n">
        <v>0</v>
      </c>
      <c r="V328" s="54" t="n">
        <v>0</v>
      </c>
      <c r="W328" s="54" t="n">
        <v>0</v>
      </c>
      <c r="X328" s="54" t="n">
        <v>49</v>
      </c>
    </row>
    <row r="329">
      <c r="A329" s="54" t="inlineStr">
        <is>
          <t>Sugarcane</t>
        </is>
      </c>
      <c r="B329" s="54" t="n">
        <v>42.4</v>
      </c>
      <c r="C329" s="54" t="n">
        <v>25.2</v>
      </c>
      <c r="D329" s="54" t="n">
        <v>19.7</v>
      </c>
      <c r="E329" s="54" t="n">
        <v>84.79000000000001</v>
      </c>
      <c r="F329" s="54" t="n">
        <v>2.91</v>
      </c>
      <c r="G329" s="54" t="n">
        <v>11.82</v>
      </c>
      <c r="H329" s="54" t="n">
        <v>49.2</v>
      </c>
      <c r="I329" s="54" t="n">
        <v>43</v>
      </c>
      <c r="J329" s="54" t="n">
        <v>4.69</v>
      </c>
      <c r="K329" s="54" t="n">
        <v>6</v>
      </c>
      <c r="L329" s="54" t="n">
        <v>7</v>
      </c>
      <c r="M329" s="54" t="n">
        <v>0</v>
      </c>
      <c r="N329" s="54" t="n">
        <v>1</v>
      </c>
      <c r="O329" s="54" t="n">
        <v>4</v>
      </c>
      <c r="P329" s="54" t="n">
        <v>120</v>
      </c>
      <c r="Q329" s="54" t="n">
        <v>3</v>
      </c>
      <c r="R329" s="54" t="n">
        <v>1300</v>
      </c>
      <c r="S329" s="54" t="n">
        <v>0</v>
      </c>
      <c r="T329" s="54" t="n">
        <v>5</v>
      </c>
      <c r="U329" s="54" t="n">
        <v>0</v>
      </c>
      <c r="V329" s="54" t="n">
        <v>0</v>
      </c>
      <c r="W329" s="54" t="n">
        <v>0</v>
      </c>
      <c r="X329" s="54" t="n">
        <v>22</v>
      </c>
    </row>
    <row r="330">
      <c r="A330" s="54" t="inlineStr">
        <is>
          <t>Sugarcane bagasse</t>
        </is>
      </c>
      <c r="B330" s="54" t="n">
        <v>36.5</v>
      </c>
      <c r="C330" s="54" t="n">
        <v>26</v>
      </c>
      <c r="D330" s="54" t="n">
        <v>18.5</v>
      </c>
      <c r="E330" s="54" t="n">
        <v>83.5</v>
      </c>
      <c r="F330" s="54" t="n">
        <v>4.2</v>
      </c>
      <c r="G330" s="54" t="n">
        <v>12.5</v>
      </c>
      <c r="H330" s="54" t="n">
        <v>43.1</v>
      </c>
      <c r="I330" s="54" t="n">
        <v>51.4</v>
      </c>
      <c r="J330" s="54" t="n">
        <v>5.51</v>
      </c>
      <c r="K330" s="54" t="n">
        <v>4</v>
      </c>
      <c r="L330" s="54" t="n">
        <v>1</v>
      </c>
      <c r="M330" s="54" t="n">
        <v>1</v>
      </c>
      <c r="N330" s="54" t="n">
        <v>1</v>
      </c>
      <c r="O330" s="54" t="n">
        <v>4</v>
      </c>
      <c r="P330" s="54" t="n">
        <v>120</v>
      </c>
      <c r="Q330" s="54" t="n">
        <v>3</v>
      </c>
      <c r="R330" s="54" t="n">
        <v>400</v>
      </c>
      <c r="S330" s="54" t="n">
        <v>1</v>
      </c>
      <c r="T330" s="54" t="n">
        <v>5</v>
      </c>
      <c r="U330" s="54" t="n">
        <v>120</v>
      </c>
      <c r="V330" s="54" t="n">
        <v>5</v>
      </c>
      <c r="W330" s="54" t="n">
        <v>1000</v>
      </c>
      <c r="X330" s="54" t="n">
        <v>87.29000000000001</v>
      </c>
    </row>
    <row r="331">
      <c r="A331" s="54" t="inlineStr">
        <is>
          <t>Sugarcane bagasse</t>
        </is>
      </c>
      <c r="B331" s="54" t="n">
        <v>36.5</v>
      </c>
      <c r="C331" s="54" t="n">
        <v>26</v>
      </c>
      <c r="D331" s="54" t="n">
        <v>18.5</v>
      </c>
      <c r="E331" s="54" t="n">
        <v>83.5</v>
      </c>
      <c r="F331" s="54" t="n">
        <v>4.2</v>
      </c>
      <c r="G331" s="54" t="n">
        <v>12.5</v>
      </c>
      <c r="H331" s="54" t="n">
        <v>43.1</v>
      </c>
      <c r="I331" s="54" t="n">
        <v>51.4</v>
      </c>
      <c r="J331" s="54" t="n">
        <v>5.51</v>
      </c>
      <c r="K331" s="54" t="n">
        <v>6</v>
      </c>
      <c r="L331" s="54" t="n">
        <v>5</v>
      </c>
      <c r="M331" s="54" t="n">
        <v>0</v>
      </c>
      <c r="N331" s="54" t="n">
        <v>1</v>
      </c>
      <c r="O331" s="54" t="n">
        <v>4</v>
      </c>
      <c r="P331" s="54" t="n">
        <v>360</v>
      </c>
      <c r="Q331" s="54" t="n">
        <v>4.33333333333333</v>
      </c>
      <c r="R331" s="54" t="n">
        <v>750</v>
      </c>
      <c r="S331" s="54" t="n">
        <v>0</v>
      </c>
      <c r="T331" s="54" t="n">
        <v>5</v>
      </c>
      <c r="U331" s="54" t="n">
        <v>0</v>
      </c>
      <c r="V331" s="54" t="n">
        <v>0</v>
      </c>
      <c r="W331" s="54" t="n">
        <v>0</v>
      </c>
      <c r="X331" s="54" t="n">
        <v>8</v>
      </c>
    </row>
    <row r="332">
      <c r="A332" s="54" t="inlineStr">
        <is>
          <t>Sugarcane bagasse</t>
        </is>
      </c>
      <c r="B332" s="54" t="n">
        <v>36.5</v>
      </c>
      <c r="C332" s="54" t="n">
        <v>26</v>
      </c>
      <c r="D332" s="54" t="n">
        <v>18.5</v>
      </c>
      <c r="E332" s="54" t="n">
        <v>83.5</v>
      </c>
      <c r="F332" s="54" t="n">
        <v>4.2</v>
      </c>
      <c r="G332" s="54" t="n">
        <v>12.5</v>
      </c>
      <c r="H332" s="54" t="n">
        <v>43.1</v>
      </c>
      <c r="I332" s="54" t="n">
        <v>51.4</v>
      </c>
      <c r="J332" s="54" t="n">
        <v>5.51</v>
      </c>
      <c r="K332" s="54" t="n">
        <v>6</v>
      </c>
      <c r="L332" s="54" t="n">
        <v>5</v>
      </c>
      <c r="M332" s="54" t="n">
        <v>0</v>
      </c>
      <c r="N332" s="54" t="n">
        <v>1</v>
      </c>
      <c r="O332" s="54" t="n">
        <v>4</v>
      </c>
      <c r="P332" s="54" t="n">
        <v>360</v>
      </c>
      <c r="Q332" s="54" t="n">
        <v>4.33333333333333</v>
      </c>
      <c r="R332" s="54" t="n">
        <v>850</v>
      </c>
      <c r="S332" s="54" t="n">
        <v>0</v>
      </c>
      <c r="T332" s="54" t="n">
        <v>5</v>
      </c>
      <c r="U332" s="54" t="n">
        <v>0</v>
      </c>
      <c r="V332" s="54" t="n">
        <v>0</v>
      </c>
      <c r="W332" s="54" t="n">
        <v>0</v>
      </c>
      <c r="X332" s="54" t="n">
        <v>5</v>
      </c>
    </row>
    <row r="333">
      <c r="A333" s="54" t="inlineStr">
        <is>
          <t>Sugarcane bagasse</t>
        </is>
      </c>
      <c r="B333" s="54" t="n">
        <v>36.5</v>
      </c>
      <c r="C333" s="54" t="n">
        <v>26</v>
      </c>
      <c r="D333" s="54" t="n">
        <v>18.5</v>
      </c>
      <c r="E333" s="54" t="n">
        <v>83.5</v>
      </c>
      <c r="F333" s="54" t="n">
        <v>4.2</v>
      </c>
      <c r="G333" s="54" t="n">
        <v>12.5</v>
      </c>
      <c r="H333" s="54" t="n">
        <v>43.1</v>
      </c>
      <c r="I333" s="54" t="n">
        <v>51.4</v>
      </c>
      <c r="J333" s="54" t="n">
        <v>5.51</v>
      </c>
      <c r="K333" s="54" t="n">
        <v>6</v>
      </c>
      <c r="L333" s="54" t="n">
        <v>5</v>
      </c>
      <c r="M333" s="54" t="n">
        <v>0</v>
      </c>
      <c r="N333" s="54" t="n">
        <v>1</v>
      </c>
      <c r="O333" s="54" t="n">
        <v>4</v>
      </c>
      <c r="P333" s="54" t="n">
        <v>360</v>
      </c>
      <c r="Q333" s="54" t="n">
        <v>4.33333333333333</v>
      </c>
      <c r="R333" s="54" t="n">
        <v>950</v>
      </c>
      <c r="S333" s="54" t="n">
        <v>0</v>
      </c>
      <c r="T333" s="54" t="n">
        <v>5</v>
      </c>
      <c r="U333" s="54" t="n">
        <v>0</v>
      </c>
      <c r="V333" s="54" t="n">
        <v>0</v>
      </c>
      <c r="W333" s="54" t="n">
        <v>0</v>
      </c>
      <c r="X333" s="54" t="n">
        <v>3</v>
      </c>
    </row>
    <row r="334">
      <c r="A334" s="54" t="inlineStr">
        <is>
          <t>Sugarcane bagasse</t>
        </is>
      </c>
      <c r="B334" s="54" t="n">
        <v>36.5</v>
      </c>
      <c r="C334" s="54" t="n">
        <v>26</v>
      </c>
      <c r="D334" s="54" t="n">
        <v>18.5</v>
      </c>
      <c r="E334" s="54" t="n">
        <v>83.5</v>
      </c>
      <c r="F334" s="54" t="n">
        <v>4.2</v>
      </c>
      <c r="G334" s="54" t="n">
        <v>12.5</v>
      </c>
      <c r="H334" s="54" t="n">
        <v>43.1</v>
      </c>
      <c r="I334" s="54" t="n">
        <v>51.4</v>
      </c>
      <c r="J334" s="54" t="n">
        <v>5.51</v>
      </c>
      <c r="K334" s="54" t="n">
        <v>6</v>
      </c>
      <c r="L334" s="54" t="n">
        <v>5</v>
      </c>
      <c r="M334" s="54" t="n">
        <v>0</v>
      </c>
      <c r="N334" s="54" t="n">
        <v>1</v>
      </c>
      <c r="O334" s="54" t="n">
        <v>4</v>
      </c>
      <c r="P334" s="54" t="n">
        <v>360</v>
      </c>
      <c r="Q334" s="54" t="n">
        <v>4.33333333333333</v>
      </c>
      <c r="R334" s="54" t="n">
        <v>1050</v>
      </c>
      <c r="S334" s="54" t="n">
        <v>0</v>
      </c>
      <c r="T334" s="54" t="n">
        <v>5</v>
      </c>
      <c r="U334" s="54" t="n">
        <v>0</v>
      </c>
      <c r="V334" s="54" t="n">
        <v>0</v>
      </c>
      <c r="W334" s="54" t="n">
        <v>0</v>
      </c>
      <c r="X334" s="54" t="n">
        <v>2</v>
      </c>
    </row>
    <row r="335">
      <c r="A335" s="54" t="inlineStr">
        <is>
          <t>Switchgrass</t>
        </is>
      </c>
      <c r="B335" s="54" t="n">
        <v>34.44</v>
      </c>
      <c r="C335" s="54" t="n">
        <v>28.84</v>
      </c>
      <c r="D335" s="54" t="n">
        <v>8.84</v>
      </c>
      <c r="E335" s="54" t="n">
        <v>79.76000000000001</v>
      </c>
      <c r="F335" s="54" t="n">
        <v>2.02</v>
      </c>
      <c r="G335" s="54" t="n">
        <v>18.22</v>
      </c>
      <c r="H335" s="54" t="n">
        <v>48.02</v>
      </c>
      <c r="I335" s="54" t="n">
        <v>44.19</v>
      </c>
      <c r="J335" s="54" t="n">
        <v>6.71</v>
      </c>
      <c r="K335" s="54" t="n">
        <v>4</v>
      </c>
      <c r="L335" s="54" t="n">
        <v>5</v>
      </c>
      <c r="M335" s="54" t="n">
        <v>0</v>
      </c>
      <c r="N335" s="54" t="n">
        <v>1</v>
      </c>
      <c r="O335" s="54" t="n">
        <v>4</v>
      </c>
      <c r="P335" s="54" t="n">
        <v>120</v>
      </c>
      <c r="Q335" s="54" t="n">
        <v>4.03</v>
      </c>
      <c r="R335" s="54" t="n">
        <v>1600</v>
      </c>
      <c r="S335" s="54" t="n">
        <v>0</v>
      </c>
      <c r="T335" s="54" t="n">
        <v>5</v>
      </c>
      <c r="U335" s="54" t="n">
        <v>0</v>
      </c>
      <c r="V335" s="54" t="n">
        <v>0</v>
      </c>
      <c r="W335" s="54" t="n">
        <v>0</v>
      </c>
      <c r="X335" s="54" t="n">
        <v>67.37</v>
      </c>
    </row>
    <row r="336">
      <c r="A336" s="54" t="inlineStr">
        <is>
          <t>Switchgrass</t>
        </is>
      </c>
      <c r="B336" s="54" t="n">
        <v>34.44</v>
      </c>
      <c r="C336" s="54" t="n">
        <v>28.84</v>
      </c>
      <c r="D336" s="54" t="n">
        <v>8.84</v>
      </c>
      <c r="E336" s="54" t="n">
        <v>79.76000000000001</v>
      </c>
      <c r="F336" s="54" t="n">
        <v>2.02</v>
      </c>
      <c r="G336" s="54" t="n">
        <v>18.22</v>
      </c>
      <c r="H336" s="54" t="n">
        <v>48.02</v>
      </c>
      <c r="I336" s="54" t="n">
        <v>44.19</v>
      </c>
      <c r="J336" s="54" t="n">
        <v>6.71</v>
      </c>
      <c r="K336" s="54" t="n">
        <v>4</v>
      </c>
      <c r="L336" s="54" t="n">
        <v>5</v>
      </c>
      <c r="M336" s="54" t="n">
        <v>1</v>
      </c>
      <c r="N336" s="54" t="n">
        <v>0</v>
      </c>
      <c r="O336" s="54" t="n">
        <v>4</v>
      </c>
      <c r="P336" s="54" t="n">
        <v>120</v>
      </c>
      <c r="Q336" s="54" t="n">
        <v>8.789999999999999</v>
      </c>
      <c r="R336" s="54" t="n">
        <v>220</v>
      </c>
      <c r="S336" s="54" t="n">
        <v>1</v>
      </c>
      <c r="T336" s="54" t="n">
        <v>5</v>
      </c>
      <c r="U336" s="54" t="n">
        <v>120</v>
      </c>
      <c r="V336" s="54" t="n">
        <v>0</v>
      </c>
      <c r="W336" s="54" t="n">
        <v>1600</v>
      </c>
      <c r="X336" s="54" t="n">
        <v>19.96</v>
      </c>
    </row>
    <row r="337">
      <c r="A337" s="54" t="inlineStr">
        <is>
          <t>Switchgrass</t>
        </is>
      </c>
      <c r="B337" s="54" t="n">
        <v>34.44</v>
      </c>
      <c r="C337" s="54" t="n">
        <v>28.84</v>
      </c>
      <c r="D337" s="54" t="n">
        <v>8.84</v>
      </c>
      <c r="E337" s="54" t="n">
        <v>79.76000000000001</v>
      </c>
      <c r="F337" s="54" t="n">
        <v>2.02</v>
      </c>
      <c r="G337" s="54" t="n">
        <v>18.22</v>
      </c>
      <c r="H337" s="54" t="n">
        <v>48.02</v>
      </c>
      <c r="I337" s="54" t="n">
        <v>44.19</v>
      </c>
      <c r="J337" s="54" t="n">
        <v>6.71</v>
      </c>
      <c r="K337" s="54" t="n">
        <v>4</v>
      </c>
      <c r="L337" s="54" t="n">
        <v>5</v>
      </c>
      <c r="M337" s="54" t="n">
        <v>1</v>
      </c>
      <c r="N337" s="54" t="n">
        <v>0</v>
      </c>
      <c r="O337" s="54" t="n">
        <v>4</v>
      </c>
      <c r="P337" s="54" t="n">
        <v>120</v>
      </c>
      <c r="Q337" s="54" t="n">
        <v>8.800000000000001</v>
      </c>
      <c r="R337" s="54" t="n">
        <v>190</v>
      </c>
      <c r="S337" s="54" t="n">
        <v>1</v>
      </c>
      <c r="T337" s="54" t="n">
        <v>5</v>
      </c>
      <c r="U337" s="54" t="n">
        <v>120</v>
      </c>
      <c r="V337" s="54" t="n">
        <v>0</v>
      </c>
      <c r="W337" s="54" t="n">
        <v>1600</v>
      </c>
      <c r="X337" s="54" t="n">
        <v>15.95</v>
      </c>
    </row>
    <row r="338">
      <c r="A338" s="54" t="inlineStr">
        <is>
          <t>Switchgrass</t>
        </is>
      </c>
      <c r="B338" s="54" t="n">
        <v>34.44</v>
      </c>
      <c r="C338" s="54" t="n">
        <v>28.84</v>
      </c>
      <c r="D338" s="54" t="n">
        <v>8.84</v>
      </c>
      <c r="E338" s="54" t="n">
        <v>79.76000000000001</v>
      </c>
      <c r="F338" s="54" t="n">
        <v>2.02</v>
      </c>
      <c r="G338" s="54" t="n">
        <v>18.22</v>
      </c>
      <c r="H338" s="54" t="n">
        <v>48.02</v>
      </c>
      <c r="I338" s="54" t="n">
        <v>44.19</v>
      </c>
      <c r="J338" s="54" t="n">
        <v>6.71</v>
      </c>
      <c r="K338" s="54" t="n">
        <v>4</v>
      </c>
      <c r="L338" s="54" t="n">
        <v>5</v>
      </c>
      <c r="M338" s="54" t="n">
        <v>1</v>
      </c>
      <c r="N338" s="54" t="n">
        <v>0</v>
      </c>
      <c r="O338" s="54" t="n">
        <v>4</v>
      </c>
      <c r="P338" s="54" t="n">
        <v>120</v>
      </c>
      <c r="Q338" s="54" t="n">
        <v>8.81</v>
      </c>
      <c r="R338" s="54" t="n">
        <v>160</v>
      </c>
      <c r="S338" s="54" t="n">
        <v>1</v>
      </c>
      <c r="T338" s="54" t="n">
        <v>5</v>
      </c>
      <c r="U338" s="54" t="n">
        <v>120</v>
      </c>
      <c r="V338" s="54" t="n">
        <v>0</v>
      </c>
      <c r="W338" s="54" t="n">
        <v>1600</v>
      </c>
      <c r="X338" s="54" t="n">
        <v>13.3</v>
      </c>
    </row>
    <row r="339">
      <c r="A339" s="54" t="inlineStr">
        <is>
          <t>Swtich grass</t>
        </is>
      </c>
      <c r="B339" s="54" t="n">
        <v>34.44</v>
      </c>
      <c r="C339" s="54" t="n">
        <v>28.84</v>
      </c>
      <c r="D339" s="54" t="n">
        <v>8.84</v>
      </c>
      <c r="E339" s="54" t="n">
        <v>79.76000000000001</v>
      </c>
      <c r="F339" s="54" t="n">
        <v>2.02</v>
      </c>
      <c r="G339" s="54" t="n">
        <v>18.22</v>
      </c>
      <c r="H339" s="54" t="n">
        <v>48.02</v>
      </c>
      <c r="I339" s="54" t="n">
        <v>44.19</v>
      </c>
      <c r="J339" s="54" t="n">
        <v>6.71</v>
      </c>
      <c r="K339" s="54" t="n">
        <v>4</v>
      </c>
      <c r="L339" s="54" t="n">
        <v>5</v>
      </c>
      <c r="M339" s="54" t="n">
        <v>1</v>
      </c>
      <c r="N339" s="54" t="n">
        <v>0</v>
      </c>
      <c r="O339" s="54" t="n">
        <v>4</v>
      </c>
      <c r="P339" s="54" t="n">
        <v>720</v>
      </c>
      <c r="Q339" s="54" t="n">
        <v>4.83</v>
      </c>
      <c r="R339" s="54" t="n">
        <v>160</v>
      </c>
      <c r="S339" s="54" t="n">
        <v>1</v>
      </c>
      <c r="T339" s="54" t="n">
        <v>5</v>
      </c>
      <c r="U339" s="54" t="n">
        <v>120</v>
      </c>
      <c r="V339" s="54" t="n">
        <v>0</v>
      </c>
      <c r="W339" s="54" t="n">
        <v>1600</v>
      </c>
      <c r="X339" s="54" t="n">
        <v>13.28</v>
      </c>
    </row>
    <row r="340">
      <c r="A340" s="54" t="inlineStr">
        <is>
          <t>Tamarind fruits</t>
        </is>
      </c>
      <c r="B340" s="54" t="n">
        <v>20</v>
      </c>
      <c r="C340" s="54" t="n">
        <v>14</v>
      </c>
      <c r="D340" s="54" t="n">
        <v>12</v>
      </c>
      <c r="E340" s="54" t="n">
        <v>68</v>
      </c>
      <c r="F340" s="54" t="n">
        <v>1.79</v>
      </c>
      <c r="G340" s="54" t="n">
        <v>26.08</v>
      </c>
      <c r="H340" s="54" t="n">
        <v>46.62</v>
      </c>
      <c r="I340" s="54" t="n">
        <v>42.88</v>
      </c>
      <c r="J340" s="54" t="n">
        <v>5.67</v>
      </c>
      <c r="K340" s="54" t="n">
        <v>6</v>
      </c>
      <c r="L340" s="54" t="n">
        <v>5</v>
      </c>
      <c r="M340" s="54" t="n">
        <v>0</v>
      </c>
      <c r="N340" s="54" t="n">
        <v>1</v>
      </c>
      <c r="O340" s="54" t="n">
        <v>4</v>
      </c>
      <c r="P340" s="54" t="n">
        <v>206.709375</v>
      </c>
      <c r="Q340" s="54" t="n">
        <v>5</v>
      </c>
      <c r="R340" s="54" t="n">
        <v>800</v>
      </c>
      <c r="S340" s="54" t="n">
        <v>0</v>
      </c>
      <c r="T340" s="54" t="n">
        <v>5</v>
      </c>
      <c r="U340" s="54" t="n">
        <v>0</v>
      </c>
      <c r="V340" s="54" t="n">
        <v>0</v>
      </c>
      <c r="W340" s="54" t="n">
        <v>0</v>
      </c>
      <c r="X340" s="54" t="n">
        <v>49.7</v>
      </c>
    </row>
    <row r="341">
      <c r="A341" s="54" t="inlineStr">
        <is>
          <t>Tamarind fruits</t>
        </is>
      </c>
      <c r="B341" s="54" t="n">
        <v>20</v>
      </c>
      <c r="C341" s="54" t="n">
        <v>14</v>
      </c>
      <c r="D341" s="54" t="n">
        <v>12</v>
      </c>
      <c r="E341" s="54" t="n">
        <v>68</v>
      </c>
      <c r="F341" s="54" t="n">
        <v>1.79</v>
      </c>
      <c r="G341" s="54" t="n">
        <v>26.08</v>
      </c>
      <c r="H341" s="54" t="n">
        <v>46.62</v>
      </c>
      <c r="I341" s="54" t="n">
        <v>42.88</v>
      </c>
      <c r="J341" s="54" t="n">
        <v>5.67</v>
      </c>
      <c r="K341" s="54" t="n">
        <v>6</v>
      </c>
      <c r="L341" s="54" t="n">
        <v>5</v>
      </c>
      <c r="M341" s="54" t="n">
        <v>0</v>
      </c>
      <c r="N341" s="54" t="n">
        <v>1</v>
      </c>
      <c r="O341" s="54" t="n">
        <v>4</v>
      </c>
      <c r="P341" s="54" t="n">
        <v>206.709375</v>
      </c>
      <c r="Q341" s="54" t="n">
        <v>5</v>
      </c>
      <c r="R341" s="54" t="n">
        <v>1000</v>
      </c>
      <c r="S341" s="54" t="n">
        <v>0</v>
      </c>
      <c r="T341" s="54" t="n">
        <v>5</v>
      </c>
      <c r="U341" s="54" t="n">
        <v>0</v>
      </c>
      <c r="V341" s="54" t="n">
        <v>0</v>
      </c>
      <c r="W341" s="54" t="n">
        <v>0</v>
      </c>
      <c r="X341" s="54" t="n">
        <v>42.91</v>
      </c>
    </row>
    <row r="342">
      <c r="A342" s="54" t="inlineStr">
        <is>
          <t>Tamarind fruits</t>
        </is>
      </c>
      <c r="B342" s="54" t="n">
        <v>20</v>
      </c>
      <c r="C342" s="54" t="n">
        <v>14</v>
      </c>
      <c r="D342" s="54" t="n">
        <v>12</v>
      </c>
      <c r="E342" s="54" t="n">
        <v>68</v>
      </c>
      <c r="F342" s="54" t="n">
        <v>1.79</v>
      </c>
      <c r="G342" s="54" t="n">
        <v>26.08</v>
      </c>
      <c r="H342" s="54" t="n">
        <v>46.62</v>
      </c>
      <c r="I342" s="54" t="n">
        <v>42.88</v>
      </c>
      <c r="J342" s="54" t="n">
        <v>5.67</v>
      </c>
      <c r="K342" s="54" t="n">
        <v>6</v>
      </c>
      <c r="L342" s="54" t="n">
        <v>5</v>
      </c>
      <c r="M342" s="54" t="n">
        <v>0</v>
      </c>
      <c r="N342" s="54" t="n">
        <v>1</v>
      </c>
      <c r="O342" s="54" t="n">
        <v>4</v>
      </c>
      <c r="P342" s="54" t="n">
        <v>206.709375</v>
      </c>
      <c r="Q342" s="54" t="n">
        <v>5</v>
      </c>
      <c r="R342" s="54" t="n">
        <v>1100</v>
      </c>
      <c r="S342" s="54" t="n">
        <v>0</v>
      </c>
      <c r="T342" s="54" t="n">
        <v>5</v>
      </c>
      <c r="U342" s="54" t="n">
        <v>0</v>
      </c>
      <c r="V342" s="54" t="n">
        <v>0</v>
      </c>
      <c r="W342" s="54" t="n">
        <v>0</v>
      </c>
      <c r="X342" s="54" t="n">
        <v>29.67</v>
      </c>
    </row>
    <row r="343">
      <c r="A343" s="54" t="inlineStr">
        <is>
          <t>Tamarind fruits</t>
        </is>
      </c>
      <c r="B343" s="54" t="n">
        <v>20</v>
      </c>
      <c r="C343" s="54" t="n">
        <v>14</v>
      </c>
      <c r="D343" s="54" t="n">
        <v>12</v>
      </c>
      <c r="E343" s="54" t="n">
        <v>68</v>
      </c>
      <c r="F343" s="54" t="n">
        <v>1.79</v>
      </c>
      <c r="G343" s="54" t="n">
        <v>26.08</v>
      </c>
      <c r="H343" s="54" t="n">
        <v>46.62</v>
      </c>
      <c r="I343" s="54" t="n">
        <v>42.88</v>
      </c>
      <c r="J343" s="54" t="n">
        <v>5.67</v>
      </c>
      <c r="K343" s="54" t="n">
        <v>6</v>
      </c>
      <c r="L343" s="54" t="n">
        <v>1</v>
      </c>
      <c r="M343" s="54" t="n">
        <v>0</v>
      </c>
      <c r="N343" s="54" t="n">
        <v>1</v>
      </c>
      <c r="O343" s="54" t="n">
        <v>4</v>
      </c>
      <c r="P343" s="54" t="n">
        <v>206.709375</v>
      </c>
      <c r="Q343" s="54" t="n">
        <v>5</v>
      </c>
      <c r="R343" s="54" t="n">
        <v>1200</v>
      </c>
      <c r="S343" s="54" t="n">
        <v>0</v>
      </c>
      <c r="T343" s="54" t="n">
        <v>5</v>
      </c>
      <c r="U343" s="54" t="n">
        <v>0</v>
      </c>
      <c r="V343" s="54" t="n">
        <v>0</v>
      </c>
      <c r="W343" s="54" t="n">
        <v>0</v>
      </c>
      <c r="X343" s="54" t="n">
        <v>12.76</v>
      </c>
    </row>
    <row r="344">
      <c r="A344" s="54" t="inlineStr">
        <is>
          <t>Tamarind fruits</t>
        </is>
      </c>
      <c r="B344" s="54" t="n">
        <v>20</v>
      </c>
      <c r="C344" s="54" t="n">
        <v>14</v>
      </c>
      <c r="D344" s="54" t="n">
        <v>12</v>
      </c>
      <c r="E344" s="54" t="n">
        <v>68</v>
      </c>
      <c r="F344" s="54" t="n">
        <v>1.79</v>
      </c>
      <c r="G344" s="54" t="n">
        <v>26.08</v>
      </c>
      <c r="H344" s="54" t="n">
        <v>46.62</v>
      </c>
      <c r="I344" s="54" t="n">
        <v>42.88</v>
      </c>
      <c r="J344" s="54" t="n">
        <v>5.67</v>
      </c>
      <c r="K344" s="54" t="n">
        <v>6</v>
      </c>
      <c r="L344" s="54" t="n">
        <v>5</v>
      </c>
      <c r="M344" s="54" t="n">
        <v>0</v>
      </c>
      <c r="N344" s="54" t="n">
        <v>1</v>
      </c>
      <c r="O344" s="54" t="n">
        <v>4</v>
      </c>
      <c r="P344" s="54" t="n">
        <v>206.709375</v>
      </c>
      <c r="Q344" s="54" t="n">
        <v>5</v>
      </c>
      <c r="R344" s="54" t="n">
        <v>1300</v>
      </c>
      <c r="S344" s="54" t="n">
        <v>0</v>
      </c>
      <c r="T344" s="54" t="n">
        <v>5</v>
      </c>
      <c r="U344" s="54" t="n">
        <v>0</v>
      </c>
      <c r="V344" s="54" t="n">
        <v>0</v>
      </c>
      <c r="W344" s="54" t="n">
        <v>0</v>
      </c>
      <c r="X344" s="54" t="n">
        <v>11.91</v>
      </c>
    </row>
    <row r="345">
      <c r="A345" s="54" t="inlineStr">
        <is>
          <t>Tamarind fruits</t>
        </is>
      </c>
      <c r="B345" s="54" t="n">
        <v>20</v>
      </c>
      <c r="C345" s="54" t="n">
        <v>14</v>
      </c>
      <c r="D345" s="54" t="n">
        <v>12</v>
      </c>
      <c r="E345" s="54" t="n">
        <v>68</v>
      </c>
      <c r="F345" s="54" t="n">
        <v>1.79</v>
      </c>
      <c r="G345" s="54" t="n">
        <v>26.08</v>
      </c>
      <c r="H345" s="54" t="n">
        <v>46.62</v>
      </c>
      <c r="I345" s="54" t="n">
        <v>42.88</v>
      </c>
      <c r="J345" s="54" t="n">
        <v>5.67</v>
      </c>
      <c r="K345" s="54" t="n">
        <v>6</v>
      </c>
      <c r="L345" s="54" t="n">
        <v>5</v>
      </c>
      <c r="M345" s="54" t="n">
        <v>0</v>
      </c>
      <c r="N345" s="54" t="n">
        <v>1</v>
      </c>
      <c r="O345" s="54" t="n">
        <v>4</v>
      </c>
      <c r="P345" s="54" t="n">
        <v>206.709375</v>
      </c>
      <c r="Q345" s="54" t="n">
        <v>5</v>
      </c>
      <c r="R345" s="54" t="n">
        <v>1200</v>
      </c>
      <c r="S345" s="54" t="n">
        <v>0</v>
      </c>
      <c r="T345" s="54" t="n">
        <v>5</v>
      </c>
      <c r="U345" s="54" t="n">
        <v>0</v>
      </c>
      <c r="V345" s="54" t="n">
        <v>0</v>
      </c>
      <c r="W345" s="54" t="n">
        <v>0</v>
      </c>
      <c r="X345" s="54" t="n">
        <v>11.3</v>
      </c>
    </row>
    <row r="346">
      <c r="A346" s="54" t="inlineStr">
        <is>
          <t>Tea</t>
        </is>
      </c>
      <c r="B346" s="54" t="n">
        <v>31.58</v>
      </c>
      <c r="C346" s="54" t="n">
        <v>21.02</v>
      </c>
      <c r="D346" s="54" t="n">
        <v>27.53</v>
      </c>
      <c r="E346" s="54" t="n">
        <v>84.8</v>
      </c>
      <c r="F346" s="54" t="n">
        <v>1.3</v>
      </c>
      <c r="G346" s="54" t="n">
        <v>13.9</v>
      </c>
      <c r="H346" s="54" t="n">
        <v>53.01</v>
      </c>
      <c r="I346" s="54" t="n">
        <v>36.89</v>
      </c>
      <c r="J346" s="54" t="n">
        <v>5.9</v>
      </c>
      <c r="K346" s="54" t="n">
        <v>1</v>
      </c>
      <c r="L346" s="54" t="n">
        <v>5</v>
      </c>
      <c r="M346" s="54" t="n">
        <v>0</v>
      </c>
      <c r="N346" s="54" t="n">
        <v>1</v>
      </c>
      <c r="O346" s="54" t="n">
        <v>4</v>
      </c>
      <c r="P346" s="54" t="n">
        <v>120</v>
      </c>
      <c r="Q346" s="54" t="n">
        <v>5</v>
      </c>
      <c r="R346" s="54" t="n">
        <v>1000</v>
      </c>
      <c r="S346" s="54" t="n">
        <v>0</v>
      </c>
      <c r="T346" s="54" t="n">
        <v>5</v>
      </c>
      <c r="U346" s="54" t="n">
        <v>0</v>
      </c>
      <c r="V346" s="54" t="n">
        <v>0</v>
      </c>
      <c r="W346" s="54" t="n">
        <v>0</v>
      </c>
      <c r="X346" s="54" t="n">
        <v>56</v>
      </c>
    </row>
    <row r="347">
      <c r="A347" s="54" t="inlineStr">
        <is>
          <t>Tea</t>
        </is>
      </c>
      <c r="B347" s="54" t="n">
        <v>31.58</v>
      </c>
      <c r="C347" s="54" t="n">
        <v>21.02</v>
      </c>
      <c r="D347" s="54" t="n">
        <v>27.53</v>
      </c>
      <c r="E347" s="54" t="n">
        <v>84.8</v>
      </c>
      <c r="F347" s="54" t="n">
        <v>1.3</v>
      </c>
      <c r="G347" s="54" t="n">
        <v>13.9</v>
      </c>
      <c r="H347" s="54" t="n">
        <v>53.01</v>
      </c>
      <c r="I347" s="54" t="n">
        <v>36.89</v>
      </c>
      <c r="J347" s="54" t="n">
        <v>5.9</v>
      </c>
      <c r="K347" s="54" t="n">
        <v>1</v>
      </c>
      <c r="L347" s="54" t="n">
        <v>5</v>
      </c>
      <c r="M347" s="54" t="n">
        <v>0</v>
      </c>
      <c r="N347" s="54" t="n">
        <v>1</v>
      </c>
      <c r="O347" s="54" t="n">
        <v>4</v>
      </c>
      <c r="P347" s="54" t="n">
        <v>120</v>
      </c>
      <c r="Q347" s="54" t="n">
        <v>5</v>
      </c>
      <c r="R347" s="54" t="n">
        <v>1200</v>
      </c>
      <c r="S347" s="54" t="n">
        <v>0</v>
      </c>
      <c r="T347" s="54" t="n">
        <v>5</v>
      </c>
      <c r="U347" s="54" t="n">
        <v>0</v>
      </c>
      <c r="V347" s="54" t="n">
        <v>0</v>
      </c>
      <c r="W347" s="54" t="n">
        <v>0</v>
      </c>
      <c r="X347" s="54" t="n">
        <v>38</v>
      </c>
    </row>
    <row r="348">
      <c r="A348" s="54" t="inlineStr">
        <is>
          <t>Tea</t>
        </is>
      </c>
      <c r="B348" s="54" t="n">
        <v>31.58</v>
      </c>
      <c r="C348" s="54" t="n">
        <v>21.02</v>
      </c>
      <c r="D348" s="54" t="n">
        <v>27.53</v>
      </c>
      <c r="E348" s="54" t="n">
        <v>84.8</v>
      </c>
      <c r="F348" s="54" t="n">
        <v>1.3</v>
      </c>
      <c r="G348" s="54" t="n">
        <v>13.9</v>
      </c>
      <c r="H348" s="54" t="n">
        <v>53.01</v>
      </c>
      <c r="I348" s="54" t="n">
        <v>36.89</v>
      </c>
      <c r="J348" s="54" t="n">
        <v>5.9</v>
      </c>
      <c r="K348" s="54" t="n">
        <v>1</v>
      </c>
      <c r="L348" s="54" t="n">
        <v>5</v>
      </c>
      <c r="M348" s="54" t="n">
        <v>0</v>
      </c>
      <c r="N348" s="54" t="n">
        <v>1</v>
      </c>
      <c r="O348" s="54" t="n">
        <v>4</v>
      </c>
      <c r="P348" s="54" t="n">
        <v>120</v>
      </c>
      <c r="Q348" s="54" t="n">
        <v>5</v>
      </c>
      <c r="R348" s="54" t="n">
        <v>1400</v>
      </c>
      <c r="S348" s="54" t="n">
        <v>0</v>
      </c>
      <c r="T348" s="54" t="n">
        <v>5</v>
      </c>
      <c r="U348" s="54" t="n">
        <v>0</v>
      </c>
      <c r="V348" s="54" t="n">
        <v>0</v>
      </c>
      <c r="W348" s="54" t="n">
        <v>0</v>
      </c>
      <c r="X348" s="54" t="n">
        <v>14</v>
      </c>
    </row>
    <row r="349">
      <c r="A349" s="54" t="inlineStr">
        <is>
          <t>Tea</t>
        </is>
      </c>
      <c r="B349" s="54" t="n">
        <v>31.58</v>
      </c>
      <c r="C349" s="54" t="n">
        <v>21.02</v>
      </c>
      <c r="D349" s="54" t="n">
        <v>27.53</v>
      </c>
      <c r="E349" s="54" t="n">
        <v>84.8</v>
      </c>
      <c r="F349" s="54" t="n">
        <v>1.3</v>
      </c>
      <c r="G349" s="54" t="n">
        <v>13.9</v>
      </c>
      <c r="H349" s="54" t="n">
        <v>53.01</v>
      </c>
      <c r="I349" s="54" t="n">
        <v>36.89</v>
      </c>
      <c r="J349" s="54" t="n">
        <v>5.9</v>
      </c>
      <c r="K349" s="54" t="n">
        <v>1</v>
      </c>
      <c r="L349" s="54" t="n">
        <v>5</v>
      </c>
      <c r="M349" s="54" t="n">
        <v>0</v>
      </c>
      <c r="N349" s="54" t="n">
        <v>1</v>
      </c>
      <c r="O349" s="54" t="n">
        <v>4</v>
      </c>
      <c r="P349" s="54" t="n">
        <v>120</v>
      </c>
      <c r="Q349" s="54" t="n">
        <v>5</v>
      </c>
      <c r="R349" s="54" t="n">
        <v>1600</v>
      </c>
      <c r="S349" s="54" t="n">
        <v>0</v>
      </c>
      <c r="T349" s="54" t="n">
        <v>5</v>
      </c>
      <c r="U349" s="54" t="n">
        <v>0</v>
      </c>
      <c r="V349" s="54" t="n">
        <v>0</v>
      </c>
      <c r="W349" s="54" t="n">
        <v>0</v>
      </c>
      <c r="X349" s="54" t="n">
        <v>4</v>
      </c>
    </row>
    <row r="350">
      <c r="A350" s="54" t="inlineStr">
        <is>
          <t>Typha</t>
        </is>
      </c>
      <c r="B350" s="54" t="n">
        <v>34.5</v>
      </c>
      <c r="C350" s="54" t="n">
        <v>28</v>
      </c>
      <c r="D350" s="54" t="n">
        <v>8</v>
      </c>
      <c r="E350" s="54" t="n">
        <v>80.05</v>
      </c>
      <c r="F350" s="54" t="n">
        <v>3.81</v>
      </c>
      <c r="G350" s="54" t="n">
        <v>2.18</v>
      </c>
      <c r="H350" s="54" t="n">
        <v>52.89</v>
      </c>
      <c r="I350" s="54" t="n">
        <v>40.04</v>
      </c>
      <c r="J350" s="54" t="n">
        <v>5.84</v>
      </c>
      <c r="K350" s="54" t="n">
        <v>6</v>
      </c>
      <c r="L350" s="54" t="n">
        <v>1</v>
      </c>
      <c r="M350" s="54" t="n">
        <v>0</v>
      </c>
      <c r="N350" s="54" t="n">
        <v>1</v>
      </c>
      <c r="O350" s="54" t="n">
        <v>0</v>
      </c>
      <c r="P350" s="54" t="n">
        <v>206.709375</v>
      </c>
      <c r="Q350" s="54" t="n">
        <v>4.56</v>
      </c>
      <c r="R350" s="54" t="n">
        <v>500</v>
      </c>
      <c r="S350" s="54" t="n">
        <v>0</v>
      </c>
      <c r="T350" s="54" t="n">
        <v>5</v>
      </c>
      <c r="U350" s="54" t="n">
        <v>0</v>
      </c>
      <c r="V350" s="54" t="n">
        <v>0</v>
      </c>
      <c r="W350" s="54" t="n">
        <v>0</v>
      </c>
      <c r="X350" s="54" t="n">
        <v>559.7</v>
      </c>
    </row>
    <row r="351">
      <c r="A351" s="54" t="inlineStr">
        <is>
          <t>Vine Shoots</t>
        </is>
      </c>
      <c r="B351" s="54" t="n">
        <v>31.9</v>
      </c>
      <c r="C351" s="54" t="n">
        <v>23.2</v>
      </c>
      <c r="D351" s="54" t="n">
        <v>38.5</v>
      </c>
      <c r="E351" s="54" t="n">
        <v>71.40000000000001</v>
      </c>
      <c r="F351" s="54" t="n">
        <v>3.7</v>
      </c>
      <c r="G351" s="54" t="n">
        <v>14.6</v>
      </c>
      <c r="H351" s="54" t="n">
        <v>41.8</v>
      </c>
      <c r="I351" s="54" t="n">
        <v>51.6</v>
      </c>
      <c r="J351" s="54" t="n">
        <v>5.87</v>
      </c>
      <c r="K351" s="54" t="n">
        <v>4</v>
      </c>
      <c r="L351" s="54" t="n">
        <v>1</v>
      </c>
      <c r="M351" s="54" t="n">
        <v>1</v>
      </c>
      <c r="N351" s="54" t="n">
        <v>0</v>
      </c>
      <c r="O351" s="54" t="n">
        <v>4</v>
      </c>
      <c r="P351" s="54" t="n">
        <v>720</v>
      </c>
      <c r="Q351" s="54" t="n">
        <v>5</v>
      </c>
      <c r="R351" s="54" t="n">
        <v>180</v>
      </c>
      <c r="S351" s="54" t="n">
        <v>1</v>
      </c>
      <c r="T351" s="54" t="n">
        <v>5</v>
      </c>
      <c r="U351" s="54" t="n">
        <v>120</v>
      </c>
      <c r="V351" s="54" t="n">
        <v>5</v>
      </c>
      <c r="W351" s="54" t="n">
        <v>1000</v>
      </c>
      <c r="X351" s="54" t="n">
        <v>125</v>
      </c>
    </row>
    <row r="352">
      <c r="A352" s="54" t="inlineStr">
        <is>
          <t>Vine Shoots</t>
        </is>
      </c>
      <c r="B352" s="54" t="n">
        <v>31.9</v>
      </c>
      <c r="C352" s="54" t="n">
        <v>23.2</v>
      </c>
      <c r="D352" s="54" t="n">
        <v>38.5</v>
      </c>
      <c r="E352" s="54" t="n">
        <v>71.40000000000001</v>
      </c>
      <c r="F352" s="54" t="n">
        <v>3.7</v>
      </c>
      <c r="G352" s="54" t="n">
        <v>14.6</v>
      </c>
      <c r="H352" s="54" t="n">
        <v>41.8</v>
      </c>
      <c r="I352" s="54" t="n">
        <v>51.6</v>
      </c>
      <c r="J352" s="54" t="n">
        <v>5.87</v>
      </c>
      <c r="K352" s="54" t="n">
        <v>4</v>
      </c>
      <c r="L352" s="54" t="n">
        <v>1</v>
      </c>
      <c r="M352" s="54" t="n">
        <v>1</v>
      </c>
      <c r="N352" s="54" t="n">
        <v>0</v>
      </c>
      <c r="O352" s="54" t="n">
        <v>4</v>
      </c>
      <c r="P352" s="54" t="n">
        <v>720</v>
      </c>
      <c r="Q352" s="54" t="n">
        <v>5</v>
      </c>
      <c r="R352" s="54" t="n">
        <v>180</v>
      </c>
      <c r="S352" s="54" t="n">
        <v>1</v>
      </c>
      <c r="T352" s="54" t="n">
        <v>5</v>
      </c>
      <c r="U352" s="54" t="n">
        <v>120</v>
      </c>
      <c r="V352" s="54" t="n">
        <v>5</v>
      </c>
      <c r="W352" s="54" t="n">
        <v>800</v>
      </c>
      <c r="X352" s="54" t="n">
        <v>82</v>
      </c>
    </row>
    <row r="353">
      <c r="A353" s="54" t="inlineStr">
        <is>
          <t>Vine Shoots</t>
        </is>
      </c>
      <c r="B353" s="54" t="n">
        <v>31.9</v>
      </c>
      <c r="C353" s="54" t="n">
        <v>23.2</v>
      </c>
      <c r="D353" s="54" t="n">
        <v>38.5</v>
      </c>
      <c r="E353" s="54" t="n">
        <v>71.40000000000001</v>
      </c>
      <c r="F353" s="54" t="n">
        <v>3.7</v>
      </c>
      <c r="G353" s="54" t="n">
        <v>14.6</v>
      </c>
      <c r="H353" s="54" t="n">
        <v>41.8</v>
      </c>
      <c r="I353" s="54" t="n">
        <v>51.6</v>
      </c>
      <c r="J353" s="54" t="n">
        <v>5.87</v>
      </c>
      <c r="K353" s="54" t="n">
        <v>4</v>
      </c>
      <c r="L353" s="54" t="n">
        <v>1</v>
      </c>
      <c r="M353" s="54" t="n">
        <v>1</v>
      </c>
      <c r="N353" s="54" t="n">
        <v>0</v>
      </c>
      <c r="O353" s="54" t="n">
        <v>4</v>
      </c>
      <c r="P353" s="54" t="n">
        <v>720</v>
      </c>
      <c r="Q353" s="54" t="n">
        <v>5</v>
      </c>
      <c r="R353" s="54" t="n">
        <v>180</v>
      </c>
      <c r="S353" s="54" t="n">
        <v>1</v>
      </c>
      <c r="T353" s="54" t="n">
        <v>5</v>
      </c>
      <c r="U353" s="54" t="n">
        <v>120</v>
      </c>
      <c r="V353" s="54" t="n">
        <v>5</v>
      </c>
      <c r="W353" s="54" t="n">
        <v>1000</v>
      </c>
      <c r="X353" s="54" t="n">
        <v>17</v>
      </c>
    </row>
    <row r="354">
      <c r="A354" s="54" t="inlineStr">
        <is>
          <t>Vine Shoots</t>
        </is>
      </c>
      <c r="B354" s="54" t="n">
        <v>31.9</v>
      </c>
      <c r="C354" s="54" t="n">
        <v>23.2</v>
      </c>
      <c r="D354" s="54" t="n">
        <v>38.5</v>
      </c>
      <c r="E354" s="54" t="n">
        <v>71.40000000000001</v>
      </c>
      <c r="F354" s="54" t="n">
        <v>3.7</v>
      </c>
      <c r="G354" s="54" t="n">
        <v>14.6</v>
      </c>
      <c r="H354" s="54" t="n">
        <v>41.8</v>
      </c>
      <c r="I354" s="54" t="n">
        <v>51.6</v>
      </c>
      <c r="J354" s="54" t="n">
        <v>5.87</v>
      </c>
      <c r="K354" s="54" t="n">
        <v>4</v>
      </c>
      <c r="L354" s="54" t="n">
        <v>1</v>
      </c>
      <c r="M354" s="54" t="n">
        <v>1</v>
      </c>
      <c r="N354" s="54" t="n">
        <v>0</v>
      </c>
      <c r="O354" s="54" t="n">
        <v>4</v>
      </c>
      <c r="P354" s="54" t="n">
        <v>720</v>
      </c>
      <c r="Q354" s="54" t="n">
        <v>5</v>
      </c>
      <c r="R354" s="54" t="n">
        <v>180</v>
      </c>
      <c r="S354" s="54" t="n">
        <v>1</v>
      </c>
      <c r="T354" s="54" t="n">
        <v>5</v>
      </c>
      <c r="U354" s="54" t="n">
        <v>120</v>
      </c>
      <c r="V354" s="54" t="n">
        <v>5</v>
      </c>
      <c r="W354" s="54" t="n">
        <v>1200</v>
      </c>
      <c r="X354" s="54" t="n">
        <v>17</v>
      </c>
    </row>
    <row r="355">
      <c r="A355" s="54" t="inlineStr">
        <is>
          <t>Walnut shell</t>
        </is>
      </c>
      <c r="B355" s="54" t="n">
        <v>42.36</v>
      </c>
      <c r="C355" s="54" t="n">
        <v>10.26</v>
      </c>
      <c r="D355" s="54" t="n">
        <v>27.19</v>
      </c>
      <c r="E355" s="54" t="n">
        <v>71.52</v>
      </c>
      <c r="F355" s="54" t="n">
        <v>1.65</v>
      </c>
      <c r="G355" s="54" t="n">
        <v>19.33</v>
      </c>
      <c r="H355" s="54" t="n">
        <v>46.65</v>
      </c>
      <c r="I355" s="54" t="n">
        <v>47.54</v>
      </c>
      <c r="J355" s="54" t="n">
        <v>5.8</v>
      </c>
      <c r="K355" s="54" t="n">
        <v>4</v>
      </c>
      <c r="L355" s="54" t="n">
        <v>2</v>
      </c>
      <c r="M355" s="54" t="n">
        <v>0</v>
      </c>
      <c r="N355" s="54" t="n">
        <v>1</v>
      </c>
      <c r="O355" s="54" t="n">
        <v>4</v>
      </c>
      <c r="P355" s="54" t="n">
        <v>300</v>
      </c>
      <c r="Q355" s="54" t="n">
        <v>5</v>
      </c>
      <c r="R355" s="54" t="n">
        <v>1000</v>
      </c>
      <c r="S355" s="54" t="n">
        <v>0</v>
      </c>
      <c r="T355" s="54" t="n">
        <v>5</v>
      </c>
      <c r="U355" s="54" t="n">
        <v>0</v>
      </c>
      <c r="V355" s="54" t="n">
        <v>0</v>
      </c>
      <c r="W355" s="54" t="n">
        <v>0</v>
      </c>
      <c r="X355" s="54" t="n">
        <v>1386</v>
      </c>
    </row>
    <row r="356">
      <c r="A356" s="54" t="inlineStr">
        <is>
          <t>Walnut shell</t>
        </is>
      </c>
      <c r="B356" s="54" t="n">
        <v>42.36</v>
      </c>
      <c r="C356" s="54" t="n">
        <v>10.26</v>
      </c>
      <c r="D356" s="54" t="n">
        <v>27.19</v>
      </c>
      <c r="E356" s="54" t="n">
        <v>71.52</v>
      </c>
      <c r="F356" s="54" t="n">
        <v>1.65</v>
      </c>
      <c r="G356" s="54" t="n">
        <v>19.33</v>
      </c>
      <c r="H356" s="54" t="n">
        <v>46.65</v>
      </c>
      <c r="I356" s="54" t="n">
        <v>47.54</v>
      </c>
      <c r="J356" s="54" t="n">
        <v>5.8</v>
      </c>
      <c r="K356" s="54" t="n">
        <v>4</v>
      </c>
      <c r="L356" s="54" t="n">
        <v>2</v>
      </c>
      <c r="M356" s="54" t="n">
        <v>0</v>
      </c>
      <c r="N356" s="54" t="n">
        <v>1</v>
      </c>
      <c r="O356" s="54" t="n">
        <v>4</v>
      </c>
      <c r="P356" s="54" t="n">
        <v>300</v>
      </c>
      <c r="Q356" s="54" t="n">
        <v>5</v>
      </c>
      <c r="R356" s="54" t="n">
        <v>1200</v>
      </c>
      <c r="S356" s="54" t="n">
        <v>0</v>
      </c>
      <c r="T356" s="54" t="n">
        <v>5</v>
      </c>
      <c r="U356" s="54" t="n">
        <v>0</v>
      </c>
      <c r="V356" s="54" t="n">
        <v>0</v>
      </c>
      <c r="W356" s="54" t="n">
        <v>0</v>
      </c>
      <c r="X356" s="54" t="n">
        <v>1103</v>
      </c>
    </row>
    <row r="357">
      <c r="A357" s="54" t="inlineStr">
        <is>
          <t>Walnut shell</t>
        </is>
      </c>
      <c r="B357" s="54" t="n">
        <v>42.36</v>
      </c>
      <c r="C357" s="54" t="n">
        <v>10.26</v>
      </c>
      <c r="D357" s="54" t="n">
        <v>27.19</v>
      </c>
      <c r="E357" s="54" t="n">
        <v>71.52</v>
      </c>
      <c r="F357" s="54" t="n">
        <v>1.65</v>
      </c>
      <c r="G357" s="54" t="n">
        <v>19.33</v>
      </c>
      <c r="H357" s="54" t="n">
        <v>46.65</v>
      </c>
      <c r="I357" s="54" t="n">
        <v>47.54</v>
      </c>
      <c r="J357" s="54" t="n">
        <v>5.8</v>
      </c>
      <c r="K357" s="54" t="n">
        <v>4</v>
      </c>
      <c r="L357" s="54" t="n">
        <v>2</v>
      </c>
      <c r="M357" s="54" t="n">
        <v>0</v>
      </c>
      <c r="N357" s="54" t="n">
        <v>1</v>
      </c>
      <c r="O357" s="54" t="n">
        <v>4</v>
      </c>
      <c r="P357" s="54" t="n">
        <v>300</v>
      </c>
      <c r="Q357" s="54" t="n">
        <v>5</v>
      </c>
      <c r="R357" s="54" t="n">
        <v>800</v>
      </c>
      <c r="S357" s="54" t="n">
        <v>0</v>
      </c>
      <c r="T357" s="54" t="n">
        <v>5</v>
      </c>
      <c r="U357" s="54" t="n">
        <v>0</v>
      </c>
      <c r="V357" s="54" t="n">
        <v>0</v>
      </c>
      <c r="W357" s="54" t="n">
        <v>0</v>
      </c>
      <c r="X357" s="54" t="n">
        <v>473</v>
      </c>
    </row>
    <row r="358">
      <c r="A358" s="54" t="inlineStr">
        <is>
          <t>Walnut shell</t>
        </is>
      </c>
      <c r="B358" s="54" t="n">
        <v>42.36</v>
      </c>
      <c r="C358" s="54" t="n">
        <v>10.26</v>
      </c>
      <c r="D358" s="54" t="n">
        <v>27.19</v>
      </c>
      <c r="E358" s="54" t="n">
        <v>71.52</v>
      </c>
      <c r="F358" s="54" t="n">
        <v>1.65</v>
      </c>
      <c r="G358" s="54" t="n">
        <v>19.33</v>
      </c>
      <c r="H358" s="54" t="n">
        <v>46.65</v>
      </c>
      <c r="I358" s="54" t="n">
        <v>47.54</v>
      </c>
      <c r="J358" s="54" t="n">
        <v>5.8</v>
      </c>
      <c r="K358" s="54" t="n">
        <v>4</v>
      </c>
      <c r="L358" s="54" t="n">
        <v>2</v>
      </c>
      <c r="M358" s="54" t="n">
        <v>0</v>
      </c>
      <c r="N358" s="54" t="n">
        <v>1</v>
      </c>
      <c r="O358" s="54" t="n">
        <v>4</v>
      </c>
      <c r="P358" s="54" t="n">
        <v>300</v>
      </c>
      <c r="Q358" s="54" t="n">
        <v>5</v>
      </c>
      <c r="R358" s="54" t="n">
        <v>600</v>
      </c>
      <c r="S358" s="54" t="n">
        <v>0</v>
      </c>
      <c r="T358" s="54" t="n">
        <v>5</v>
      </c>
      <c r="U358" s="54" t="n">
        <v>0</v>
      </c>
      <c r="V358" s="54" t="n">
        <v>0</v>
      </c>
      <c r="W358" s="54" t="n">
        <v>0</v>
      </c>
      <c r="X358" s="54" t="n">
        <v>284</v>
      </c>
    </row>
    <row r="359">
      <c r="A359" s="54" t="inlineStr">
        <is>
          <t>Walnut shell</t>
        </is>
      </c>
      <c r="B359" s="54" t="n">
        <v>42.36</v>
      </c>
      <c r="C359" s="54" t="n">
        <v>10.26</v>
      </c>
      <c r="D359" s="54" t="n">
        <v>27.19</v>
      </c>
      <c r="E359" s="54" t="n">
        <v>71.52</v>
      </c>
      <c r="F359" s="54" t="n">
        <v>1.65</v>
      </c>
      <c r="G359" s="54" t="n">
        <v>19.33</v>
      </c>
      <c r="H359" s="54" t="n">
        <v>46.65</v>
      </c>
      <c r="I359" s="54" t="n">
        <v>47.54</v>
      </c>
      <c r="J359" s="54" t="n">
        <v>5.8</v>
      </c>
      <c r="K359" s="54" t="n">
        <v>5</v>
      </c>
      <c r="L359" s="54" t="n">
        <v>5</v>
      </c>
      <c r="M359" s="54" t="n">
        <v>0</v>
      </c>
      <c r="N359" s="54" t="n">
        <v>1</v>
      </c>
      <c r="O359" s="54" t="n">
        <v>4</v>
      </c>
      <c r="P359" s="54" t="n">
        <v>120</v>
      </c>
      <c r="Q359" s="54" t="n">
        <v>5</v>
      </c>
      <c r="R359" s="54" t="n">
        <v>1300</v>
      </c>
      <c r="S359" s="54" t="n">
        <v>0</v>
      </c>
      <c r="T359" s="54" t="n">
        <v>5</v>
      </c>
      <c r="U359" s="54" t="n">
        <v>0</v>
      </c>
      <c r="V359" s="54" t="n">
        <v>0</v>
      </c>
      <c r="W359" s="54" t="n">
        <v>0</v>
      </c>
      <c r="X359" s="54" t="n">
        <v>154</v>
      </c>
    </row>
    <row r="360">
      <c r="A360" s="54" t="inlineStr">
        <is>
          <t>Walnut shell</t>
        </is>
      </c>
      <c r="B360" s="54" t="n">
        <v>42.36</v>
      </c>
      <c r="C360" s="54" t="n">
        <v>10.26</v>
      </c>
      <c r="D360" s="54" t="n">
        <v>27.19</v>
      </c>
      <c r="E360" s="54" t="n">
        <v>71.52</v>
      </c>
      <c r="F360" s="54" t="n">
        <v>1.65</v>
      </c>
      <c r="G360" s="54" t="n">
        <v>19.33</v>
      </c>
      <c r="H360" s="54" t="n">
        <v>46.65</v>
      </c>
      <c r="I360" s="54" t="n">
        <v>47.54</v>
      </c>
      <c r="J360" s="54" t="n">
        <v>5.8</v>
      </c>
      <c r="K360" s="54" t="n">
        <v>6</v>
      </c>
      <c r="L360" s="54" t="n">
        <v>6</v>
      </c>
      <c r="M360" s="54" t="n">
        <v>0</v>
      </c>
      <c r="N360" s="54" t="n">
        <v>1</v>
      </c>
      <c r="O360" s="54" t="n">
        <v>4</v>
      </c>
      <c r="P360" s="54" t="n">
        <v>360</v>
      </c>
      <c r="Q360" s="54" t="n">
        <v>5</v>
      </c>
      <c r="R360" s="54" t="n">
        <v>1000</v>
      </c>
      <c r="S360" s="54" t="n">
        <v>0</v>
      </c>
      <c r="T360" s="54" t="n">
        <v>5</v>
      </c>
      <c r="U360" s="54" t="n">
        <v>0</v>
      </c>
      <c r="V360" s="54" t="n">
        <v>0</v>
      </c>
      <c r="W360" s="54" t="n">
        <v>0</v>
      </c>
      <c r="X360" s="54" t="n">
        <v>59</v>
      </c>
    </row>
    <row r="361">
      <c r="A361" s="54" t="inlineStr">
        <is>
          <t>Walnut shell</t>
        </is>
      </c>
      <c r="B361" s="54" t="n">
        <v>42.36</v>
      </c>
      <c r="C361" s="54" t="n">
        <v>10.26</v>
      </c>
      <c r="D361" s="54" t="n">
        <v>27.19</v>
      </c>
      <c r="E361" s="54" t="n">
        <v>71.52</v>
      </c>
      <c r="F361" s="54" t="n">
        <v>1.65</v>
      </c>
      <c r="G361" s="54" t="n">
        <v>19.33</v>
      </c>
      <c r="H361" s="54" t="n">
        <v>46.65</v>
      </c>
      <c r="I361" s="54" t="n">
        <v>47.54</v>
      </c>
      <c r="J361" s="54" t="n">
        <v>5.8</v>
      </c>
      <c r="K361" s="54" t="n">
        <v>6</v>
      </c>
      <c r="L361" s="54" t="n">
        <v>6</v>
      </c>
      <c r="M361" s="54" t="n">
        <v>1</v>
      </c>
      <c r="N361" s="54" t="n">
        <v>0</v>
      </c>
      <c r="O361" s="54" t="n">
        <v>1</v>
      </c>
      <c r="P361" s="54" t="n">
        <v>720</v>
      </c>
      <c r="Q361" s="54" t="n">
        <v>5</v>
      </c>
      <c r="R361" s="54" t="n">
        <v>180</v>
      </c>
      <c r="S361" s="54" t="n">
        <v>1</v>
      </c>
      <c r="T361" s="54" t="n">
        <v>5</v>
      </c>
      <c r="U361" s="54" t="n">
        <v>0</v>
      </c>
      <c r="V361" s="54" t="n">
        <v>0</v>
      </c>
      <c r="W361" s="54" t="n">
        <v>1100</v>
      </c>
      <c r="X361" s="54" t="n">
        <v>9.4</v>
      </c>
    </row>
    <row r="362">
      <c r="A362" s="54" t="inlineStr">
        <is>
          <t>Walnut shell</t>
        </is>
      </c>
      <c r="B362" s="54" t="n">
        <v>42.36</v>
      </c>
      <c r="C362" s="54" t="n">
        <v>10.26</v>
      </c>
      <c r="D362" s="54" t="n">
        <v>27.19</v>
      </c>
      <c r="E362" s="54" t="n">
        <v>71.52</v>
      </c>
      <c r="F362" s="54" t="n">
        <v>1.65</v>
      </c>
      <c r="G362" s="54" t="n">
        <v>19.33</v>
      </c>
      <c r="H362" s="54" t="n">
        <v>46.65</v>
      </c>
      <c r="I362" s="54" t="n">
        <v>47.54</v>
      </c>
      <c r="J362" s="54" t="n">
        <v>5.8</v>
      </c>
      <c r="K362" s="54" t="n">
        <v>4</v>
      </c>
      <c r="L362" s="54" t="n">
        <v>3</v>
      </c>
      <c r="M362" s="54" t="n">
        <v>0</v>
      </c>
      <c r="N362" s="54" t="n">
        <v>1</v>
      </c>
      <c r="O362" s="54" t="n">
        <v>4</v>
      </c>
      <c r="P362" s="54" t="n">
        <v>330</v>
      </c>
      <c r="Q362" s="54" t="n">
        <v>5</v>
      </c>
      <c r="R362" s="54" t="n">
        <v>1300</v>
      </c>
      <c r="S362" s="54" t="n">
        <v>0</v>
      </c>
      <c r="T362" s="54" t="n">
        <v>5</v>
      </c>
      <c r="U362" s="54" t="n">
        <v>0</v>
      </c>
      <c r="V362" s="54" t="n">
        <v>0</v>
      </c>
      <c r="W362" s="54" t="n">
        <v>0</v>
      </c>
      <c r="X362" s="54" t="n">
        <v>7</v>
      </c>
    </row>
    <row r="363">
      <c r="A363" s="54" t="inlineStr">
        <is>
          <t>Walnut shells</t>
        </is>
      </c>
      <c r="B363" s="54" t="n">
        <v>42.36</v>
      </c>
      <c r="C363" s="54" t="n">
        <v>10.26</v>
      </c>
      <c r="D363" s="54" t="n">
        <v>27.19</v>
      </c>
      <c r="E363" s="54" t="n">
        <v>71.52</v>
      </c>
      <c r="F363" s="54" t="n">
        <v>1.65</v>
      </c>
      <c r="G363" s="54" t="n">
        <v>19.33</v>
      </c>
      <c r="H363" s="54" t="n">
        <v>46.65</v>
      </c>
      <c r="I363" s="54" t="n">
        <v>47.54</v>
      </c>
      <c r="J363" s="54" t="n">
        <v>5.8</v>
      </c>
      <c r="K363" s="54" t="n">
        <v>4</v>
      </c>
      <c r="L363" s="54" t="n">
        <v>1</v>
      </c>
      <c r="M363" s="54" t="n">
        <v>0</v>
      </c>
      <c r="N363" s="54" t="n">
        <v>1</v>
      </c>
      <c r="O363" s="54" t="n">
        <v>4</v>
      </c>
      <c r="P363" s="54" t="n">
        <v>60</v>
      </c>
      <c r="Q363" s="54" t="n">
        <v>5</v>
      </c>
      <c r="R363" s="54" t="n">
        <v>1300</v>
      </c>
      <c r="S363" s="54" t="n">
        <v>0</v>
      </c>
      <c r="T363" s="54" t="n">
        <v>5</v>
      </c>
      <c r="U363" s="54" t="n">
        <v>0</v>
      </c>
      <c r="V363" s="54" t="n">
        <v>0</v>
      </c>
      <c r="W363" s="54" t="n">
        <v>0</v>
      </c>
      <c r="X363" s="54" t="n">
        <v>6</v>
      </c>
    </row>
    <row r="364">
      <c r="A364" s="54" t="inlineStr">
        <is>
          <t>Waste bagasse</t>
        </is>
      </c>
      <c r="B364" s="54" t="n">
        <v>36.5</v>
      </c>
      <c r="C364" s="54" t="n">
        <v>26</v>
      </c>
      <c r="D364" s="54" t="n">
        <v>18.5</v>
      </c>
      <c r="E364" s="54" t="n">
        <v>83.5</v>
      </c>
      <c r="F364" s="54" t="n">
        <v>4.2</v>
      </c>
      <c r="G364" s="54" t="n">
        <v>12.5</v>
      </c>
      <c r="H364" s="54" t="n">
        <v>43.1</v>
      </c>
      <c r="I364" s="54" t="n">
        <v>51.4</v>
      </c>
      <c r="J364" s="54" t="n">
        <v>5.51</v>
      </c>
      <c r="K364" s="54" t="n">
        <v>6</v>
      </c>
      <c r="L364" s="54" t="n">
        <v>6</v>
      </c>
      <c r="M364" s="54" t="n">
        <v>0</v>
      </c>
      <c r="N364" s="54" t="n">
        <v>1</v>
      </c>
      <c r="O364" s="54" t="n">
        <v>4</v>
      </c>
      <c r="P364" s="54" t="n">
        <v>120</v>
      </c>
      <c r="Q364" s="54" t="n">
        <v>5</v>
      </c>
      <c r="R364" s="54" t="n">
        <v>900</v>
      </c>
      <c r="S364" s="54" t="n">
        <v>0</v>
      </c>
      <c r="T364" s="54" t="n">
        <v>5</v>
      </c>
      <c r="U364" s="54" t="n">
        <v>0</v>
      </c>
      <c r="V364" s="54" t="n">
        <v>0</v>
      </c>
      <c r="W364" s="54" t="n">
        <v>0</v>
      </c>
      <c r="X364" s="54" t="n">
        <v>378</v>
      </c>
    </row>
    <row r="365">
      <c r="A365" s="54" t="inlineStr">
        <is>
          <t>Waste bagasse</t>
        </is>
      </c>
      <c r="B365" s="54" t="n">
        <v>36.5</v>
      </c>
      <c r="C365" s="54" t="n">
        <v>26</v>
      </c>
      <c r="D365" s="54" t="n">
        <v>18.5</v>
      </c>
      <c r="E365" s="54" t="n">
        <v>83.5</v>
      </c>
      <c r="F365" s="54" t="n">
        <v>4.2</v>
      </c>
      <c r="G365" s="54" t="n">
        <v>12.5</v>
      </c>
      <c r="H365" s="54" t="n">
        <v>43.1</v>
      </c>
      <c r="I365" s="54" t="n">
        <v>51.4</v>
      </c>
      <c r="J365" s="54" t="n">
        <v>5.51</v>
      </c>
      <c r="K365" s="54" t="n">
        <v>6</v>
      </c>
      <c r="L365" s="54" t="n">
        <v>6</v>
      </c>
      <c r="M365" s="54" t="n">
        <v>0</v>
      </c>
      <c r="N365" s="54" t="n">
        <v>1</v>
      </c>
      <c r="O365" s="54" t="n">
        <v>4</v>
      </c>
      <c r="P365" s="54" t="n">
        <v>120</v>
      </c>
      <c r="Q365" s="54" t="n">
        <v>5</v>
      </c>
      <c r="R365" s="54" t="n">
        <v>1000</v>
      </c>
      <c r="S365" s="54" t="n">
        <v>0</v>
      </c>
      <c r="T365" s="54" t="n">
        <v>5</v>
      </c>
      <c r="U365" s="54" t="n">
        <v>0</v>
      </c>
      <c r="V365" s="54" t="n">
        <v>0</v>
      </c>
      <c r="W365" s="54" t="n">
        <v>0</v>
      </c>
      <c r="X365" s="54" t="n">
        <v>92.3</v>
      </c>
    </row>
    <row r="366">
      <c r="A366" s="54" t="inlineStr">
        <is>
          <t>Waste bagasse</t>
        </is>
      </c>
      <c r="B366" s="54" t="n">
        <v>36.5</v>
      </c>
      <c r="C366" s="54" t="n">
        <v>26</v>
      </c>
      <c r="D366" s="54" t="n">
        <v>18.5</v>
      </c>
      <c r="E366" s="54" t="n">
        <v>83.5</v>
      </c>
      <c r="F366" s="54" t="n">
        <v>4.2</v>
      </c>
      <c r="G366" s="54" t="n">
        <v>12.5</v>
      </c>
      <c r="H366" s="54" t="n">
        <v>43.1</v>
      </c>
      <c r="I366" s="54" t="n">
        <v>51.4</v>
      </c>
      <c r="J366" s="54" t="n">
        <v>5.51</v>
      </c>
      <c r="K366" s="54" t="n">
        <v>6</v>
      </c>
      <c r="L366" s="54" t="n">
        <v>6</v>
      </c>
      <c r="M366" s="54" t="n">
        <v>0</v>
      </c>
      <c r="N366" s="54" t="n">
        <v>1</v>
      </c>
      <c r="O366" s="54" t="n">
        <v>4</v>
      </c>
      <c r="P366" s="54" t="n">
        <v>120</v>
      </c>
      <c r="Q366" s="54" t="n">
        <v>5</v>
      </c>
      <c r="R366" s="54" t="n">
        <v>1100</v>
      </c>
      <c r="S366" s="54" t="n">
        <v>0</v>
      </c>
      <c r="T366" s="54" t="n">
        <v>5</v>
      </c>
      <c r="U366" s="54" t="n">
        <v>0</v>
      </c>
      <c r="V366" s="54" t="n">
        <v>0</v>
      </c>
      <c r="W366" s="54" t="n">
        <v>0</v>
      </c>
      <c r="X366" s="54" t="n">
        <v>20.3</v>
      </c>
    </row>
    <row r="367">
      <c r="A367" s="54" t="inlineStr">
        <is>
          <t>Waste coffee</t>
        </is>
      </c>
      <c r="B367" s="54" t="n">
        <v>12.4</v>
      </c>
      <c r="C367" s="54" t="n">
        <v>39.1</v>
      </c>
      <c r="D367" s="54" t="n">
        <v>23.9</v>
      </c>
      <c r="E367" s="54" t="n">
        <v>78.3</v>
      </c>
      <c r="F367" s="54" t="n">
        <v>13.6</v>
      </c>
      <c r="G367" s="54" t="n">
        <v>8.119999999999999</v>
      </c>
      <c r="H367" s="54" t="n">
        <v>54.5</v>
      </c>
      <c r="I367" s="54" t="n">
        <v>7.3</v>
      </c>
      <c r="J367" s="54" t="n">
        <v>34.1</v>
      </c>
      <c r="K367" s="54" t="n">
        <v>6</v>
      </c>
      <c r="L367" s="54" t="n">
        <v>5</v>
      </c>
      <c r="M367" s="54" t="n">
        <v>0</v>
      </c>
      <c r="N367" s="54" t="n">
        <v>1</v>
      </c>
      <c r="O367" s="54" t="n">
        <v>4</v>
      </c>
      <c r="P367" s="54" t="n">
        <v>206.709375</v>
      </c>
      <c r="Q367" s="54" t="n">
        <v>5</v>
      </c>
      <c r="R367" s="54" t="n">
        <v>1600</v>
      </c>
      <c r="S367" s="54" t="n">
        <v>0</v>
      </c>
      <c r="T367" s="54" t="n">
        <v>5</v>
      </c>
      <c r="U367" s="54" t="n">
        <v>0</v>
      </c>
      <c r="V367" s="54" t="n">
        <v>0</v>
      </c>
      <c r="W367" s="54" t="n">
        <v>0</v>
      </c>
      <c r="X367" s="54" t="n">
        <v>3.2</v>
      </c>
    </row>
    <row r="368">
      <c r="A368" s="54" t="inlineStr">
        <is>
          <t>Waste coffee</t>
        </is>
      </c>
      <c r="B368" s="54" t="n">
        <v>12.4</v>
      </c>
      <c r="C368" s="54" t="n">
        <v>39.1</v>
      </c>
      <c r="D368" s="54" t="n">
        <v>23.9</v>
      </c>
      <c r="E368" s="54" t="n">
        <v>78.3</v>
      </c>
      <c r="F368" s="54" t="n">
        <v>13.6</v>
      </c>
      <c r="G368" s="54" t="n">
        <v>8.119999999999999</v>
      </c>
      <c r="H368" s="54" t="n">
        <v>54.5</v>
      </c>
      <c r="I368" s="54" t="n">
        <v>7.3</v>
      </c>
      <c r="J368" s="54" t="n">
        <v>34.1</v>
      </c>
      <c r="K368" s="54" t="n">
        <v>6</v>
      </c>
      <c r="L368" s="54" t="n">
        <v>5</v>
      </c>
      <c r="M368" s="54" t="n">
        <v>0</v>
      </c>
      <c r="N368" s="54" t="n">
        <v>1</v>
      </c>
      <c r="O368" s="54" t="n">
        <v>4</v>
      </c>
      <c r="P368" s="54" t="n">
        <v>206.709375</v>
      </c>
      <c r="Q368" s="54" t="n">
        <v>5</v>
      </c>
      <c r="R368" s="54" t="n">
        <v>2000</v>
      </c>
      <c r="S368" s="54" t="n">
        <v>0</v>
      </c>
      <c r="T368" s="54" t="n">
        <v>5</v>
      </c>
      <c r="U368" s="54" t="n">
        <v>0</v>
      </c>
      <c r="V368" s="54" t="n">
        <v>0</v>
      </c>
      <c r="W368" s="54" t="n">
        <v>0</v>
      </c>
      <c r="X368" s="54" t="n">
        <v>3</v>
      </c>
    </row>
    <row r="369">
      <c r="A369" s="54" t="inlineStr">
        <is>
          <t>Waste coffee</t>
        </is>
      </c>
      <c r="B369" s="54" t="n">
        <v>12.4</v>
      </c>
      <c r="C369" s="54" t="n">
        <v>39.1</v>
      </c>
      <c r="D369" s="54" t="n">
        <v>23.9</v>
      </c>
      <c r="E369" s="54" t="n">
        <v>78.3</v>
      </c>
      <c r="F369" s="54" t="n">
        <v>13.6</v>
      </c>
      <c r="G369" s="54" t="n">
        <v>8.119999999999999</v>
      </c>
      <c r="H369" s="54" t="n">
        <v>54.5</v>
      </c>
      <c r="I369" s="54" t="n">
        <v>7.3</v>
      </c>
      <c r="J369" s="54" t="n">
        <v>34.1</v>
      </c>
      <c r="K369" s="54" t="n">
        <v>6</v>
      </c>
      <c r="L369" s="54" t="n">
        <v>5</v>
      </c>
      <c r="M369" s="54" t="n">
        <v>0</v>
      </c>
      <c r="N369" s="54" t="n">
        <v>1</v>
      </c>
      <c r="O369" s="54" t="n">
        <v>4</v>
      </c>
      <c r="P369" s="54" t="n">
        <v>206.709375</v>
      </c>
      <c r="Q369" s="54" t="n">
        <v>5</v>
      </c>
      <c r="R369" s="54" t="n">
        <v>2400</v>
      </c>
      <c r="S369" s="54" t="n">
        <v>0</v>
      </c>
      <c r="T369" s="54" t="n">
        <v>5</v>
      </c>
      <c r="U369" s="54" t="n">
        <v>0</v>
      </c>
      <c r="V369" s="54" t="n">
        <v>0</v>
      </c>
      <c r="W369" s="54" t="n">
        <v>0</v>
      </c>
      <c r="X369" s="54" t="n">
        <v>2.6</v>
      </c>
    </row>
    <row r="370">
      <c r="A370" s="54" t="inlineStr">
        <is>
          <t>Waste coffee</t>
        </is>
      </c>
      <c r="B370" s="54" t="n">
        <v>12.4</v>
      </c>
      <c r="C370" s="54" t="n">
        <v>39.1</v>
      </c>
      <c r="D370" s="54" t="n">
        <v>23.9</v>
      </c>
      <c r="E370" s="54" t="n">
        <v>78.3</v>
      </c>
      <c r="F370" s="54" t="n">
        <v>13.6</v>
      </c>
      <c r="G370" s="54" t="n">
        <v>8.119999999999999</v>
      </c>
      <c r="H370" s="54" t="n">
        <v>54.5</v>
      </c>
      <c r="I370" s="54" t="n">
        <v>7.3</v>
      </c>
      <c r="J370" s="54" t="n">
        <v>34.1</v>
      </c>
      <c r="K370" s="54" t="n">
        <v>6</v>
      </c>
      <c r="L370" s="54" t="n">
        <v>5</v>
      </c>
      <c r="M370" s="54" t="n">
        <v>0</v>
      </c>
      <c r="N370" s="54" t="n">
        <v>1</v>
      </c>
      <c r="O370" s="54" t="n">
        <v>4</v>
      </c>
      <c r="P370" s="54" t="n">
        <v>206.709375</v>
      </c>
      <c r="Q370" s="54" t="n">
        <v>5</v>
      </c>
      <c r="R370" s="54" t="n">
        <v>2800</v>
      </c>
      <c r="S370" s="54" t="n">
        <v>0</v>
      </c>
      <c r="T370" s="54" t="n">
        <v>5</v>
      </c>
      <c r="U370" s="54" t="n">
        <v>0</v>
      </c>
      <c r="V370" s="54" t="n">
        <v>0</v>
      </c>
      <c r="W370" s="54" t="n">
        <v>0</v>
      </c>
      <c r="X370" s="54" t="n">
        <v>2.2</v>
      </c>
    </row>
    <row r="371">
      <c r="A371" s="54" t="inlineStr">
        <is>
          <t>Water caltrop</t>
        </is>
      </c>
      <c r="B371" s="54" t="n">
        <v>34.55</v>
      </c>
      <c r="C371" s="54" t="n">
        <v>12.78</v>
      </c>
      <c r="D371" s="54" t="n">
        <v>22</v>
      </c>
      <c r="E371" s="54" t="n">
        <v>71</v>
      </c>
      <c r="F371" s="54" t="n">
        <v>6.32</v>
      </c>
      <c r="G371" s="54" t="n">
        <v>13.58</v>
      </c>
      <c r="H371" s="54" t="n">
        <v>40.05</v>
      </c>
      <c r="I371" s="54" t="n">
        <v>45.49</v>
      </c>
      <c r="J371" s="54" t="n">
        <v>6.13</v>
      </c>
      <c r="K371" s="54" t="n">
        <v>5</v>
      </c>
      <c r="L371" s="54" t="n">
        <v>1</v>
      </c>
      <c r="M371" s="54" t="n">
        <v>0</v>
      </c>
      <c r="N371" s="54" t="n">
        <v>1</v>
      </c>
      <c r="O371" s="54" t="n">
        <v>4</v>
      </c>
      <c r="P371" s="54" t="n">
        <v>180</v>
      </c>
      <c r="Q371" s="54" t="n">
        <v>5</v>
      </c>
      <c r="R371" s="54" t="n">
        <v>900</v>
      </c>
      <c r="S371" s="54" t="n">
        <v>0</v>
      </c>
      <c r="T371" s="54" t="n">
        <v>5</v>
      </c>
      <c r="U371" s="54" t="n">
        <v>0</v>
      </c>
      <c r="V371" s="54" t="n">
        <v>0</v>
      </c>
      <c r="W371" s="54" t="n">
        <v>0</v>
      </c>
      <c r="X371" s="54" t="n">
        <v>48.09</v>
      </c>
    </row>
    <row r="372">
      <c r="A372" s="54" t="inlineStr">
        <is>
          <t>Water caltrop</t>
        </is>
      </c>
      <c r="B372" s="54" t="n">
        <v>34.55</v>
      </c>
      <c r="C372" s="54" t="n">
        <v>12.78</v>
      </c>
      <c r="D372" s="54" t="n">
        <v>22</v>
      </c>
      <c r="E372" s="54" t="n">
        <v>71</v>
      </c>
      <c r="F372" s="54" t="n">
        <v>6.32</v>
      </c>
      <c r="G372" s="54" t="n">
        <v>13.58</v>
      </c>
      <c r="H372" s="54" t="n">
        <v>40.05</v>
      </c>
      <c r="I372" s="54" t="n">
        <v>45.49</v>
      </c>
      <c r="J372" s="54" t="n">
        <v>6.13</v>
      </c>
      <c r="K372" s="54" t="n">
        <v>5</v>
      </c>
      <c r="L372" s="54" t="n">
        <v>1</v>
      </c>
      <c r="M372" s="54" t="n">
        <v>0</v>
      </c>
      <c r="N372" s="54" t="n">
        <v>1</v>
      </c>
      <c r="O372" s="54" t="n">
        <v>4</v>
      </c>
      <c r="P372" s="54" t="n">
        <v>180</v>
      </c>
      <c r="Q372" s="54" t="n">
        <v>5</v>
      </c>
      <c r="R372" s="54" t="n">
        <v>1100</v>
      </c>
      <c r="S372" s="54" t="n">
        <v>0</v>
      </c>
      <c r="T372" s="54" t="n">
        <v>5</v>
      </c>
      <c r="U372" s="54" t="n">
        <v>0</v>
      </c>
      <c r="V372" s="54" t="n">
        <v>0</v>
      </c>
      <c r="W372" s="54" t="n">
        <v>0</v>
      </c>
      <c r="X372" s="54" t="n">
        <v>42.68</v>
      </c>
    </row>
    <row r="373">
      <c r="A373" s="54" t="inlineStr">
        <is>
          <t>Water caltrop</t>
        </is>
      </c>
      <c r="B373" s="54" t="n">
        <v>34.55</v>
      </c>
      <c r="C373" s="54" t="n">
        <v>12.78</v>
      </c>
      <c r="D373" s="54" t="n">
        <v>22</v>
      </c>
      <c r="E373" s="54" t="n">
        <v>71</v>
      </c>
      <c r="F373" s="54" t="n">
        <v>6.32</v>
      </c>
      <c r="G373" s="54" t="n">
        <v>13.58</v>
      </c>
      <c r="H373" s="54" t="n">
        <v>40.05</v>
      </c>
      <c r="I373" s="54" t="n">
        <v>45.49</v>
      </c>
      <c r="J373" s="54" t="n">
        <v>6.13</v>
      </c>
      <c r="K373" s="54" t="n">
        <v>5</v>
      </c>
      <c r="L373" s="54" t="n">
        <v>1</v>
      </c>
      <c r="M373" s="54" t="n">
        <v>0</v>
      </c>
      <c r="N373" s="54" t="n">
        <v>1</v>
      </c>
      <c r="O373" s="54" t="n">
        <v>4</v>
      </c>
      <c r="P373" s="54" t="n">
        <v>180</v>
      </c>
      <c r="Q373" s="54" t="n">
        <v>5</v>
      </c>
      <c r="R373" s="54" t="n">
        <v>1300</v>
      </c>
      <c r="S373" s="54" t="n">
        <v>0</v>
      </c>
      <c r="T373" s="54" t="n">
        <v>5</v>
      </c>
      <c r="U373" s="54" t="n">
        <v>0</v>
      </c>
      <c r="V373" s="54" t="n">
        <v>0</v>
      </c>
      <c r="W373" s="54" t="n">
        <v>0</v>
      </c>
      <c r="X373" s="54" t="n">
        <v>9.58</v>
      </c>
    </row>
    <row r="374">
      <c r="A374" s="54" t="inlineStr">
        <is>
          <t>Water caltrop</t>
        </is>
      </c>
      <c r="B374" s="54" t="n">
        <v>34.55</v>
      </c>
      <c r="C374" s="54" t="n">
        <v>12.78</v>
      </c>
      <c r="D374" s="54" t="n">
        <v>22</v>
      </c>
      <c r="E374" s="54" t="n">
        <v>71</v>
      </c>
      <c r="F374" s="54" t="n">
        <v>6.32</v>
      </c>
      <c r="G374" s="54" t="n">
        <v>13.58</v>
      </c>
      <c r="H374" s="54" t="n">
        <v>40.05</v>
      </c>
      <c r="I374" s="54" t="n">
        <v>45.49</v>
      </c>
      <c r="J374" s="54" t="n">
        <v>6.13</v>
      </c>
      <c r="K374" s="54" t="n">
        <v>5</v>
      </c>
      <c r="L374" s="54" t="n">
        <v>1</v>
      </c>
      <c r="M374" s="54" t="n">
        <v>0</v>
      </c>
      <c r="N374" s="54" t="n">
        <v>1</v>
      </c>
      <c r="O374" s="54" t="n">
        <v>4</v>
      </c>
      <c r="P374" s="54" t="n">
        <v>180</v>
      </c>
      <c r="Q374" s="54" t="n">
        <v>5</v>
      </c>
      <c r="R374" s="54" t="n">
        <v>1500</v>
      </c>
      <c r="S374" s="54" t="n">
        <v>0</v>
      </c>
      <c r="T374" s="54" t="n">
        <v>5</v>
      </c>
      <c r="U374" s="54" t="n">
        <v>0</v>
      </c>
      <c r="V374" s="54" t="n">
        <v>0</v>
      </c>
      <c r="W374" s="54" t="n">
        <v>0</v>
      </c>
      <c r="X374" s="54" t="n">
        <v>7.39</v>
      </c>
    </row>
    <row r="375">
      <c r="A375" s="54" t="inlineStr">
        <is>
          <t>Wheat straw</t>
        </is>
      </c>
      <c r="B375" s="54" t="n">
        <v>57.09</v>
      </c>
      <c r="C375" s="54" t="n">
        <v>16.81</v>
      </c>
      <c r="D375" s="54" t="n">
        <v>19.1</v>
      </c>
      <c r="E375" s="54" t="n">
        <v>68.23</v>
      </c>
      <c r="F375" s="54" t="n">
        <v>17.04</v>
      </c>
      <c r="G375" s="54" t="n">
        <v>14.72</v>
      </c>
      <c r="H375" s="54" t="n">
        <v>37.2</v>
      </c>
      <c r="I375" s="54" t="n">
        <v>37.3</v>
      </c>
      <c r="J375" s="54" t="n">
        <v>5.57</v>
      </c>
      <c r="K375" s="54" t="n">
        <v>5</v>
      </c>
      <c r="L375" s="54" t="n">
        <v>1</v>
      </c>
      <c r="M375" s="54" t="n">
        <v>0</v>
      </c>
      <c r="N375" s="54" t="n">
        <v>1</v>
      </c>
      <c r="O375" s="54" t="n">
        <v>0</v>
      </c>
      <c r="P375" s="54" t="n">
        <v>120</v>
      </c>
      <c r="Q375" s="54" t="n">
        <v>2</v>
      </c>
      <c r="R375" s="54" t="n">
        <v>900</v>
      </c>
      <c r="S375" s="54" t="n">
        <v>0</v>
      </c>
      <c r="T375" s="54" t="n">
        <v>5</v>
      </c>
      <c r="U375" s="54" t="n">
        <v>0</v>
      </c>
      <c r="V375" s="54" t="n">
        <v>0</v>
      </c>
      <c r="W375" s="54" t="n">
        <v>0</v>
      </c>
      <c r="X375" s="54" t="n">
        <v>1295</v>
      </c>
    </row>
    <row r="376">
      <c r="A376" s="54" t="inlineStr">
        <is>
          <t>Wheat straw</t>
        </is>
      </c>
      <c r="B376" s="54" t="n">
        <v>57.09</v>
      </c>
      <c r="C376" s="54" t="n">
        <v>16.81</v>
      </c>
      <c r="D376" s="54" t="n">
        <v>19.1</v>
      </c>
      <c r="E376" s="54" t="n">
        <v>68.23</v>
      </c>
      <c r="F376" s="54" t="n">
        <v>17.04</v>
      </c>
      <c r="G376" s="54" t="n">
        <v>14.72</v>
      </c>
      <c r="H376" s="54" t="n">
        <v>37.2</v>
      </c>
      <c r="I376" s="54" t="n">
        <v>37.3</v>
      </c>
      <c r="J376" s="54" t="n">
        <v>5.57</v>
      </c>
      <c r="K376" s="54" t="n">
        <v>5</v>
      </c>
      <c r="L376" s="54" t="n">
        <v>1</v>
      </c>
      <c r="M376" s="54" t="n">
        <v>0</v>
      </c>
      <c r="N376" s="54" t="n">
        <v>1</v>
      </c>
      <c r="O376" s="54" t="n">
        <v>0</v>
      </c>
      <c r="P376" s="54" t="n">
        <v>120</v>
      </c>
      <c r="Q376" s="54" t="n">
        <v>2</v>
      </c>
      <c r="R376" s="54" t="n">
        <v>1200</v>
      </c>
      <c r="S376" s="54" t="n">
        <v>0</v>
      </c>
      <c r="T376" s="54" t="n">
        <v>5</v>
      </c>
      <c r="U376" s="54" t="n">
        <v>0</v>
      </c>
      <c r="V376" s="54" t="n">
        <v>0</v>
      </c>
      <c r="W376" s="54" t="n">
        <v>0</v>
      </c>
      <c r="X376" s="54" t="n">
        <v>111.58</v>
      </c>
    </row>
    <row r="377">
      <c r="A377" s="54" t="inlineStr">
        <is>
          <t>Wheat straw</t>
        </is>
      </c>
      <c r="B377" s="54" t="n">
        <v>57.09</v>
      </c>
      <c r="C377" s="54" t="n">
        <v>16.81</v>
      </c>
      <c r="D377" s="54" t="n">
        <v>19.1</v>
      </c>
      <c r="E377" s="54" t="n">
        <v>68.23</v>
      </c>
      <c r="F377" s="54" t="n">
        <v>17.04</v>
      </c>
      <c r="G377" s="54" t="n">
        <v>14.72</v>
      </c>
      <c r="H377" s="54" t="n">
        <v>37.2</v>
      </c>
      <c r="I377" s="54" t="n">
        <v>37.3</v>
      </c>
      <c r="J377" s="54" t="n">
        <v>5.57</v>
      </c>
      <c r="K377" s="54" t="n">
        <v>4</v>
      </c>
      <c r="L377" s="54" t="n">
        <v>5</v>
      </c>
      <c r="M377" s="54" t="n">
        <v>0</v>
      </c>
      <c r="N377" s="54" t="n">
        <v>1</v>
      </c>
      <c r="O377" s="54" t="n">
        <v>4</v>
      </c>
      <c r="P377" s="54" t="n">
        <v>83.3333333333333</v>
      </c>
      <c r="Q377" s="54" t="n">
        <v>2.79444444444444</v>
      </c>
      <c r="R377" s="54" t="n">
        <v>1400</v>
      </c>
      <c r="S377" s="54" t="n">
        <v>0</v>
      </c>
      <c r="T377" s="54" t="n">
        <v>5</v>
      </c>
      <c r="U377" s="54" t="n">
        <v>0</v>
      </c>
      <c r="V377" s="54" t="n">
        <v>0</v>
      </c>
      <c r="W377" s="54" t="n">
        <v>0</v>
      </c>
      <c r="X377" s="54" t="n">
        <v>45</v>
      </c>
    </row>
    <row r="378">
      <c r="A378" s="54" t="inlineStr">
        <is>
          <t>Wheat straw</t>
        </is>
      </c>
      <c r="B378" s="54" t="n">
        <v>57.09</v>
      </c>
      <c r="C378" s="54" t="n">
        <v>16.81</v>
      </c>
      <c r="D378" s="54" t="n">
        <v>19.1</v>
      </c>
      <c r="E378" s="54" t="n">
        <v>68.23</v>
      </c>
      <c r="F378" s="54" t="n">
        <v>17.04</v>
      </c>
      <c r="G378" s="54" t="n">
        <v>14.72</v>
      </c>
      <c r="H378" s="54" t="n">
        <v>37.2</v>
      </c>
      <c r="I378" s="54" t="n">
        <v>37.3</v>
      </c>
      <c r="J378" s="54" t="n">
        <v>5.57</v>
      </c>
      <c r="K378" s="54" t="n">
        <v>4</v>
      </c>
      <c r="L378" s="54" t="n">
        <v>5</v>
      </c>
      <c r="M378" s="54" t="n">
        <v>0</v>
      </c>
      <c r="N378" s="54" t="n">
        <v>1</v>
      </c>
      <c r="O378" s="54" t="n">
        <v>4</v>
      </c>
      <c r="P378" s="54" t="n">
        <v>60</v>
      </c>
      <c r="Q378" s="54" t="n">
        <v>3.3</v>
      </c>
      <c r="R378" s="54" t="n">
        <v>1400</v>
      </c>
      <c r="S378" s="54" t="n">
        <v>0</v>
      </c>
      <c r="T378" s="54" t="n">
        <v>5</v>
      </c>
      <c r="U378" s="54" t="n">
        <v>0</v>
      </c>
      <c r="V378" s="54" t="n">
        <v>0</v>
      </c>
      <c r="W378" s="54" t="n">
        <v>0</v>
      </c>
      <c r="X378" s="54" t="n">
        <v>42</v>
      </c>
    </row>
    <row r="379">
      <c r="A379" s="54" t="inlineStr">
        <is>
          <t>Wheat straw</t>
        </is>
      </c>
      <c r="B379" s="54" t="n">
        <v>57.09</v>
      </c>
      <c r="C379" s="54" t="n">
        <v>16.81</v>
      </c>
      <c r="D379" s="54" t="n">
        <v>19.1</v>
      </c>
      <c r="E379" s="54" t="n">
        <v>68.23</v>
      </c>
      <c r="F379" s="54" t="n">
        <v>17.04</v>
      </c>
      <c r="G379" s="54" t="n">
        <v>14.72</v>
      </c>
      <c r="H379" s="54" t="n">
        <v>37.2</v>
      </c>
      <c r="I379" s="54" t="n">
        <v>37.3</v>
      </c>
      <c r="J379" s="54" t="n">
        <v>5.57</v>
      </c>
      <c r="K379" s="54" t="n">
        <v>4</v>
      </c>
      <c r="L379" s="54" t="n">
        <v>5</v>
      </c>
      <c r="M379" s="54" t="n">
        <v>0</v>
      </c>
      <c r="N379" s="54" t="n">
        <v>1</v>
      </c>
      <c r="O379" s="54" t="n">
        <v>4</v>
      </c>
      <c r="P379" s="54" t="n">
        <v>60</v>
      </c>
      <c r="Q379" s="54" t="n">
        <v>3.3</v>
      </c>
      <c r="R379" s="54" t="n">
        <v>1200</v>
      </c>
      <c r="S379" s="54" t="n">
        <v>0</v>
      </c>
      <c r="T379" s="54" t="n">
        <v>5</v>
      </c>
      <c r="U379" s="54" t="n">
        <v>0</v>
      </c>
      <c r="V379" s="54" t="n">
        <v>0</v>
      </c>
      <c r="W379" s="54" t="n">
        <v>0</v>
      </c>
      <c r="X379" s="54" t="n">
        <v>22</v>
      </c>
    </row>
    <row r="380">
      <c r="A380" s="54" t="inlineStr">
        <is>
          <t>Wheat straw</t>
        </is>
      </c>
      <c r="B380" s="54" t="n">
        <v>57.09</v>
      </c>
      <c r="C380" s="54" t="n">
        <v>16.81</v>
      </c>
      <c r="D380" s="54" t="n">
        <v>19.1</v>
      </c>
      <c r="E380" s="54" t="n">
        <v>68.23</v>
      </c>
      <c r="F380" s="54" t="n">
        <v>17.04</v>
      </c>
      <c r="G380" s="54" t="n">
        <v>14.72</v>
      </c>
      <c r="H380" s="54" t="n">
        <v>37.2</v>
      </c>
      <c r="I380" s="54" t="n">
        <v>37.3</v>
      </c>
      <c r="J380" s="54" t="n">
        <v>5.57</v>
      </c>
      <c r="K380" s="54" t="n">
        <v>4</v>
      </c>
      <c r="L380" s="54" t="n">
        <v>5</v>
      </c>
      <c r="M380" s="54" t="n">
        <v>0</v>
      </c>
      <c r="N380" s="54" t="n">
        <v>1</v>
      </c>
      <c r="O380" s="54" t="n">
        <v>4</v>
      </c>
      <c r="P380" s="54" t="n">
        <v>60</v>
      </c>
      <c r="Q380" s="54" t="n">
        <v>3.3</v>
      </c>
      <c r="R380" s="54" t="n">
        <v>1000</v>
      </c>
      <c r="S380" s="54" t="n">
        <v>0</v>
      </c>
      <c r="T380" s="54" t="n">
        <v>5</v>
      </c>
      <c r="U380" s="54" t="n">
        <v>0</v>
      </c>
      <c r="V380" s="54" t="n">
        <v>0</v>
      </c>
      <c r="W380" s="54" t="n">
        <v>0</v>
      </c>
      <c r="X380" s="54" t="n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Upali De silva</dc:creator>
  <dcterms:created xmlns:dcterms="http://purl.org/dc/terms/" xmlns:xsi="http://www.w3.org/2001/XMLSchema-instance" xsi:type="dcterms:W3CDTF">2024-08-29T23:08:00Z</dcterms:created>
  <dcterms:modified xmlns:dcterms="http://purl.org/dc/terms/" xmlns:xsi="http://www.w3.org/2001/XMLSchema-instance" xsi:type="dcterms:W3CDTF">2026-10-28T12:39:04Z</dcterms:modified>
  <cp:lastModifiedBy>Niroshan Manoharan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99EECF818F7D4DA8BD8BF9A6BCF0966A_13</vt:lpwstr>
  </property>
  <property name="KSOProductBuildVer" fmtid="{D5CDD505-2E9C-101B-9397-08002B2CF9AE}" pid="3">
    <vt:lpwstr xmlns:vt="http://schemas.openxmlformats.org/officeDocument/2006/docPropsVTypes">1033-12.2.0.20795</vt:lpwstr>
  </property>
  <property name="ContentTypeId" fmtid="{D5CDD505-2E9C-101B-9397-08002B2CF9AE}" pid="4">
    <vt:lpwstr xmlns:vt="http://schemas.openxmlformats.org/officeDocument/2006/docPropsVTypes">0x01010055A95C5A40118D4BB2230CD7BA99FC24</vt:lpwstr>
  </property>
</Properties>
</file>